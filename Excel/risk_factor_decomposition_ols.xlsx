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2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3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4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5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drawings/drawing6.xml" ContentType="application/vnd.openxmlformats-officedocument.drawing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7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8.xml" ContentType="application/vnd.openxmlformats-officedocument.drawing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drawings/drawing9.xml" ContentType="application/vnd.openxmlformats-officedocument.drawing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10.xml" ContentType="application/vnd.openxmlformats-officedocument.drawing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drawings/drawing11.xml" ContentType="application/vnd.openxmlformats-officedocument.drawing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drawings/drawing12.xml" ContentType="application/vnd.openxmlformats-officedocument.drawing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drawings/drawing13.xml" ContentType="application/vnd.openxmlformats-officedocument.drawing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14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drawings/drawing15.xml" ContentType="application/vnd.openxmlformats-officedocument.drawing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16.xml" ContentType="application/vnd.openxmlformats-officedocument.drawing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drawings/drawing17.xml" ContentType="application/vnd.openxmlformats-officedocument.drawing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curington/Documents/Finance/Projects/Risk Factor Decomposition/"/>
    </mc:Choice>
  </mc:AlternateContent>
  <xr:revisionPtr revIDLastSave="0" documentId="13_ncr:1_{4981F8A7-DFF4-FE42-9A29-432EE82CC0D8}" xr6:coauthVersionLast="47" xr6:coauthVersionMax="47" xr10:uidLastSave="{00000000-0000-0000-0000-000000000000}"/>
  <bookViews>
    <workbookView xWindow="40" yWindow="500" windowWidth="25440" windowHeight="14040" activeTab="3" xr2:uid="{251DB2E2-62D3-7245-90E0-A95F16BEDB8C}"/>
  </bookViews>
  <sheets>
    <sheet name="Data" sheetId="1" r:id="rId1"/>
    <sheet name="Data for CSV Export" sheetId="25" r:id="rId2"/>
    <sheet name="Factor Graphs" sheetId="11" r:id="rId3"/>
    <sheet name="Correlations" sheetId="27" r:id="rId4"/>
    <sheet name="Full" sheetId="4" r:id="rId5"/>
    <sheet name="SONIA, Credit, ERP" sheetId="5" r:id="rId6"/>
    <sheet name="SONIA, Credit, ERP, Inflation" sheetId="6" r:id="rId7"/>
    <sheet name="Credit, ERP, Inflation" sheetId="8" r:id="rId8"/>
    <sheet name="SONIA, Credit, Inflation" sheetId="9" r:id="rId9"/>
    <sheet name="Credit, Inflation" sheetId="10" r:id="rId10"/>
    <sheet name="Credit" sheetId="12" r:id="rId11"/>
    <sheet name="Credit, SP-HY" sheetId="14" r:id="rId12"/>
    <sheet name="SONIA, Swap, Credit" sheetId="16" r:id="rId13"/>
    <sheet name="Credit, VIX" sheetId="19" r:id="rId14"/>
    <sheet name="DSlope, DButterfly, Credit, VIX" sheetId="20" r:id="rId15"/>
    <sheet name="Credit, VIX, DInflation" sheetId="21" r:id="rId16"/>
    <sheet name="Credit, VIX, DVIX, DInflation" sheetId="22" r:id="rId17"/>
    <sheet name="Credit, Dinflation, DVIX" sheetId="23" r:id="rId18"/>
    <sheet name="S&amp;P Returns on IG and HY" sheetId="24" r:id="rId19"/>
    <sheet name="Dinflation on Credit, SP-HY" sheetId="26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5" i="27" l="1"/>
  <c r="O14" i="27" a="1"/>
  <c r="O14" i="27" s="1"/>
  <c r="N13" i="27" a="1"/>
  <c r="N13" i="27" s="1"/>
  <c r="M12" i="27" a="1"/>
  <c r="M12" i="27" s="1"/>
  <c r="L11" i="27" a="1"/>
  <c r="L11" i="27" s="1"/>
  <c r="K10" i="27" a="1"/>
  <c r="K10" i="27" s="1"/>
  <c r="J9" i="27" a="1"/>
  <c r="J9" i="27" s="1"/>
  <c r="I8" i="27" a="1"/>
  <c r="I8" i="27" s="1"/>
  <c r="H7" i="27" a="1"/>
  <c r="H7" i="27" s="1"/>
  <c r="G6" i="27" a="1"/>
  <c r="G6" i="27" s="1"/>
  <c r="F5" i="27" a="1"/>
  <c r="F5" i="27" s="1"/>
  <c r="E4" i="27" a="1"/>
  <c r="E4" i="27" s="1"/>
  <c r="D3" i="27" a="1"/>
  <c r="D3" i="27" s="1"/>
  <c r="C2" i="27" a="1"/>
  <c r="C2" i="27" s="1"/>
  <c r="Q2" i="25" a="1"/>
  <c r="Q2" i="25" s="1"/>
  <c r="P2" i="25" a="1"/>
  <c r="P2" i="25" s="1"/>
  <c r="C2" i="25" a="1"/>
  <c r="C2" i="25" s="1"/>
  <c r="B2" i="25" a="1"/>
  <c r="B2" i="25" s="1"/>
  <c r="A2" i="25" a="1"/>
  <c r="A2" i="25" s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2" i="1"/>
  <c r="D2" i="25" l="1" a="1"/>
  <c r="D2" i="25" s="1"/>
  <c r="K4" i="1"/>
  <c r="Y4" i="1" s="1"/>
  <c r="K5" i="1"/>
  <c r="Y5" i="1" s="1"/>
  <c r="K6" i="1"/>
  <c r="Y6" i="1" s="1"/>
  <c r="K7" i="1"/>
  <c r="Y7" i="1" s="1"/>
  <c r="K8" i="1"/>
  <c r="Y8" i="1" s="1"/>
  <c r="K9" i="1"/>
  <c r="Y9" i="1" s="1"/>
  <c r="K10" i="1"/>
  <c r="Y10" i="1" s="1"/>
  <c r="K11" i="1"/>
  <c r="Y11" i="1" s="1"/>
  <c r="K12" i="1"/>
  <c r="Y12" i="1" s="1"/>
  <c r="K13" i="1"/>
  <c r="Y13" i="1" s="1"/>
  <c r="K14" i="1"/>
  <c r="Y14" i="1" s="1"/>
  <c r="K15" i="1"/>
  <c r="Y15" i="1" s="1"/>
  <c r="K16" i="1"/>
  <c r="Y16" i="1" s="1"/>
  <c r="K17" i="1"/>
  <c r="Y17" i="1" s="1"/>
  <c r="K18" i="1"/>
  <c r="Y18" i="1" s="1"/>
  <c r="K19" i="1"/>
  <c r="Y19" i="1" s="1"/>
  <c r="K20" i="1"/>
  <c r="Y20" i="1" s="1"/>
  <c r="K21" i="1"/>
  <c r="Y21" i="1" s="1"/>
  <c r="K22" i="1"/>
  <c r="Y22" i="1" s="1"/>
  <c r="K23" i="1"/>
  <c r="Y23" i="1" s="1"/>
  <c r="K24" i="1"/>
  <c r="Y24" i="1" s="1"/>
  <c r="K25" i="1"/>
  <c r="Y25" i="1" s="1"/>
  <c r="K26" i="1"/>
  <c r="Y26" i="1" s="1"/>
  <c r="K27" i="1"/>
  <c r="Y27" i="1" s="1"/>
  <c r="K28" i="1"/>
  <c r="Y28" i="1" s="1"/>
  <c r="K29" i="1"/>
  <c r="Y29" i="1" s="1"/>
  <c r="K30" i="1"/>
  <c r="Y30" i="1" s="1"/>
  <c r="K31" i="1"/>
  <c r="Y31" i="1" s="1"/>
  <c r="K32" i="1"/>
  <c r="Y32" i="1" s="1"/>
  <c r="K33" i="1"/>
  <c r="Y33" i="1" s="1"/>
  <c r="K34" i="1"/>
  <c r="Y34" i="1" s="1"/>
  <c r="K35" i="1"/>
  <c r="Y35" i="1" s="1"/>
  <c r="K36" i="1"/>
  <c r="Y36" i="1" s="1"/>
  <c r="K37" i="1"/>
  <c r="Y37" i="1" s="1"/>
  <c r="K38" i="1"/>
  <c r="Y38" i="1" s="1"/>
  <c r="K39" i="1"/>
  <c r="Y39" i="1" s="1"/>
  <c r="K40" i="1"/>
  <c r="Y40" i="1" s="1"/>
  <c r="K41" i="1"/>
  <c r="Y41" i="1" s="1"/>
  <c r="K42" i="1"/>
  <c r="Y42" i="1" s="1"/>
  <c r="K43" i="1"/>
  <c r="Y43" i="1" s="1"/>
  <c r="K44" i="1"/>
  <c r="Y44" i="1" s="1"/>
  <c r="K45" i="1"/>
  <c r="Y45" i="1" s="1"/>
  <c r="K46" i="1"/>
  <c r="Y46" i="1" s="1"/>
  <c r="K47" i="1"/>
  <c r="Y47" i="1" s="1"/>
  <c r="K48" i="1"/>
  <c r="Y48" i="1" s="1"/>
  <c r="K49" i="1"/>
  <c r="Y49" i="1" s="1"/>
  <c r="K50" i="1"/>
  <c r="Y50" i="1" s="1"/>
  <c r="K51" i="1"/>
  <c r="Y51" i="1" s="1"/>
  <c r="K52" i="1"/>
  <c r="Y52" i="1" s="1"/>
  <c r="K53" i="1"/>
  <c r="Y53" i="1" s="1"/>
  <c r="K54" i="1"/>
  <c r="Y54" i="1" s="1"/>
  <c r="K55" i="1"/>
  <c r="Y55" i="1" s="1"/>
  <c r="K56" i="1"/>
  <c r="Y56" i="1" s="1"/>
  <c r="K57" i="1"/>
  <c r="Y57" i="1" s="1"/>
  <c r="K58" i="1"/>
  <c r="Y58" i="1" s="1"/>
  <c r="K59" i="1"/>
  <c r="Y59" i="1" s="1"/>
  <c r="K60" i="1"/>
  <c r="Y60" i="1" s="1"/>
  <c r="K61" i="1"/>
  <c r="Y61" i="1" s="1"/>
  <c r="K62" i="1"/>
  <c r="Y62" i="1" s="1"/>
  <c r="K63" i="1"/>
  <c r="Y63" i="1" s="1"/>
  <c r="K64" i="1"/>
  <c r="Y64" i="1" s="1"/>
  <c r="K65" i="1"/>
  <c r="Y65" i="1" s="1"/>
  <c r="K66" i="1"/>
  <c r="Y66" i="1" s="1"/>
  <c r="K67" i="1"/>
  <c r="Y67" i="1" s="1"/>
  <c r="K68" i="1"/>
  <c r="Y68" i="1" s="1"/>
  <c r="K69" i="1"/>
  <c r="Y69" i="1" s="1"/>
  <c r="K70" i="1"/>
  <c r="Y70" i="1" s="1"/>
  <c r="K71" i="1"/>
  <c r="Y71" i="1" s="1"/>
  <c r="K72" i="1"/>
  <c r="Y72" i="1" s="1"/>
  <c r="K73" i="1"/>
  <c r="Y73" i="1" s="1"/>
  <c r="K74" i="1"/>
  <c r="Y74" i="1" s="1"/>
  <c r="K75" i="1"/>
  <c r="Y75" i="1" s="1"/>
  <c r="K76" i="1"/>
  <c r="Y76" i="1" s="1"/>
  <c r="K77" i="1"/>
  <c r="Y77" i="1" s="1"/>
  <c r="K78" i="1"/>
  <c r="Y78" i="1" s="1"/>
  <c r="K79" i="1"/>
  <c r="Y79" i="1" s="1"/>
  <c r="K80" i="1"/>
  <c r="Y80" i="1" s="1"/>
  <c r="K81" i="1"/>
  <c r="Y81" i="1" s="1"/>
  <c r="K82" i="1"/>
  <c r="Y82" i="1" s="1"/>
  <c r="K83" i="1"/>
  <c r="Y83" i="1" s="1"/>
  <c r="K84" i="1"/>
  <c r="Y84" i="1" s="1"/>
  <c r="K85" i="1"/>
  <c r="Y85" i="1" s="1"/>
  <c r="K86" i="1"/>
  <c r="Y86" i="1" s="1"/>
  <c r="K87" i="1"/>
  <c r="Y87" i="1" s="1"/>
  <c r="K88" i="1"/>
  <c r="Y88" i="1" s="1"/>
  <c r="K89" i="1"/>
  <c r="Y89" i="1" s="1"/>
  <c r="K90" i="1"/>
  <c r="Y90" i="1" s="1"/>
  <c r="K91" i="1"/>
  <c r="Y91" i="1" s="1"/>
  <c r="K92" i="1"/>
  <c r="Y92" i="1" s="1"/>
  <c r="K93" i="1"/>
  <c r="Y93" i="1" s="1"/>
  <c r="K94" i="1"/>
  <c r="Y94" i="1" s="1"/>
  <c r="K95" i="1"/>
  <c r="Y95" i="1" s="1"/>
  <c r="K96" i="1"/>
  <c r="Y96" i="1" s="1"/>
  <c r="K97" i="1"/>
  <c r="Y97" i="1" s="1"/>
  <c r="K98" i="1"/>
  <c r="Y98" i="1" s="1"/>
  <c r="K99" i="1"/>
  <c r="Y99" i="1" s="1"/>
  <c r="K100" i="1"/>
  <c r="Y100" i="1" s="1"/>
  <c r="K101" i="1"/>
  <c r="Y101" i="1" s="1"/>
  <c r="K102" i="1"/>
  <c r="Y102" i="1" s="1"/>
  <c r="K103" i="1"/>
  <c r="Y103" i="1" s="1"/>
  <c r="K104" i="1"/>
  <c r="Y104" i="1" s="1"/>
  <c r="K105" i="1"/>
  <c r="Y105" i="1" s="1"/>
  <c r="K106" i="1"/>
  <c r="Y106" i="1" s="1"/>
  <c r="K107" i="1"/>
  <c r="Y107" i="1" s="1"/>
  <c r="K108" i="1"/>
  <c r="Y108" i="1" s="1"/>
  <c r="K109" i="1"/>
  <c r="Y109" i="1" s="1"/>
  <c r="K110" i="1"/>
  <c r="Y110" i="1" s="1"/>
  <c r="K111" i="1"/>
  <c r="Y111" i="1" s="1"/>
  <c r="K112" i="1"/>
  <c r="Y112" i="1" s="1"/>
  <c r="K113" i="1"/>
  <c r="Y113" i="1" s="1"/>
  <c r="K114" i="1"/>
  <c r="Y114" i="1" s="1"/>
  <c r="K115" i="1"/>
  <c r="Y115" i="1" s="1"/>
  <c r="K116" i="1"/>
  <c r="Y116" i="1" s="1"/>
  <c r="K117" i="1"/>
  <c r="Y117" i="1" s="1"/>
  <c r="K118" i="1"/>
  <c r="Y118" i="1" s="1"/>
  <c r="K119" i="1"/>
  <c r="Y119" i="1" s="1"/>
  <c r="K120" i="1"/>
  <c r="Y120" i="1" s="1"/>
  <c r="K121" i="1"/>
  <c r="Y121" i="1" s="1"/>
  <c r="K122" i="1"/>
  <c r="Y122" i="1" s="1"/>
  <c r="K123" i="1"/>
  <c r="Y123" i="1" s="1"/>
  <c r="K124" i="1"/>
  <c r="Y124" i="1" s="1"/>
  <c r="K125" i="1"/>
  <c r="Y125" i="1" s="1"/>
  <c r="K126" i="1"/>
  <c r="Y126" i="1" s="1"/>
  <c r="K127" i="1"/>
  <c r="Y127" i="1" s="1"/>
  <c r="K128" i="1"/>
  <c r="Y128" i="1" s="1"/>
  <c r="K129" i="1"/>
  <c r="Y129" i="1" s="1"/>
  <c r="K130" i="1"/>
  <c r="Y130" i="1" s="1"/>
  <c r="K131" i="1"/>
  <c r="Y131" i="1" s="1"/>
  <c r="K132" i="1"/>
  <c r="Y132" i="1" s="1"/>
  <c r="K133" i="1"/>
  <c r="Y133" i="1" s="1"/>
  <c r="K134" i="1"/>
  <c r="Y134" i="1" s="1"/>
  <c r="K135" i="1"/>
  <c r="Y135" i="1" s="1"/>
  <c r="K136" i="1"/>
  <c r="Y136" i="1" s="1"/>
  <c r="K137" i="1"/>
  <c r="Y137" i="1" s="1"/>
  <c r="K138" i="1"/>
  <c r="Y138" i="1" s="1"/>
  <c r="K139" i="1"/>
  <c r="Y139" i="1" s="1"/>
  <c r="K140" i="1"/>
  <c r="Y140" i="1" s="1"/>
  <c r="K141" i="1"/>
  <c r="Y141" i="1" s="1"/>
  <c r="K142" i="1"/>
  <c r="Y142" i="1" s="1"/>
  <c r="K143" i="1"/>
  <c r="Y143" i="1" s="1"/>
  <c r="K144" i="1"/>
  <c r="Y144" i="1" s="1"/>
  <c r="K145" i="1"/>
  <c r="Y145" i="1" s="1"/>
  <c r="K3" i="1"/>
  <c r="Y3" i="1" s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AA31" i="1" s="1"/>
  <c r="Z32" i="1"/>
  <c r="Z33" i="1"/>
  <c r="Z34" i="1"/>
  <c r="Z35" i="1"/>
  <c r="AA35" i="1" s="1"/>
  <c r="Z36" i="1"/>
  <c r="Z37" i="1"/>
  <c r="Z38" i="1"/>
  <c r="Z39" i="1"/>
  <c r="AA39" i="1" s="1"/>
  <c r="Z40" i="1"/>
  <c r="Z41" i="1"/>
  <c r="Z42" i="1"/>
  <c r="Z43" i="1"/>
  <c r="AA43" i="1" s="1"/>
  <c r="Z44" i="1"/>
  <c r="Z45" i="1"/>
  <c r="Z46" i="1"/>
  <c r="Z47" i="1"/>
  <c r="AA47" i="1" s="1"/>
  <c r="Z48" i="1"/>
  <c r="Z49" i="1"/>
  <c r="Z50" i="1"/>
  <c r="Z51" i="1"/>
  <c r="AA51" i="1" s="1"/>
  <c r="Z52" i="1"/>
  <c r="Z53" i="1"/>
  <c r="Z54" i="1"/>
  <c r="Z55" i="1"/>
  <c r="Z56" i="1"/>
  <c r="Z57" i="1"/>
  <c r="Z58" i="1"/>
  <c r="Z59" i="1"/>
  <c r="AA59" i="1" s="1"/>
  <c r="Z60" i="1"/>
  <c r="Z61" i="1"/>
  <c r="Z62" i="1"/>
  <c r="Z63" i="1"/>
  <c r="AA63" i="1" s="1"/>
  <c r="Z64" i="1"/>
  <c r="Z65" i="1"/>
  <c r="Z66" i="1"/>
  <c r="Z67" i="1"/>
  <c r="AA67" i="1" s="1"/>
  <c r="Z68" i="1"/>
  <c r="Z69" i="1"/>
  <c r="Z70" i="1"/>
  <c r="Z71" i="1"/>
  <c r="AA71" i="1" s="1"/>
  <c r="Z72" i="1"/>
  <c r="Z73" i="1"/>
  <c r="Z74" i="1"/>
  <c r="Z75" i="1"/>
  <c r="AA75" i="1" s="1"/>
  <c r="Z76" i="1"/>
  <c r="Z77" i="1"/>
  <c r="Z78" i="1"/>
  <c r="Z79" i="1"/>
  <c r="AA79" i="1" s="1"/>
  <c r="Z80" i="1"/>
  <c r="Z81" i="1"/>
  <c r="Z82" i="1"/>
  <c r="Z83" i="1"/>
  <c r="AA83" i="1" s="1"/>
  <c r="Z84" i="1"/>
  <c r="Z85" i="1"/>
  <c r="Z86" i="1"/>
  <c r="Z87" i="1"/>
  <c r="AA87" i="1" s="1"/>
  <c r="Z88" i="1"/>
  <c r="Z89" i="1"/>
  <c r="Z90" i="1"/>
  <c r="Z91" i="1"/>
  <c r="AA91" i="1" s="1"/>
  <c r="Z92" i="1"/>
  <c r="Z93" i="1"/>
  <c r="Z94" i="1"/>
  <c r="Z95" i="1"/>
  <c r="AA95" i="1" s="1"/>
  <c r="Z96" i="1"/>
  <c r="Z97" i="1"/>
  <c r="Z98" i="1"/>
  <c r="Z99" i="1"/>
  <c r="AA99" i="1" s="1"/>
  <c r="Z100" i="1"/>
  <c r="Z101" i="1"/>
  <c r="Z102" i="1"/>
  <c r="Z103" i="1"/>
  <c r="AA103" i="1" s="1"/>
  <c r="Z104" i="1"/>
  <c r="Z105" i="1"/>
  <c r="Z106" i="1"/>
  <c r="Z107" i="1"/>
  <c r="AA107" i="1" s="1"/>
  <c r="Z108" i="1"/>
  <c r="Z109" i="1"/>
  <c r="Z110" i="1"/>
  <c r="Z111" i="1"/>
  <c r="AA111" i="1" s="1"/>
  <c r="Z112" i="1"/>
  <c r="Z113" i="1"/>
  <c r="Z114" i="1"/>
  <c r="Z115" i="1"/>
  <c r="AA115" i="1" s="1"/>
  <c r="Z116" i="1"/>
  <c r="Z117" i="1"/>
  <c r="Z118" i="1"/>
  <c r="Z119" i="1"/>
  <c r="AA119" i="1" s="1"/>
  <c r="Z120" i="1"/>
  <c r="Z121" i="1"/>
  <c r="Z122" i="1"/>
  <c r="Z123" i="1"/>
  <c r="AA123" i="1" s="1"/>
  <c r="Z124" i="1"/>
  <c r="Z125" i="1"/>
  <c r="Z126" i="1"/>
  <c r="Z127" i="1"/>
  <c r="AA127" i="1" s="1"/>
  <c r="Z128" i="1"/>
  <c r="Z129" i="1"/>
  <c r="Z130" i="1"/>
  <c r="Z131" i="1"/>
  <c r="AA131" i="1" s="1"/>
  <c r="Z132" i="1"/>
  <c r="Z133" i="1"/>
  <c r="Z134" i="1"/>
  <c r="Z135" i="1"/>
  <c r="AA135" i="1" s="1"/>
  <c r="Z136" i="1"/>
  <c r="Z137" i="1"/>
  <c r="Z138" i="1"/>
  <c r="Z139" i="1"/>
  <c r="AA139" i="1" s="1"/>
  <c r="Z140" i="1"/>
  <c r="Z141" i="1"/>
  <c r="Z142" i="1"/>
  <c r="Z143" i="1"/>
  <c r="AA143" i="1" s="1"/>
  <c r="Z144" i="1"/>
  <c r="Z145" i="1"/>
  <c r="Z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2" i="1"/>
  <c r="AA5" i="1" l="1"/>
  <c r="AA27" i="1"/>
  <c r="L2" i="25" a="1"/>
  <c r="L2" i="25" s="1"/>
  <c r="K2" i="25" a="1"/>
  <c r="K2" i="25" s="1"/>
  <c r="AA7" i="1"/>
  <c r="AA55" i="1"/>
  <c r="AA145" i="1"/>
  <c r="AA137" i="1"/>
  <c r="AA133" i="1"/>
  <c r="AA129" i="1"/>
  <c r="AA125" i="1"/>
  <c r="AA121" i="1"/>
  <c r="AA117" i="1"/>
  <c r="AA113" i="1"/>
  <c r="AA97" i="1"/>
  <c r="AA93" i="1"/>
  <c r="AA89" i="1"/>
  <c r="AA85" i="1"/>
  <c r="AA81" i="1"/>
  <c r="AA77" i="1"/>
  <c r="AA73" i="1"/>
  <c r="AA69" i="1"/>
  <c r="AA65" i="1"/>
  <c r="AA9" i="1"/>
  <c r="AA136" i="1"/>
  <c r="AA132" i="1"/>
  <c r="AA128" i="1"/>
  <c r="AA124" i="1"/>
  <c r="AA120" i="1"/>
  <c r="AA116" i="1"/>
  <c r="AA112" i="1"/>
  <c r="AA108" i="1"/>
  <c r="AA104" i="1"/>
  <c r="AA100" i="1"/>
  <c r="AA88" i="1"/>
  <c r="AA84" i="1"/>
  <c r="AA80" i="1"/>
  <c r="AA76" i="1"/>
  <c r="AA72" i="1"/>
  <c r="AA68" i="1"/>
  <c r="AA64" i="1"/>
  <c r="AA60" i="1"/>
  <c r="AA56" i="1"/>
  <c r="AA52" i="1"/>
  <c r="AA48" i="1"/>
  <c r="AA44" i="1"/>
  <c r="AA40" i="1"/>
  <c r="AA36" i="1"/>
  <c r="AA32" i="1"/>
  <c r="AA28" i="1"/>
  <c r="AA4" i="1"/>
  <c r="AA141" i="1"/>
  <c r="AA109" i="1"/>
  <c r="AA105" i="1"/>
  <c r="AA101" i="1"/>
  <c r="AA61" i="1"/>
  <c r="AA144" i="1"/>
  <c r="AA140" i="1"/>
  <c r="AA96" i="1"/>
  <c r="AA24" i="1"/>
  <c r="AA15" i="1"/>
  <c r="AA11" i="1"/>
  <c r="AA142" i="1"/>
  <c r="AA138" i="1"/>
  <c r="AA122" i="1"/>
  <c r="AA118" i="1"/>
  <c r="AA114" i="1"/>
  <c r="AA110" i="1"/>
  <c r="AA90" i="1"/>
  <c r="AA86" i="1"/>
  <c r="AA50" i="1"/>
  <c r="AA10" i="1"/>
  <c r="AA6" i="1"/>
  <c r="AA57" i="1"/>
  <c r="AA53" i="1"/>
  <c r="AA49" i="1"/>
  <c r="AA45" i="1"/>
  <c r="AA41" i="1"/>
  <c r="AA37" i="1"/>
  <c r="AA33" i="1"/>
  <c r="AA92" i="1"/>
  <c r="AA20" i="1"/>
  <c r="AA23" i="1"/>
  <c r="AA19" i="1"/>
  <c r="AA134" i="1"/>
  <c r="AA130" i="1"/>
  <c r="AA106" i="1"/>
  <c r="AA102" i="1"/>
  <c r="AA98" i="1"/>
  <c r="AA94" i="1"/>
  <c r="AA82" i="1"/>
  <c r="AA78" i="1"/>
  <c r="AA74" i="1"/>
  <c r="AA70" i="1"/>
  <c r="AA66" i="1"/>
  <c r="AA58" i="1"/>
  <c r="AA54" i="1"/>
  <c r="AA14" i="1"/>
  <c r="AA29" i="1"/>
  <c r="AA25" i="1"/>
  <c r="AA21" i="1"/>
  <c r="AA17" i="1"/>
  <c r="AA13" i="1"/>
  <c r="AA16" i="1"/>
  <c r="AA12" i="1"/>
  <c r="AA8" i="1"/>
  <c r="AA3" i="1"/>
  <c r="AA126" i="1"/>
  <c r="AA62" i="1"/>
  <c r="AA46" i="1"/>
  <c r="AA42" i="1"/>
  <c r="AA38" i="1"/>
  <c r="AA34" i="1"/>
  <c r="AA30" i="1"/>
  <c r="AA26" i="1"/>
  <c r="AA22" i="1"/>
  <c r="AA18" i="1"/>
  <c r="K2" i="1"/>
  <c r="Y2" i="1" s="1"/>
  <c r="N2" i="25" s="1" a="1"/>
  <c r="N2" i="25" s="1"/>
  <c r="AA2" i="1" l="1"/>
  <c r="M2" i="25" s="1" a="1"/>
  <c r="M2" i="25" s="1"/>
  <c r="G3" i="1" l="1"/>
  <c r="W3" i="1" s="1"/>
  <c r="G4" i="1"/>
  <c r="W4" i="1" s="1"/>
  <c r="G5" i="1"/>
  <c r="W5" i="1" s="1"/>
  <c r="G6" i="1"/>
  <c r="W6" i="1" s="1"/>
  <c r="G7" i="1"/>
  <c r="W7" i="1" s="1"/>
  <c r="G8" i="1"/>
  <c r="W8" i="1" s="1"/>
  <c r="G9" i="1"/>
  <c r="W9" i="1" s="1"/>
  <c r="G10" i="1"/>
  <c r="W10" i="1" s="1"/>
  <c r="G11" i="1"/>
  <c r="W11" i="1" s="1"/>
  <c r="G12" i="1"/>
  <c r="W12" i="1" s="1"/>
  <c r="G13" i="1"/>
  <c r="W13" i="1" s="1"/>
  <c r="G14" i="1"/>
  <c r="W14" i="1" s="1"/>
  <c r="G15" i="1"/>
  <c r="W15" i="1" s="1"/>
  <c r="G16" i="1"/>
  <c r="W16" i="1" s="1"/>
  <c r="G17" i="1"/>
  <c r="W17" i="1" s="1"/>
  <c r="G18" i="1"/>
  <c r="W18" i="1" s="1"/>
  <c r="G19" i="1"/>
  <c r="W19" i="1" s="1"/>
  <c r="G20" i="1"/>
  <c r="W20" i="1" s="1"/>
  <c r="G21" i="1"/>
  <c r="W21" i="1" s="1"/>
  <c r="G22" i="1"/>
  <c r="W22" i="1" s="1"/>
  <c r="G23" i="1"/>
  <c r="W23" i="1" s="1"/>
  <c r="G24" i="1"/>
  <c r="W24" i="1" s="1"/>
  <c r="G25" i="1"/>
  <c r="W25" i="1" s="1"/>
  <c r="G26" i="1"/>
  <c r="W26" i="1" s="1"/>
  <c r="G27" i="1"/>
  <c r="W27" i="1" s="1"/>
  <c r="G28" i="1"/>
  <c r="W28" i="1" s="1"/>
  <c r="G29" i="1"/>
  <c r="W29" i="1" s="1"/>
  <c r="G30" i="1"/>
  <c r="W30" i="1" s="1"/>
  <c r="G31" i="1"/>
  <c r="W31" i="1" s="1"/>
  <c r="G32" i="1"/>
  <c r="W32" i="1" s="1"/>
  <c r="G33" i="1"/>
  <c r="W33" i="1" s="1"/>
  <c r="G34" i="1"/>
  <c r="W34" i="1" s="1"/>
  <c r="G35" i="1"/>
  <c r="W35" i="1" s="1"/>
  <c r="G36" i="1"/>
  <c r="W36" i="1" s="1"/>
  <c r="G37" i="1"/>
  <c r="W37" i="1" s="1"/>
  <c r="G38" i="1"/>
  <c r="W38" i="1" s="1"/>
  <c r="G39" i="1"/>
  <c r="W39" i="1" s="1"/>
  <c r="G40" i="1"/>
  <c r="W40" i="1" s="1"/>
  <c r="G41" i="1"/>
  <c r="W41" i="1" s="1"/>
  <c r="G42" i="1"/>
  <c r="W42" i="1" s="1"/>
  <c r="G43" i="1"/>
  <c r="W43" i="1" s="1"/>
  <c r="G44" i="1"/>
  <c r="W44" i="1" s="1"/>
  <c r="G45" i="1"/>
  <c r="W45" i="1" s="1"/>
  <c r="G46" i="1"/>
  <c r="W46" i="1" s="1"/>
  <c r="G47" i="1"/>
  <c r="W47" i="1" s="1"/>
  <c r="G48" i="1"/>
  <c r="W48" i="1" s="1"/>
  <c r="G49" i="1"/>
  <c r="W49" i="1" s="1"/>
  <c r="G50" i="1"/>
  <c r="W50" i="1" s="1"/>
  <c r="G51" i="1"/>
  <c r="W51" i="1" s="1"/>
  <c r="G52" i="1"/>
  <c r="W52" i="1" s="1"/>
  <c r="G53" i="1"/>
  <c r="W53" i="1" s="1"/>
  <c r="G54" i="1"/>
  <c r="W54" i="1" s="1"/>
  <c r="G55" i="1"/>
  <c r="W55" i="1" s="1"/>
  <c r="G56" i="1"/>
  <c r="W56" i="1" s="1"/>
  <c r="G57" i="1"/>
  <c r="W57" i="1" s="1"/>
  <c r="G58" i="1"/>
  <c r="W58" i="1" s="1"/>
  <c r="G59" i="1"/>
  <c r="W59" i="1" s="1"/>
  <c r="G60" i="1"/>
  <c r="W60" i="1" s="1"/>
  <c r="G61" i="1"/>
  <c r="W61" i="1" s="1"/>
  <c r="G62" i="1"/>
  <c r="W62" i="1" s="1"/>
  <c r="G63" i="1"/>
  <c r="W63" i="1" s="1"/>
  <c r="G64" i="1"/>
  <c r="W64" i="1" s="1"/>
  <c r="G65" i="1"/>
  <c r="W65" i="1" s="1"/>
  <c r="G66" i="1"/>
  <c r="W66" i="1" s="1"/>
  <c r="G67" i="1"/>
  <c r="W67" i="1" s="1"/>
  <c r="G68" i="1"/>
  <c r="W68" i="1" s="1"/>
  <c r="G69" i="1"/>
  <c r="W69" i="1" s="1"/>
  <c r="G70" i="1"/>
  <c r="W70" i="1" s="1"/>
  <c r="G71" i="1"/>
  <c r="W71" i="1" s="1"/>
  <c r="G72" i="1"/>
  <c r="W72" i="1" s="1"/>
  <c r="G73" i="1"/>
  <c r="W73" i="1" s="1"/>
  <c r="G74" i="1"/>
  <c r="W74" i="1" s="1"/>
  <c r="G75" i="1"/>
  <c r="W75" i="1" s="1"/>
  <c r="G76" i="1"/>
  <c r="W76" i="1" s="1"/>
  <c r="G77" i="1"/>
  <c r="W77" i="1" s="1"/>
  <c r="G78" i="1"/>
  <c r="W78" i="1" s="1"/>
  <c r="G79" i="1"/>
  <c r="W79" i="1" s="1"/>
  <c r="G80" i="1"/>
  <c r="W80" i="1" s="1"/>
  <c r="G81" i="1"/>
  <c r="W81" i="1" s="1"/>
  <c r="G82" i="1"/>
  <c r="W82" i="1" s="1"/>
  <c r="G83" i="1"/>
  <c r="W83" i="1" s="1"/>
  <c r="G84" i="1"/>
  <c r="W84" i="1" s="1"/>
  <c r="G85" i="1"/>
  <c r="W85" i="1" s="1"/>
  <c r="G86" i="1"/>
  <c r="W86" i="1" s="1"/>
  <c r="G87" i="1"/>
  <c r="W87" i="1" s="1"/>
  <c r="G88" i="1"/>
  <c r="W88" i="1" s="1"/>
  <c r="G89" i="1"/>
  <c r="W89" i="1" s="1"/>
  <c r="G90" i="1"/>
  <c r="W90" i="1" s="1"/>
  <c r="G91" i="1"/>
  <c r="W91" i="1" s="1"/>
  <c r="G92" i="1"/>
  <c r="W92" i="1" s="1"/>
  <c r="G93" i="1"/>
  <c r="W93" i="1" s="1"/>
  <c r="G94" i="1"/>
  <c r="W94" i="1" s="1"/>
  <c r="G95" i="1"/>
  <c r="W95" i="1" s="1"/>
  <c r="G96" i="1"/>
  <c r="W96" i="1" s="1"/>
  <c r="G97" i="1"/>
  <c r="W97" i="1" s="1"/>
  <c r="G98" i="1"/>
  <c r="W98" i="1" s="1"/>
  <c r="G99" i="1"/>
  <c r="W99" i="1" s="1"/>
  <c r="G100" i="1"/>
  <c r="W100" i="1" s="1"/>
  <c r="G101" i="1"/>
  <c r="W101" i="1" s="1"/>
  <c r="G102" i="1"/>
  <c r="W102" i="1" s="1"/>
  <c r="G103" i="1"/>
  <c r="W103" i="1" s="1"/>
  <c r="G104" i="1"/>
  <c r="W104" i="1" s="1"/>
  <c r="G105" i="1"/>
  <c r="W105" i="1" s="1"/>
  <c r="G106" i="1"/>
  <c r="W106" i="1" s="1"/>
  <c r="G107" i="1"/>
  <c r="W107" i="1" s="1"/>
  <c r="G108" i="1"/>
  <c r="W108" i="1" s="1"/>
  <c r="G109" i="1"/>
  <c r="W109" i="1" s="1"/>
  <c r="G110" i="1"/>
  <c r="W110" i="1" s="1"/>
  <c r="G111" i="1"/>
  <c r="W111" i="1" s="1"/>
  <c r="G112" i="1"/>
  <c r="W112" i="1" s="1"/>
  <c r="G113" i="1"/>
  <c r="W113" i="1" s="1"/>
  <c r="G114" i="1"/>
  <c r="W114" i="1" s="1"/>
  <c r="G115" i="1"/>
  <c r="W115" i="1" s="1"/>
  <c r="G116" i="1"/>
  <c r="W116" i="1" s="1"/>
  <c r="G117" i="1"/>
  <c r="W117" i="1" s="1"/>
  <c r="G118" i="1"/>
  <c r="W118" i="1" s="1"/>
  <c r="G119" i="1"/>
  <c r="W119" i="1" s="1"/>
  <c r="G120" i="1"/>
  <c r="W120" i="1" s="1"/>
  <c r="G121" i="1"/>
  <c r="W121" i="1" s="1"/>
  <c r="G122" i="1"/>
  <c r="W122" i="1" s="1"/>
  <c r="G123" i="1"/>
  <c r="W123" i="1" s="1"/>
  <c r="G124" i="1"/>
  <c r="W124" i="1" s="1"/>
  <c r="G125" i="1"/>
  <c r="W125" i="1" s="1"/>
  <c r="G126" i="1"/>
  <c r="W126" i="1" s="1"/>
  <c r="G127" i="1"/>
  <c r="W127" i="1" s="1"/>
  <c r="G128" i="1"/>
  <c r="W128" i="1" s="1"/>
  <c r="G129" i="1"/>
  <c r="W129" i="1" s="1"/>
  <c r="G130" i="1"/>
  <c r="W130" i="1" s="1"/>
  <c r="G131" i="1"/>
  <c r="W131" i="1" s="1"/>
  <c r="G132" i="1"/>
  <c r="W132" i="1" s="1"/>
  <c r="G133" i="1"/>
  <c r="W133" i="1" s="1"/>
  <c r="G134" i="1"/>
  <c r="W134" i="1" s="1"/>
  <c r="G135" i="1"/>
  <c r="W135" i="1" s="1"/>
  <c r="G136" i="1"/>
  <c r="W136" i="1" s="1"/>
  <c r="G137" i="1"/>
  <c r="W137" i="1" s="1"/>
  <c r="G138" i="1"/>
  <c r="W138" i="1" s="1"/>
  <c r="G139" i="1"/>
  <c r="W139" i="1" s="1"/>
  <c r="G140" i="1"/>
  <c r="W140" i="1" s="1"/>
  <c r="G141" i="1"/>
  <c r="W141" i="1" s="1"/>
  <c r="G142" i="1"/>
  <c r="W142" i="1" s="1"/>
  <c r="G143" i="1"/>
  <c r="W143" i="1" s="1"/>
  <c r="G144" i="1"/>
  <c r="W144" i="1" s="1"/>
  <c r="G145" i="1"/>
  <c r="W145" i="1" s="1"/>
  <c r="G2" i="1"/>
  <c r="W2" i="1" s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2" i="1"/>
  <c r="M5" i="1"/>
  <c r="AD5" i="1" s="1"/>
  <c r="M8" i="1"/>
  <c r="AD8" i="1" s="1"/>
  <c r="M11" i="1"/>
  <c r="AD11" i="1" s="1"/>
  <c r="M14" i="1"/>
  <c r="AD14" i="1" s="1"/>
  <c r="M17" i="1"/>
  <c r="AD17" i="1" s="1"/>
  <c r="M20" i="1"/>
  <c r="AD20" i="1" s="1"/>
  <c r="M23" i="1"/>
  <c r="AD23" i="1" s="1"/>
  <c r="M26" i="1"/>
  <c r="AD26" i="1" s="1"/>
  <c r="M29" i="1"/>
  <c r="AD29" i="1" s="1"/>
  <c r="M32" i="1"/>
  <c r="AD32" i="1" s="1"/>
  <c r="M35" i="1"/>
  <c r="AD35" i="1" s="1"/>
  <c r="M38" i="1"/>
  <c r="AD38" i="1" s="1"/>
  <c r="M41" i="1"/>
  <c r="AD41" i="1" s="1"/>
  <c r="M44" i="1"/>
  <c r="AD44" i="1" s="1"/>
  <c r="M47" i="1"/>
  <c r="AD47" i="1" s="1"/>
  <c r="M50" i="1"/>
  <c r="AD50" i="1" s="1"/>
  <c r="M53" i="1"/>
  <c r="AD53" i="1" s="1"/>
  <c r="M56" i="1"/>
  <c r="AD56" i="1" s="1"/>
  <c r="M59" i="1"/>
  <c r="AD59" i="1" s="1"/>
  <c r="M62" i="1"/>
  <c r="AD62" i="1" s="1"/>
  <c r="M65" i="1"/>
  <c r="AD65" i="1" s="1"/>
  <c r="M68" i="1"/>
  <c r="AD68" i="1" s="1"/>
  <c r="M70" i="1"/>
  <c r="AD70" i="1" s="1"/>
  <c r="M73" i="1"/>
  <c r="AD73" i="1" s="1"/>
  <c r="M76" i="1"/>
  <c r="AD76" i="1" s="1"/>
  <c r="M79" i="1"/>
  <c r="AD79" i="1" s="1"/>
  <c r="M82" i="1"/>
  <c r="AD82" i="1" s="1"/>
  <c r="M85" i="1"/>
  <c r="AD85" i="1" s="1"/>
  <c r="M88" i="1"/>
  <c r="AD88" i="1" s="1"/>
  <c r="M91" i="1"/>
  <c r="AD91" i="1" s="1"/>
  <c r="M94" i="1"/>
  <c r="AD94" i="1" s="1"/>
  <c r="M97" i="1"/>
  <c r="AD97" i="1" s="1"/>
  <c r="M100" i="1"/>
  <c r="AD100" i="1" s="1"/>
  <c r="M103" i="1"/>
  <c r="AD103" i="1" s="1"/>
  <c r="M106" i="1"/>
  <c r="AD106" i="1" s="1"/>
  <c r="M109" i="1"/>
  <c r="AD109" i="1" s="1"/>
  <c r="M112" i="1"/>
  <c r="AD112" i="1" s="1"/>
  <c r="M115" i="1"/>
  <c r="AD115" i="1" s="1"/>
  <c r="M118" i="1"/>
  <c r="AD118" i="1" s="1"/>
  <c r="M121" i="1"/>
  <c r="AD121" i="1" s="1"/>
  <c r="M124" i="1"/>
  <c r="AD124" i="1" s="1"/>
  <c r="M127" i="1"/>
  <c r="AD127" i="1" s="1"/>
  <c r="M130" i="1"/>
  <c r="AD130" i="1" s="1"/>
  <c r="M133" i="1"/>
  <c r="AD133" i="1" s="1"/>
  <c r="M136" i="1"/>
  <c r="AD136" i="1" s="1"/>
  <c r="M139" i="1"/>
  <c r="AD139" i="1" s="1"/>
  <c r="M142" i="1"/>
  <c r="AD142" i="1" s="1"/>
  <c r="M145" i="1"/>
  <c r="AD145" i="1" s="1"/>
  <c r="M2" i="1"/>
  <c r="AD2" i="1" s="1"/>
  <c r="L144" i="1"/>
  <c r="M144" i="1" s="1"/>
  <c r="AD144" i="1" s="1"/>
  <c r="L143" i="1"/>
  <c r="M143" i="1" s="1"/>
  <c r="AD143" i="1" s="1"/>
  <c r="L141" i="1"/>
  <c r="M141" i="1" s="1"/>
  <c r="AD141" i="1" s="1"/>
  <c r="L140" i="1"/>
  <c r="M140" i="1" s="1"/>
  <c r="AD140" i="1" s="1"/>
  <c r="L138" i="1"/>
  <c r="M138" i="1" s="1"/>
  <c r="AD138" i="1" s="1"/>
  <c r="L137" i="1"/>
  <c r="M137" i="1" s="1"/>
  <c r="AD137" i="1" s="1"/>
  <c r="L135" i="1"/>
  <c r="M135" i="1" s="1"/>
  <c r="AD135" i="1" s="1"/>
  <c r="L134" i="1"/>
  <c r="M134" i="1" s="1"/>
  <c r="AD134" i="1" s="1"/>
  <c r="L132" i="1"/>
  <c r="M132" i="1" s="1"/>
  <c r="AD132" i="1" s="1"/>
  <c r="L131" i="1"/>
  <c r="M131" i="1" s="1"/>
  <c r="AD131" i="1" s="1"/>
  <c r="L129" i="1"/>
  <c r="M129" i="1" s="1"/>
  <c r="AD129" i="1" s="1"/>
  <c r="L128" i="1"/>
  <c r="M128" i="1" s="1"/>
  <c r="AD128" i="1" s="1"/>
  <c r="L126" i="1"/>
  <c r="M126" i="1" s="1"/>
  <c r="AD126" i="1" s="1"/>
  <c r="L125" i="1"/>
  <c r="M125" i="1" s="1"/>
  <c r="AD125" i="1" s="1"/>
  <c r="L123" i="1"/>
  <c r="M123" i="1" s="1"/>
  <c r="AD123" i="1" s="1"/>
  <c r="L122" i="1"/>
  <c r="M122" i="1" s="1"/>
  <c r="AD122" i="1" s="1"/>
  <c r="L120" i="1"/>
  <c r="M120" i="1" s="1"/>
  <c r="AD120" i="1" s="1"/>
  <c r="L119" i="1"/>
  <c r="M119" i="1" s="1"/>
  <c r="AD119" i="1" s="1"/>
  <c r="L117" i="1"/>
  <c r="M117" i="1" s="1"/>
  <c r="AD117" i="1" s="1"/>
  <c r="L116" i="1"/>
  <c r="M116" i="1" s="1"/>
  <c r="AD116" i="1" s="1"/>
  <c r="L114" i="1"/>
  <c r="M114" i="1" s="1"/>
  <c r="AD114" i="1" s="1"/>
  <c r="L113" i="1"/>
  <c r="M113" i="1" s="1"/>
  <c r="AD113" i="1" s="1"/>
  <c r="L111" i="1"/>
  <c r="M111" i="1" s="1"/>
  <c r="AD111" i="1" s="1"/>
  <c r="L110" i="1"/>
  <c r="M110" i="1" s="1"/>
  <c r="AD110" i="1" s="1"/>
  <c r="L108" i="1"/>
  <c r="M108" i="1" s="1"/>
  <c r="AD108" i="1" s="1"/>
  <c r="L107" i="1"/>
  <c r="M107" i="1" s="1"/>
  <c r="AD107" i="1" s="1"/>
  <c r="L105" i="1"/>
  <c r="M105" i="1" s="1"/>
  <c r="AD105" i="1" s="1"/>
  <c r="L104" i="1"/>
  <c r="M104" i="1" s="1"/>
  <c r="AD104" i="1" s="1"/>
  <c r="L102" i="1"/>
  <c r="M102" i="1" s="1"/>
  <c r="AD102" i="1" s="1"/>
  <c r="L101" i="1"/>
  <c r="M101" i="1" s="1"/>
  <c r="AD101" i="1" s="1"/>
  <c r="L99" i="1"/>
  <c r="M99" i="1" s="1"/>
  <c r="AD99" i="1" s="1"/>
  <c r="L98" i="1"/>
  <c r="M98" i="1" s="1"/>
  <c r="AD98" i="1" s="1"/>
  <c r="L96" i="1"/>
  <c r="M96" i="1" s="1"/>
  <c r="AD96" i="1" s="1"/>
  <c r="L95" i="1"/>
  <c r="M95" i="1" s="1"/>
  <c r="AD95" i="1" s="1"/>
  <c r="L93" i="1"/>
  <c r="M93" i="1" s="1"/>
  <c r="AD93" i="1" s="1"/>
  <c r="L92" i="1"/>
  <c r="M92" i="1" s="1"/>
  <c r="AD92" i="1" s="1"/>
  <c r="L90" i="1"/>
  <c r="M90" i="1" s="1"/>
  <c r="AD90" i="1" s="1"/>
  <c r="L89" i="1"/>
  <c r="M89" i="1" s="1"/>
  <c r="AD89" i="1" s="1"/>
  <c r="L87" i="1"/>
  <c r="M87" i="1" s="1"/>
  <c r="AD87" i="1" s="1"/>
  <c r="L86" i="1"/>
  <c r="M86" i="1" s="1"/>
  <c r="AD86" i="1" s="1"/>
  <c r="L84" i="1"/>
  <c r="M84" i="1" s="1"/>
  <c r="AD84" i="1" s="1"/>
  <c r="L83" i="1"/>
  <c r="M83" i="1" s="1"/>
  <c r="AD83" i="1" s="1"/>
  <c r="L81" i="1"/>
  <c r="M81" i="1" s="1"/>
  <c r="AD81" i="1" s="1"/>
  <c r="L80" i="1"/>
  <c r="M80" i="1" s="1"/>
  <c r="AD80" i="1" s="1"/>
  <c r="L78" i="1"/>
  <c r="M78" i="1" s="1"/>
  <c r="AD78" i="1" s="1"/>
  <c r="L77" i="1"/>
  <c r="M77" i="1" s="1"/>
  <c r="AD77" i="1" s="1"/>
  <c r="L75" i="1"/>
  <c r="M75" i="1" s="1"/>
  <c r="AD75" i="1" s="1"/>
  <c r="L74" i="1"/>
  <c r="M74" i="1" s="1"/>
  <c r="AD74" i="1" s="1"/>
  <c r="L72" i="1"/>
  <c r="M72" i="1" s="1"/>
  <c r="AD72" i="1" s="1"/>
  <c r="L71" i="1"/>
  <c r="M71" i="1" s="1"/>
  <c r="AD71" i="1" s="1"/>
  <c r="L67" i="1"/>
  <c r="M67" i="1" s="1"/>
  <c r="AD67" i="1" s="1"/>
  <c r="L66" i="1"/>
  <c r="M66" i="1" s="1"/>
  <c r="AD66" i="1" s="1"/>
  <c r="L64" i="1"/>
  <c r="M64" i="1" s="1"/>
  <c r="AD64" i="1" s="1"/>
  <c r="L63" i="1"/>
  <c r="M63" i="1" s="1"/>
  <c r="AD63" i="1" s="1"/>
  <c r="L61" i="1"/>
  <c r="M61" i="1" s="1"/>
  <c r="AD61" i="1" s="1"/>
  <c r="L60" i="1"/>
  <c r="M60" i="1" s="1"/>
  <c r="AD60" i="1" s="1"/>
  <c r="L58" i="1"/>
  <c r="M58" i="1" s="1"/>
  <c r="AD58" i="1" s="1"/>
  <c r="L57" i="1"/>
  <c r="M57" i="1" s="1"/>
  <c r="AD57" i="1" s="1"/>
  <c r="L55" i="1"/>
  <c r="M55" i="1" s="1"/>
  <c r="AD55" i="1" s="1"/>
  <c r="L54" i="1"/>
  <c r="M54" i="1" s="1"/>
  <c r="AD54" i="1" s="1"/>
  <c r="L52" i="1"/>
  <c r="M52" i="1" s="1"/>
  <c r="AD52" i="1" s="1"/>
  <c r="L51" i="1"/>
  <c r="M51" i="1" s="1"/>
  <c r="AD51" i="1" s="1"/>
  <c r="L49" i="1"/>
  <c r="M49" i="1" s="1"/>
  <c r="AD49" i="1" s="1"/>
  <c r="L48" i="1"/>
  <c r="M48" i="1" s="1"/>
  <c r="AD48" i="1" s="1"/>
  <c r="L46" i="1"/>
  <c r="M46" i="1" s="1"/>
  <c r="AD46" i="1" s="1"/>
  <c r="L45" i="1"/>
  <c r="M45" i="1" s="1"/>
  <c r="AD45" i="1" s="1"/>
  <c r="L43" i="1"/>
  <c r="M43" i="1" s="1"/>
  <c r="AD43" i="1" s="1"/>
  <c r="L42" i="1"/>
  <c r="M42" i="1" s="1"/>
  <c r="AD42" i="1" s="1"/>
  <c r="L40" i="1"/>
  <c r="M40" i="1" s="1"/>
  <c r="AD40" i="1" s="1"/>
  <c r="L39" i="1"/>
  <c r="M39" i="1" s="1"/>
  <c r="AD39" i="1" s="1"/>
  <c r="L37" i="1"/>
  <c r="M37" i="1" s="1"/>
  <c r="AD37" i="1" s="1"/>
  <c r="L36" i="1"/>
  <c r="M36" i="1" s="1"/>
  <c r="AD36" i="1" s="1"/>
  <c r="L34" i="1"/>
  <c r="M34" i="1" s="1"/>
  <c r="AD34" i="1" s="1"/>
  <c r="L33" i="1"/>
  <c r="M33" i="1" s="1"/>
  <c r="AD33" i="1" s="1"/>
  <c r="L31" i="1"/>
  <c r="M31" i="1" s="1"/>
  <c r="AD31" i="1" s="1"/>
  <c r="L30" i="1"/>
  <c r="M30" i="1" s="1"/>
  <c r="AD30" i="1" s="1"/>
  <c r="L28" i="1"/>
  <c r="M28" i="1" s="1"/>
  <c r="AD28" i="1" s="1"/>
  <c r="L27" i="1"/>
  <c r="M27" i="1" s="1"/>
  <c r="AD27" i="1" s="1"/>
  <c r="L25" i="1"/>
  <c r="M25" i="1" s="1"/>
  <c r="AD25" i="1" s="1"/>
  <c r="L24" i="1"/>
  <c r="M24" i="1" s="1"/>
  <c r="AD24" i="1" s="1"/>
  <c r="L22" i="1"/>
  <c r="M22" i="1" s="1"/>
  <c r="AD22" i="1" s="1"/>
  <c r="L21" i="1"/>
  <c r="M21" i="1" s="1"/>
  <c r="AD21" i="1" s="1"/>
  <c r="L19" i="1"/>
  <c r="M19" i="1" s="1"/>
  <c r="AD19" i="1" s="1"/>
  <c r="L18" i="1"/>
  <c r="M18" i="1" s="1"/>
  <c r="AD18" i="1" s="1"/>
  <c r="L16" i="1"/>
  <c r="M16" i="1" s="1"/>
  <c r="AD16" i="1" s="1"/>
  <c r="L15" i="1"/>
  <c r="M15" i="1" s="1"/>
  <c r="AD15" i="1" s="1"/>
  <c r="L13" i="1"/>
  <c r="M13" i="1" s="1"/>
  <c r="AD13" i="1" s="1"/>
  <c r="L12" i="1"/>
  <c r="M12" i="1" s="1"/>
  <c r="AD12" i="1" s="1"/>
  <c r="L10" i="1"/>
  <c r="M10" i="1" s="1"/>
  <c r="AD10" i="1" s="1"/>
  <c r="L9" i="1"/>
  <c r="M9" i="1" s="1"/>
  <c r="AD9" i="1" s="1"/>
  <c r="L7" i="1"/>
  <c r="M7" i="1" s="1"/>
  <c r="AD7" i="1" s="1"/>
  <c r="L6" i="1"/>
  <c r="M6" i="1" s="1"/>
  <c r="AD6" i="1" s="1"/>
  <c r="L4" i="1"/>
  <c r="M4" i="1" s="1"/>
  <c r="AD4" i="1" s="1"/>
  <c r="L3" i="1"/>
  <c r="M3" i="1" s="1"/>
  <c r="AD3" i="1" s="1"/>
  <c r="E2" i="25" l="1" a="1"/>
  <c r="E2" i="25" s="1"/>
  <c r="G2" i="25" a="1"/>
  <c r="G2" i="25" s="1"/>
  <c r="I2" i="25" a="1"/>
  <c r="I2" i="25" s="1"/>
  <c r="J2" i="25" a="1"/>
  <c r="J2" i="25" s="1"/>
  <c r="U114" i="1"/>
  <c r="U110" i="1"/>
  <c r="U106" i="1"/>
  <c r="U102" i="1"/>
  <c r="U98" i="1"/>
  <c r="U94" i="1"/>
  <c r="U90" i="1"/>
  <c r="U86" i="1"/>
  <c r="U82" i="1"/>
  <c r="U78" i="1"/>
  <c r="U74" i="1"/>
  <c r="U70" i="1"/>
  <c r="U66" i="1"/>
  <c r="U62" i="1"/>
  <c r="U58" i="1"/>
  <c r="U14" i="1"/>
  <c r="U10" i="1"/>
  <c r="U6" i="1"/>
  <c r="V142" i="1"/>
  <c r="V138" i="1"/>
  <c r="V134" i="1"/>
  <c r="V130" i="1"/>
  <c r="V126" i="1"/>
  <c r="V122" i="1"/>
  <c r="V118" i="1"/>
  <c r="V114" i="1"/>
  <c r="V110" i="1"/>
  <c r="V106" i="1"/>
  <c r="V102" i="1"/>
  <c r="V98" i="1"/>
  <c r="V94" i="1"/>
  <c r="V90" i="1"/>
  <c r="V86" i="1"/>
  <c r="V82" i="1"/>
  <c r="V78" i="1"/>
  <c r="V74" i="1"/>
  <c r="V70" i="1"/>
  <c r="V66" i="1"/>
  <c r="V62" i="1"/>
  <c r="V58" i="1"/>
  <c r="V54" i="1"/>
  <c r="V50" i="1"/>
  <c r="V46" i="1"/>
  <c r="V42" i="1"/>
  <c r="V38" i="1"/>
  <c r="V34" i="1"/>
  <c r="V30" i="1"/>
  <c r="V26" i="1"/>
  <c r="V22" i="1"/>
  <c r="V18" i="1"/>
  <c r="V14" i="1"/>
  <c r="V10" i="1"/>
  <c r="V6" i="1"/>
  <c r="U143" i="1"/>
  <c r="U139" i="1"/>
  <c r="U135" i="1"/>
  <c r="U131" i="1"/>
  <c r="U127" i="1"/>
  <c r="U123" i="1"/>
  <c r="U119" i="1"/>
  <c r="U115" i="1"/>
  <c r="U111" i="1"/>
  <c r="U107" i="1"/>
  <c r="U99" i="1"/>
  <c r="U75" i="1"/>
  <c r="U71" i="1"/>
  <c r="U67" i="1"/>
  <c r="U63" i="1"/>
  <c r="U59" i="1"/>
  <c r="U55" i="1"/>
  <c r="U51" i="1"/>
  <c r="U47" i="1"/>
  <c r="U43" i="1"/>
  <c r="U39" i="1"/>
  <c r="U35" i="1"/>
  <c r="U31" i="1"/>
  <c r="U27" i="1"/>
  <c r="V95" i="1"/>
  <c r="V87" i="1"/>
  <c r="V83" i="1"/>
  <c r="V79" i="1"/>
  <c r="V75" i="1"/>
  <c r="V71" i="1"/>
  <c r="V67" i="1"/>
  <c r="V63" i="1"/>
  <c r="V59" i="1"/>
  <c r="V55" i="1"/>
  <c r="V51" i="1"/>
  <c r="U103" i="1"/>
  <c r="U95" i="1"/>
  <c r="U91" i="1"/>
  <c r="U87" i="1"/>
  <c r="U83" i="1"/>
  <c r="U79" i="1"/>
  <c r="U23" i="1"/>
  <c r="U19" i="1"/>
  <c r="U15" i="1"/>
  <c r="U11" i="1"/>
  <c r="U7" i="1"/>
  <c r="V143" i="1"/>
  <c r="V139" i="1"/>
  <c r="V135" i="1"/>
  <c r="V131" i="1"/>
  <c r="V127" i="1"/>
  <c r="V123" i="1"/>
  <c r="V119" i="1"/>
  <c r="V115" i="1"/>
  <c r="V111" i="1"/>
  <c r="V107" i="1"/>
  <c r="V103" i="1"/>
  <c r="V99" i="1"/>
  <c r="V91" i="1"/>
  <c r="V47" i="1"/>
  <c r="V43" i="1"/>
  <c r="V39" i="1"/>
  <c r="V35" i="1"/>
  <c r="V31" i="1"/>
  <c r="V27" i="1"/>
  <c r="V23" i="1"/>
  <c r="V19" i="1"/>
  <c r="V15" i="1"/>
  <c r="V11" i="1"/>
  <c r="V7" i="1"/>
  <c r="U54" i="1"/>
  <c r="U145" i="1"/>
  <c r="U141" i="1"/>
  <c r="U137" i="1"/>
  <c r="U133" i="1"/>
  <c r="U129" i="1"/>
  <c r="U125" i="1"/>
  <c r="U121" i="1"/>
  <c r="U117" i="1"/>
  <c r="U113" i="1"/>
  <c r="U109" i="1"/>
  <c r="U105" i="1"/>
  <c r="U101" i="1"/>
  <c r="U97" i="1"/>
  <c r="U93" i="1"/>
  <c r="U89" i="1"/>
  <c r="U85" i="1"/>
  <c r="U81" i="1"/>
  <c r="U77" i="1"/>
  <c r="U73" i="1"/>
  <c r="U69" i="1"/>
  <c r="U65" i="1"/>
  <c r="U61" i="1"/>
  <c r="U57" i="1"/>
  <c r="U53" i="1"/>
  <c r="U49" i="1"/>
  <c r="U45" i="1"/>
  <c r="U41" i="1"/>
  <c r="U37" i="1"/>
  <c r="U33" i="1"/>
  <c r="U29" i="1"/>
  <c r="U25" i="1"/>
  <c r="U21" i="1"/>
  <c r="U17" i="1"/>
  <c r="U9" i="1"/>
  <c r="U5" i="1"/>
  <c r="V145" i="1"/>
  <c r="V133" i="1"/>
  <c r="V129" i="1"/>
  <c r="V125" i="1"/>
  <c r="V121" i="1"/>
  <c r="V117" i="1"/>
  <c r="V113" i="1"/>
  <c r="V109" i="1"/>
  <c r="V105" i="1"/>
  <c r="V101" i="1"/>
  <c r="V97" i="1"/>
  <c r="V93" i="1"/>
  <c r="V89" i="1"/>
  <c r="V81" i="1"/>
  <c r="V73" i="1"/>
  <c r="V69" i="1"/>
  <c r="V65" i="1"/>
  <c r="V61" i="1"/>
  <c r="V57" i="1"/>
  <c r="V53" i="1"/>
  <c r="V49" i="1"/>
  <c r="V41" i="1"/>
  <c r="V37" i="1"/>
  <c r="V5" i="1"/>
  <c r="U142" i="1"/>
  <c r="U138" i="1"/>
  <c r="U134" i="1"/>
  <c r="U130" i="1"/>
  <c r="U126" i="1"/>
  <c r="U50" i="1"/>
  <c r="V3" i="1"/>
  <c r="U122" i="1"/>
  <c r="U46" i="1"/>
  <c r="U42" i="1"/>
  <c r="V141" i="1"/>
  <c r="V137" i="1"/>
  <c r="V85" i="1"/>
  <c r="V77" i="1"/>
  <c r="V45" i="1"/>
  <c r="V33" i="1"/>
  <c r="V29" i="1"/>
  <c r="V25" i="1"/>
  <c r="V21" i="1"/>
  <c r="V17" i="1"/>
  <c r="V13" i="1"/>
  <c r="V9" i="1"/>
  <c r="U144" i="1"/>
  <c r="U140" i="1"/>
  <c r="U136" i="1"/>
  <c r="U132" i="1"/>
  <c r="U128" i="1"/>
  <c r="U124" i="1"/>
  <c r="U120" i="1"/>
  <c r="U116" i="1"/>
  <c r="U112" i="1"/>
  <c r="U108" i="1"/>
  <c r="U104" i="1"/>
  <c r="U96" i="1"/>
  <c r="U92" i="1"/>
  <c r="U88" i="1"/>
  <c r="U84" i="1"/>
  <c r="U80" i="1"/>
  <c r="U76" i="1"/>
  <c r="U72" i="1"/>
  <c r="U68" i="1"/>
  <c r="U64" i="1"/>
  <c r="U60" i="1"/>
  <c r="U56" i="1"/>
  <c r="U52" i="1"/>
  <c r="U48" i="1"/>
  <c r="U44" i="1"/>
  <c r="U40" i="1"/>
  <c r="U36" i="1"/>
  <c r="U32" i="1"/>
  <c r="U28" i="1"/>
  <c r="U24" i="1"/>
  <c r="U4" i="1"/>
  <c r="V144" i="1"/>
  <c r="V140" i="1"/>
  <c r="V136" i="1"/>
  <c r="V132" i="1"/>
  <c r="V128" i="1"/>
  <c r="V124" i="1"/>
  <c r="V120" i="1"/>
  <c r="V116" i="1"/>
  <c r="V112" i="1"/>
  <c r="V108" i="1"/>
  <c r="V104" i="1"/>
  <c r="V100" i="1"/>
  <c r="V96" i="1"/>
  <c r="V92" i="1"/>
  <c r="V88" i="1"/>
  <c r="V84" i="1"/>
  <c r="V80" i="1"/>
  <c r="V76" i="1"/>
  <c r="V72" i="1"/>
  <c r="V68" i="1"/>
  <c r="V64" i="1"/>
  <c r="V60" i="1"/>
  <c r="V56" i="1"/>
  <c r="V52" i="1"/>
  <c r="V48" i="1"/>
  <c r="V44" i="1"/>
  <c r="V40" i="1"/>
  <c r="V36" i="1"/>
  <c r="V32" i="1"/>
  <c r="V28" i="1"/>
  <c r="V24" i="1"/>
  <c r="V20" i="1"/>
  <c r="V16" i="1"/>
  <c r="V12" i="1"/>
  <c r="V8" i="1"/>
  <c r="V4" i="1"/>
  <c r="U3" i="1"/>
  <c r="U118" i="1"/>
  <c r="U38" i="1"/>
  <c r="U34" i="1"/>
  <c r="U30" i="1"/>
  <c r="U26" i="1"/>
  <c r="U22" i="1"/>
  <c r="U18" i="1"/>
  <c r="U13" i="1"/>
  <c r="U100" i="1"/>
  <c r="U20" i="1"/>
  <c r="U16" i="1"/>
  <c r="U12" i="1"/>
  <c r="U8" i="1"/>
  <c r="L69" i="1"/>
  <c r="M69" i="1" s="1"/>
  <c r="AD69" i="1" s="1"/>
  <c r="O2" i="25" s="1" a="1"/>
  <c r="O2" i="25" s="1"/>
  <c r="V2" i="1" l="1"/>
  <c r="H2" i="25" s="1" a="1"/>
  <c r="H2" i="25" s="1"/>
  <c r="U2" i="1"/>
  <c r="F2" i="25" s="1" a="1"/>
  <c r="F2" i="2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<sst xmlns="http://schemas.openxmlformats.org/spreadsheetml/2006/main" count="663" uniqueCount="85">
  <si>
    <t>Date</t>
  </si>
  <si>
    <t>Average SONIA (%)</t>
  </si>
  <si>
    <t>Asset Returns (%)</t>
  </si>
  <si>
    <t>BoE 3Y Spot (%)</t>
  </si>
  <si>
    <t>BoE 10Y Spot (%)</t>
  </si>
  <si>
    <t>BoE 20Y Spot (%)</t>
  </si>
  <si>
    <t>BoE 3Y OIS (%)</t>
  </si>
  <si>
    <t>BoE 3Y implied real spot (%)</t>
  </si>
  <si>
    <t>iShares Core £ Corp Bond (SLXX) (%)</t>
  </si>
  <si>
    <t>iShares Global HY Corp Bond ETF GBP Hedged (GHYS.L) (%)</t>
  </si>
  <si>
    <t>S&amp;P 500 Price</t>
  </si>
  <si>
    <t>S&amp;P 500 Earnings</t>
  </si>
  <si>
    <t>S&amp;P 500 E/P</t>
  </si>
  <si>
    <t>Slope (20Y-3Y) (%)</t>
  </si>
  <si>
    <t>Butterfly (2x10Y-20Y-3Y) (%)</t>
  </si>
  <si>
    <t>3Y Gilt - 3Y OIS (%)</t>
  </si>
  <si>
    <t>Interpolated 5.56Y Yield (%)</t>
  </si>
  <si>
    <t>IG Credit Spread (%)</t>
  </si>
  <si>
    <t>HY-IG Spread (%)</t>
  </si>
  <si>
    <t>Effective Federal Funds Rate (monthly) (%)</t>
  </si>
  <si>
    <t>S&amp;P 500 ERP GBP Hedged (%)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</si>
  <si>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</si>
  <si>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</si>
  <si>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</si>
  <si>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</si>
  <si>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</si>
  <si>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</si>
  <si>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</si>
  <si>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</si>
  <si>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</si>
  <si>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</si>
  <si>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</si>
  <si>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</si>
  <si>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</si>
  <si>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</si>
  <si>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</si>
  <si>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</si>
  <si>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</si>
  <si>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</si>
  <si>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</si>
  <si>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</si>
  <si>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</si>
  <si>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</si>
  <si>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</si>
  <si>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</si>
  <si>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</si>
  <si>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</si>
  <si>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Residuals</t>
  </si>
  <si>
    <t>PROBABILITY OUTPUT</t>
  </si>
  <si>
    <t>Percentile</t>
  </si>
  <si>
    <t>Predicted Asset Returns (%)</t>
  </si>
  <si>
    <t>Inflation (3Y gilt - 3Y IL) (%)</t>
  </si>
  <si>
    <t>Standard Residuals</t>
  </si>
  <si>
    <t>S&amp;P 500 Returns (%)</t>
  </si>
  <si>
    <t>S&amp;P 500 - HY (%)</t>
  </si>
  <si>
    <t>Change in VIX (%)</t>
  </si>
  <si>
    <t>VIX</t>
  </si>
  <si>
    <t>VIX (Close)</t>
  </si>
  <si>
    <t>SONIA - EFFR (%)</t>
  </si>
  <si>
    <t>Inflation Change (%)</t>
  </si>
  <si>
    <t>Slope Change (%)</t>
  </si>
  <si>
    <t>Butterfly Change (%)</t>
  </si>
  <si>
    <t>S&amp;P 500 Returns - HY (%)</t>
  </si>
  <si>
    <t>Predicted S&amp;P 500 Returns - HY (%)</t>
  </si>
  <si>
    <t>date</t>
  </si>
  <si>
    <t>asset_returns</t>
  </si>
  <si>
    <t>slope</t>
  </si>
  <si>
    <t>butterfly</t>
  </si>
  <si>
    <t>swap_spread</t>
  </si>
  <si>
    <t>slope_change</t>
  </si>
  <si>
    <t>butterfly_change</t>
  </si>
  <si>
    <t>SONIA</t>
  </si>
  <si>
    <t>IG_gilt_spread</t>
  </si>
  <si>
    <t>HY_IG_spread</t>
  </si>
  <si>
    <t>inflation_change</t>
  </si>
  <si>
    <t>VIX_change</t>
  </si>
  <si>
    <t>S&amp;P_500_ERP</t>
  </si>
  <si>
    <t>inflation</t>
  </si>
  <si>
    <t>SONIA_EFFR_spread</t>
  </si>
  <si>
    <t>S&amp;P_500_HY_spread</t>
  </si>
  <si>
    <t>Predicted Inflation Change (%)</t>
  </si>
  <si>
    <t>SONIA_EFFR</t>
  </si>
  <si>
    <t>IG_gilt</t>
  </si>
  <si>
    <t>HY_IG</t>
  </si>
  <si>
    <t>S&amp;P_500_HY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</si>
</sst>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1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2"/>
      <color theme="1"/>
      <name val="Calibri (Body)"/>
    </font>
    <font>
      <sz val="12"/>
      <color theme="1"/>
      <name val="Calibri (Body)"/>
    </font>
    <font>
      <i/>
      <sz val="12"/>
      <color theme="1"/>
      <name val="Calibri"/>
      <family val="2"/>
      <scheme val="minor"/>
    </font>
    <font>
      <b/>
      <i/>
      <sz val="12"/>
      <color theme="1"/>
      <name val="Calibri (Body)"/>
    </font>
    <font>
      <b/>
      <i/>
      <sz val="12"/>
      <color theme="1"/>
      <name val="Calibri"/>
      <family val="2"/>
      <scheme val="minor"/>
    </font>
    <font>
      <b/>
      <sz val="12"/>
      <color theme="1"/>
      <name val="Calibri (Body)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6">
    <xf numFmtId="0" fontId="0" fillId="0" borderId="0" xfId="0"/>
    <xf numFmtId="17" fontId="3" fillId="0" borderId="0" xfId="0" applyNumberFormat="1" applyFont="1"/>
    <xf numFmtId="0" fontId="0" fillId="0" borderId="1" xfId="0" applyBorder="1"/>
    <xf numFmtId="0" fontId="7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Continuous"/>
    </xf>
    <xf numFmtId="2" fontId="10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17" fontId="2" fillId="0" borderId="0" xfId="0" applyNumberFormat="1" applyFont="1"/>
    <xf numFmtId="164" fontId="2" fillId="0" borderId="0" xfId="0" applyNumberFormat="1" applyFont="1"/>
    <xf numFmtId="17" fontId="0" fillId="0" borderId="0" xfId="0" applyNumberFormat="1"/>
    <xf numFmtId="164" fontId="2" fillId="0" borderId="4" xfId="0" applyNumberFormat="1" applyFont="1" applyBorder="1"/>
    <xf numFmtId="164" fontId="2" fillId="2" borderId="4" xfId="0" applyNumberFormat="1" applyFont="1" applyFill="1" applyBorder="1"/>
    <xf numFmtId="0" fontId="7" fillId="0" borderId="5" xfId="0" applyFont="1" applyBorder="1"/>
    <xf numFmtId="2" fontId="5" fillId="0" borderId="5" xfId="0" applyNumberFormat="1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7" fillId="0" borderId="5" xfId="0" applyFont="1" applyBorder="1" applyAlignment="1">
      <alignment wrapText="1"/>
    </xf>
    <xf numFmtId="164" fontId="4" fillId="0" borderId="5" xfId="0" applyNumberFormat="1" applyFont="1" applyBorder="1" applyAlignment="1">
      <alignment wrapText="1"/>
    </xf>
    <xf numFmtId="164" fontId="7" fillId="0" borderId="5" xfId="0" applyNumberFormat="1" applyFont="1" applyBorder="1" applyAlignment="1">
      <alignment wrapText="1"/>
    </xf>
    <xf numFmtId="164" fontId="6" fillId="0" borderId="7" xfId="0" applyNumberFormat="1" applyFont="1" applyBorder="1"/>
    <xf numFmtId="164" fontId="0" fillId="0" borderId="7" xfId="0" applyNumberFormat="1" applyBorder="1"/>
    <xf numFmtId="0" fontId="0" fillId="0" borderId="7" xfId="0" applyBorder="1"/>
    <xf numFmtId="164" fontId="0" fillId="0" borderId="8" xfId="0" applyNumberFormat="1" applyBorder="1"/>
    <xf numFmtId="2" fontId="11" fillId="0" borderId="7" xfId="1" applyNumberFormat="1" applyFont="1" applyBorder="1" applyAlignment="1">
      <alignment horizontal="center"/>
    </xf>
    <xf numFmtId="2" fontId="11" fillId="0" borderId="7" xfId="0" applyNumberFormat="1" applyFont="1" applyBorder="1" applyAlignment="1">
      <alignment horizontal="center"/>
    </xf>
    <xf numFmtId="164" fontId="11" fillId="0" borderId="7" xfId="1" applyNumberFormat="1" applyFont="1" applyBorder="1" applyAlignment="1">
      <alignment horizontal="center"/>
    </xf>
    <xf numFmtId="2" fontId="11" fillId="0" borderId="7" xfId="1" applyNumberFormat="1" applyFont="1" applyFill="1" applyBorder="1" applyAlignment="1">
      <alignment horizontal="center"/>
    </xf>
    <xf numFmtId="164" fontId="7" fillId="0" borderId="6" xfId="0" applyNumberFormat="1" applyFont="1" applyBorder="1" applyAlignment="1">
      <alignment wrapText="1"/>
    </xf>
    <xf numFmtId="164" fontId="0" fillId="0" borderId="9" xfId="0" applyNumberFormat="1" applyBorder="1"/>
    <xf numFmtId="164" fontId="0" fillId="0" borderId="10" xfId="0" applyNumberFormat="1" applyBorder="1"/>
    <xf numFmtId="0" fontId="0" fillId="0" borderId="9" xfId="0" applyBorder="1"/>
    <xf numFmtId="164" fontId="9" fillId="2" borderId="3" xfId="0" applyNumberFormat="1" applyFont="1" applyFill="1" applyBorder="1"/>
    <xf numFmtId="0" fontId="0" fillId="0" borderId="4" xfId="0" applyBorder="1"/>
    <xf numFmtId="164" fontId="10" fillId="0" borderId="4" xfId="0" applyNumberFormat="1" applyFont="1" applyBorder="1"/>
    <xf numFmtId="164" fontId="10" fillId="0" borderId="11" xfId="0" applyNumberFormat="1" applyFont="1" applyBorder="1"/>
    <xf numFmtId="0" fontId="2" fillId="0" borderId="4" xfId="0" applyFont="1" applyBorder="1"/>
    <xf numFmtId="0" fontId="9" fillId="0" borderId="3" xfId="0" applyFont="1" applyBorder="1" applyAlignment="1">
      <alignment wrapText="1"/>
    </xf>
    <xf numFmtId="2" fontId="8" fillId="0" borderId="3" xfId="0" applyNumberFormat="1" applyFont="1" applyBorder="1" applyAlignment="1">
      <alignment wrapText="1"/>
    </xf>
    <xf numFmtId="164" fontId="0" fillId="0" borderId="0" xfId="0" applyNumberFormat="1" applyFill="1" applyBorder="1" applyAlignment="1"/>
    <xf numFmtId="164" fontId="0" fillId="0" borderId="1" xfId="0" applyNumberFormat="1" applyFill="1" applyBorder="1" applyAlignment="1"/>
    <xf numFmtId="0" fontId="9" fillId="0" borderId="2" xfId="0" applyFont="1" applyFill="1" applyBorder="1" applyAlignment="1">
      <alignment horizontal="center"/>
    </xf>
    <xf numFmtId="0" fontId="9" fillId="0" borderId="12" xfId="0" applyFont="1" applyFill="1" applyBorder="1" applyAlignment="1">
      <alignment horizontal="center"/>
    </xf>
    <xf numFmtId="164" fontId="0" fillId="0" borderId="13" xfId="0" applyNumberFormat="1" applyFill="1" applyBorder="1" applyAlignment="1"/>
    <xf numFmtId="164" fontId="0" fillId="0" borderId="14" xfId="0" applyNumberFormat="1" applyFill="1" applyBorder="1" applyAlignment="1"/>
    <xf numFmtId="0" fontId="7" fillId="0" borderId="15" xfId="0" applyFont="1" applyFill="1" applyBorder="1" applyAlignment="1">
      <alignment horizontal="center"/>
    </xf>
    <xf numFmtId="0" fontId="9" fillId="0" borderId="16" xfId="0" applyFont="1" applyFill="1" applyBorder="1" applyAlignment="1"/>
    <xf numFmtId="0" fontId="9" fillId="0" borderId="17" xfId="0" applyFont="1" applyFill="1" applyBorder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Data!$R$1</c:f>
              <c:strCache>
                <c:ptCount val="1"/>
                <c:pt idx="0">
                  <c:v>Average SONIA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Data!$R$2:$R$145</c:f>
              <c:numCache>
                <c:formatCode>0.0000</c:formatCode>
                <c:ptCount val="144"/>
                <c:pt idx="0">
                  <c:v>3.5433333333333303E-2</c:v>
                </c:pt>
                <c:pt idx="1">
                  <c:v>3.5841666666666702E-2</c:v>
                </c:pt>
                <c:pt idx="2">
                  <c:v>3.55833333333333E-2</c:v>
                </c:pt>
                <c:pt idx="3">
                  <c:v>3.5825000000000003E-2</c:v>
                </c:pt>
                <c:pt idx="4">
                  <c:v>3.5941666666666698E-2</c:v>
                </c:pt>
                <c:pt idx="5">
                  <c:v>3.58333333333333E-2</c:v>
                </c:pt>
                <c:pt idx="6">
                  <c:v>3.5125000000000003E-2</c:v>
                </c:pt>
                <c:pt idx="7">
                  <c:v>3.5725E-2</c:v>
                </c:pt>
                <c:pt idx="8">
                  <c:v>3.4974999999999999E-2</c:v>
                </c:pt>
                <c:pt idx="9">
                  <c:v>3.4658333333333298E-2</c:v>
                </c:pt>
                <c:pt idx="10">
                  <c:v>3.51666666666667E-2</c:v>
                </c:pt>
                <c:pt idx="11">
                  <c:v>3.5275000000000001E-2</c:v>
                </c:pt>
                <c:pt idx="12">
                  <c:v>3.5424999999999998E-2</c:v>
                </c:pt>
                <c:pt idx="13">
                  <c:v>3.5691666666666698E-2</c:v>
                </c:pt>
                <c:pt idx="14">
                  <c:v>3.5233333333333297E-2</c:v>
                </c:pt>
                <c:pt idx="15">
                  <c:v>3.59916666666667E-2</c:v>
                </c:pt>
                <c:pt idx="16">
                  <c:v>3.5900000000000001E-2</c:v>
                </c:pt>
                <c:pt idx="17">
                  <c:v>3.6041666666666701E-2</c:v>
                </c:pt>
                <c:pt idx="18">
                  <c:v>3.5666666666666701E-2</c:v>
                </c:pt>
                <c:pt idx="19">
                  <c:v>3.6291666666666701E-2</c:v>
                </c:pt>
                <c:pt idx="20">
                  <c:v>3.7591666666666697E-2</c:v>
                </c:pt>
                <c:pt idx="21">
                  <c:v>3.80666666666667E-2</c:v>
                </c:pt>
                <c:pt idx="22">
                  <c:v>3.8116666666666701E-2</c:v>
                </c:pt>
                <c:pt idx="23">
                  <c:v>3.85E-2</c:v>
                </c:pt>
                <c:pt idx="24">
                  <c:v>3.805E-2</c:v>
                </c:pt>
                <c:pt idx="25">
                  <c:v>3.7908333333333301E-2</c:v>
                </c:pt>
                <c:pt idx="26">
                  <c:v>3.8249999999999999E-2</c:v>
                </c:pt>
                <c:pt idx="27">
                  <c:v>3.7866666666666701E-2</c:v>
                </c:pt>
                <c:pt idx="28">
                  <c:v>3.8516666666666699E-2</c:v>
                </c:pt>
                <c:pt idx="29">
                  <c:v>3.8633333333333297E-2</c:v>
                </c:pt>
                <c:pt idx="30">
                  <c:v>3.8124999999999999E-2</c:v>
                </c:pt>
                <c:pt idx="31">
                  <c:v>3.8824999999999998E-2</c:v>
                </c:pt>
                <c:pt idx="32">
                  <c:v>3.8808333333333299E-2</c:v>
                </c:pt>
                <c:pt idx="33">
                  <c:v>3.8716666666666698E-2</c:v>
                </c:pt>
                <c:pt idx="34">
                  <c:v>3.88583333333333E-2</c:v>
                </c:pt>
                <c:pt idx="35">
                  <c:v>3.86083333333333E-2</c:v>
                </c:pt>
                <c:pt idx="36">
                  <c:v>3.83166666666667E-2</c:v>
                </c:pt>
                <c:pt idx="37">
                  <c:v>3.8141666666666699E-2</c:v>
                </c:pt>
                <c:pt idx="38">
                  <c:v>2.0650000000000002E-2</c:v>
                </c:pt>
                <c:pt idx="39">
                  <c:v>1.7749999999999998E-2</c:v>
                </c:pt>
                <c:pt idx="40">
                  <c:v>1.7666666666666699E-2</c:v>
                </c:pt>
                <c:pt idx="41">
                  <c:v>1.7566666666666699E-2</c:v>
                </c:pt>
                <c:pt idx="42">
                  <c:v>1.7708333333333302E-2</c:v>
                </c:pt>
                <c:pt idx="43">
                  <c:v>1.7791666666666699E-2</c:v>
                </c:pt>
                <c:pt idx="44">
                  <c:v>1.755E-2</c:v>
                </c:pt>
                <c:pt idx="45">
                  <c:v>1.7458333333333301E-2</c:v>
                </c:pt>
                <c:pt idx="46">
                  <c:v>1.7616666666666701E-2</c:v>
                </c:pt>
                <c:pt idx="47">
                  <c:v>1.77166666666667E-2</c:v>
                </c:pt>
                <c:pt idx="48">
                  <c:v>1.7675E-2</c:v>
                </c:pt>
                <c:pt idx="49">
                  <c:v>1.77E-2</c:v>
                </c:pt>
                <c:pt idx="50">
                  <c:v>1.7766666666666701E-2</c:v>
                </c:pt>
                <c:pt idx="51">
                  <c:v>1.7691666666666699E-2</c:v>
                </c:pt>
                <c:pt idx="52">
                  <c:v>1.7583333333333302E-2</c:v>
                </c:pt>
                <c:pt idx="53">
                  <c:v>3.7441666666666699E-2</c:v>
                </c:pt>
                <c:pt idx="54">
                  <c:v>3.8491666666666702E-2</c:v>
                </c:pt>
                <c:pt idx="55">
                  <c:v>3.8591666666666698E-2</c:v>
                </c:pt>
                <c:pt idx="56">
                  <c:v>3.8616666666666702E-2</c:v>
                </c:pt>
                <c:pt idx="57">
                  <c:v>3.8641666666666699E-2</c:v>
                </c:pt>
                <c:pt idx="58">
                  <c:v>3.8475000000000002E-2</c:v>
                </c:pt>
                <c:pt idx="59">
                  <c:v>3.7741666666666701E-2</c:v>
                </c:pt>
                <c:pt idx="60">
                  <c:v>3.7558333333333298E-2</c:v>
                </c:pt>
                <c:pt idx="61">
                  <c:v>3.7874999999999999E-2</c:v>
                </c:pt>
                <c:pt idx="62">
                  <c:v>5.7591666666666701E-2</c:v>
                </c:pt>
                <c:pt idx="63">
                  <c:v>5.8433333333333302E-2</c:v>
                </c:pt>
                <c:pt idx="64">
                  <c:v>5.8424999999999998E-2</c:v>
                </c:pt>
                <c:pt idx="65">
                  <c:v>5.8474999999999999E-2</c:v>
                </c:pt>
                <c:pt idx="66">
                  <c:v>5.8549999999999998E-2</c:v>
                </c:pt>
                <c:pt idx="67">
                  <c:v>5.9174999999999998E-2</c:v>
                </c:pt>
                <c:pt idx="68">
                  <c:v>5.9150000000000001E-2</c:v>
                </c:pt>
                <c:pt idx="69">
                  <c:v>5.9233333333333298E-2</c:v>
                </c:pt>
                <c:pt idx="70">
                  <c:v>5.92083333333333E-2</c:v>
                </c:pt>
                <c:pt idx="71">
                  <c:v>5.9174999999999998E-2</c:v>
                </c:pt>
                <c:pt idx="72">
                  <c:v>5.9275000000000001E-2</c:v>
                </c:pt>
                <c:pt idx="73">
                  <c:v>5.9200000000000003E-2</c:v>
                </c:pt>
                <c:pt idx="74">
                  <c:v>2.6599999999999999E-2</c:v>
                </c:pt>
                <c:pt idx="75">
                  <c:v>5.4916666666666699E-3</c:v>
                </c:pt>
                <c:pt idx="76">
                  <c:v>5.61666666666667E-3</c:v>
                </c:pt>
                <c:pt idx="77">
                  <c:v>5.3833333333333303E-3</c:v>
                </c:pt>
                <c:pt idx="78">
                  <c:v>4.9916666666666703E-3</c:v>
                </c:pt>
                <c:pt idx="79">
                  <c:v>4.6833333333333301E-3</c:v>
                </c:pt>
                <c:pt idx="80">
                  <c:v>4.55833333333333E-3</c:v>
                </c:pt>
                <c:pt idx="81">
                  <c:v>4.4833333333333296E-3</c:v>
                </c:pt>
                <c:pt idx="82">
                  <c:v>4.4749999999999998E-3</c:v>
                </c:pt>
                <c:pt idx="83">
                  <c:v>4.1000000000000003E-3</c:v>
                </c:pt>
                <c:pt idx="84">
                  <c:v>4.1166666666666704E-3</c:v>
                </c:pt>
                <c:pt idx="85">
                  <c:v>4.0499999999999998E-3</c:v>
                </c:pt>
                <c:pt idx="86">
                  <c:v>4.0499999999999998E-3</c:v>
                </c:pt>
                <c:pt idx="87">
                  <c:v>4.0499999999999998E-3</c:v>
                </c:pt>
                <c:pt idx="88">
                  <c:v>4.1250000000000002E-3</c:v>
                </c:pt>
                <c:pt idx="89">
                  <c:v>4.15E-3</c:v>
                </c:pt>
                <c:pt idx="90">
                  <c:v>4.2166666666666698E-3</c:v>
                </c:pt>
                <c:pt idx="91">
                  <c:v>4.1999999999999997E-3</c:v>
                </c:pt>
                <c:pt idx="92">
                  <c:v>4.1666666666666701E-3</c:v>
                </c:pt>
                <c:pt idx="93">
                  <c:v>4.1833333333333297E-3</c:v>
                </c:pt>
                <c:pt idx="94">
                  <c:v>3.8999999999999998E-3</c:v>
                </c:pt>
                <c:pt idx="95">
                  <c:v>9.5083333333333304E-3</c:v>
                </c:pt>
                <c:pt idx="96">
                  <c:v>1.6316666666666702E-2</c:v>
                </c:pt>
                <c:pt idx="97">
                  <c:v>3.4991666666666699E-2</c:v>
                </c:pt>
                <c:pt idx="98">
                  <c:v>4.68583333333333E-2</c:v>
                </c:pt>
                <c:pt idx="99">
                  <c:v>5.7549999999999997E-2</c:v>
                </c:pt>
                <c:pt idx="100">
                  <c:v>7.6316666666666699E-2</c:v>
                </c:pt>
                <c:pt idx="101">
                  <c:v>8.9724999999999999E-2</c:v>
                </c:pt>
                <c:pt idx="102">
                  <c:v>9.9233333333333298E-2</c:v>
                </c:pt>
                <c:pt idx="103">
                  <c:v>0.13516666666666699</c:v>
                </c:pt>
                <c:pt idx="104">
                  <c:v>0.154741666666667</c:v>
                </c:pt>
                <c:pt idx="105">
                  <c:v>0.18214166666666701</c:v>
                </c:pt>
                <c:pt idx="106">
                  <c:v>0.23832500000000001</c:v>
                </c:pt>
                <c:pt idx="107">
                  <c:v>0.26482499999999998</c:v>
                </c:pt>
                <c:pt idx="108">
                  <c:v>0.28562500000000002</c:v>
                </c:pt>
                <c:pt idx="109">
                  <c:v>0.32517499999999999</c:v>
                </c:pt>
                <c:pt idx="110">
                  <c:v>0.33359166666666701</c:v>
                </c:pt>
                <c:pt idx="111">
                  <c:v>0.34811666666666702</c:v>
                </c:pt>
                <c:pt idx="112">
                  <c:v>0.36273333333333302</c:v>
                </c:pt>
                <c:pt idx="113">
                  <c:v>0.38226666666666698</c:v>
                </c:pt>
                <c:pt idx="114">
                  <c:v>0.41084999999999999</c:v>
                </c:pt>
                <c:pt idx="115">
                  <c:v>0.43007499999999999</c:v>
                </c:pt>
                <c:pt idx="116">
                  <c:v>0.43211666666666698</c:v>
                </c:pt>
                <c:pt idx="117">
                  <c:v>0.43225833333333302</c:v>
                </c:pt>
                <c:pt idx="118">
                  <c:v>0.43229166666666702</c:v>
                </c:pt>
                <c:pt idx="119">
                  <c:v>0.43225000000000002</c:v>
                </c:pt>
                <c:pt idx="120">
                  <c:v>0.43229166666666702</c:v>
                </c:pt>
                <c:pt idx="121">
                  <c:v>0.43235833333333301</c:v>
                </c:pt>
                <c:pt idx="122">
                  <c:v>0.432425</c:v>
                </c:pt>
                <c:pt idx="123">
                  <c:v>0.43315833333333298</c:v>
                </c:pt>
                <c:pt idx="124">
                  <c:v>0.43333333333333302</c:v>
                </c:pt>
                <c:pt idx="125">
                  <c:v>0.43333333333333302</c:v>
                </c:pt>
                <c:pt idx="126">
                  <c:v>0.43333333333333302</c:v>
                </c:pt>
                <c:pt idx="127">
                  <c:v>0.41249999999999998</c:v>
                </c:pt>
                <c:pt idx="128">
                  <c:v>0.41249999999999998</c:v>
                </c:pt>
                <c:pt idx="129">
                  <c:v>0.41249999999999998</c:v>
                </c:pt>
                <c:pt idx="130">
                  <c:v>0.395633333333333</c:v>
                </c:pt>
                <c:pt idx="131">
                  <c:v>0.391666666666667</c:v>
                </c:pt>
                <c:pt idx="132">
                  <c:v>0.39168333333333299</c:v>
                </c:pt>
                <c:pt idx="133">
                  <c:v>0.37432500000000002</c:v>
                </c:pt>
                <c:pt idx="134">
                  <c:v>0.37129166666666702</c:v>
                </c:pt>
                <c:pt idx="135">
                  <c:v>0.371475</c:v>
                </c:pt>
                <c:pt idx="136">
                  <c:v>0.35503333333333298</c:v>
                </c:pt>
                <c:pt idx="137">
                  <c:v>0.35120000000000001</c:v>
                </c:pt>
                <c:pt idx="138">
                  <c:v>0.35143333333333299</c:v>
                </c:pt>
                <c:pt idx="139">
                  <c:v>0.33476666666666699</c:v>
                </c:pt>
                <c:pt idx="140">
                  <c:v>0.3306</c:v>
                </c:pt>
                <c:pt idx="141">
                  <c:v>0.330683333333333</c:v>
                </c:pt>
                <c:pt idx="142">
                  <c:v>0.33077499999999999</c:v>
                </c:pt>
                <c:pt idx="143">
                  <c:v>0.32324166666666698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EE-8946-BB46-1B5DE822E6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8722464"/>
        <c:axId val="1036474992"/>
      </c:lineChart>
      <c:catAx>
        <c:axId val="1038722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474992"/>
        <c:crosses val="autoZero"/>
        <c:auto val="1"/>
        <c:lblAlgn val="ctr"/>
        <c:lblOffset val="100"/>
        <c:noMultiLvlLbl val="0"/>
      </c:catAx>
      <c:valAx>
        <c:axId val="103647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722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Data!$T$1</c:f>
              <c:strCache>
                <c:ptCount val="1"/>
                <c:pt idx="0">
                  <c:v>3Y Gilt - 3Y OIS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Data!$T$2:$T$145</c:f>
              <c:numCache>
                <c:formatCode>0.0000</c:formatCode>
                <c:ptCount val="144"/>
                <c:pt idx="0">
                  <c:v>8.2496246088558448E-3</c:v>
                </c:pt>
                <c:pt idx="1">
                  <c:v>5.1715084078758633E-3</c:v>
                </c:pt>
                <c:pt idx="2">
                  <c:v>4.8092385769792911E-3</c:v>
                </c:pt>
                <c:pt idx="3">
                  <c:v>3.8193556552330032E-3</c:v>
                </c:pt>
                <c:pt idx="4">
                  <c:v>4.9288539837933909E-3</c:v>
                </c:pt>
                <c:pt idx="5">
                  <c:v>7.7616229533288422E-3</c:v>
                </c:pt>
                <c:pt idx="6">
                  <c:v>3.7650093550271602E-3</c:v>
                </c:pt>
                <c:pt idx="7">
                  <c:v>1.7781224760151926E-3</c:v>
                </c:pt>
                <c:pt idx="8">
                  <c:v>-1.6277217744231631E-4</c:v>
                </c:pt>
                <c:pt idx="9">
                  <c:v>9.5266583767456003E-4</c:v>
                </c:pt>
                <c:pt idx="10">
                  <c:v>-5.3543916145674941E-4</c:v>
                </c:pt>
                <c:pt idx="11">
                  <c:v>-2.0155552411265654E-3</c:v>
                </c:pt>
                <c:pt idx="12">
                  <c:v>-2.1056525158506534E-3</c:v>
                </c:pt>
                <c:pt idx="13">
                  <c:v>-2.2155666201154611E-3</c:v>
                </c:pt>
                <c:pt idx="14">
                  <c:v>-2.4910871148541569E-3</c:v>
                </c:pt>
                <c:pt idx="15">
                  <c:v>-2.6140145737335446E-3</c:v>
                </c:pt>
                <c:pt idx="16">
                  <c:v>-2.7274931432175464E-3</c:v>
                </c:pt>
                <c:pt idx="17">
                  <c:v>-1.756859973143135E-3</c:v>
                </c:pt>
                <c:pt idx="18">
                  <c:v>-7.4547702474647842E-3</c:v>
                </c:pt>
                <c:pt idx="19">
                  <c:v>-7.0464705036119013E-3</c:v>
                </c:pt>
                <c:pt idx="20">
                  <c:v>-7.3820605216026458E-3</c:v>
                </c:pt>
                <c:pt idx="21">
                  <c:v>-8.8842496009471847E-3</c:v>
                </c:pt>
                <c:pt idx="22">
                  <c:v>-5.8839347603019954E-3</c:v>
                </c:pt>
                <c:pt idx="23">
                  <c:v>-6.4033975507690882E-3</c:v>
                </c:pt>
                <c:pt idx="24">
                  <c:v>-6.6986652695821547E-3</c:v>
                </c:pt>
                <c:pt idx="25">
                  <c:v>-8.6123056440666618E-3</c:v>
                </c:pt>
                <c:pt idx="26">
                  <c:v>-5.1761089815759997E-3</c:v>
                </c:pt>
                <c:pt idx="27">
                  <c:v>-3.7509955491122349E-3</c:v>
                </c:pt>
                <c:pt idx="28">
                  <c:v>-1.2234181490369672E-3</c:v>
                </c:pt>
                <c:pt idx="29">
                  <c:v>1.5610207163470891E-3</c:v>
                </c:pt>
                <c:pt idx="30">
                  <c:v>-3.2366331027638001E-3</c:v>
                </c:pt>
                <c:pt idx="31">
                  <c:v>-6.1367997116639622E-4</c:v>
                </c:pt>
                <c:pt idx="32">
                  <c:v>2.1393762856982447E-3</c:v>
                </c:pt>
                <c:pt idx="33">
                  <c:v>8.6570503620442274E-4</c:v>
                </c:pt>
                <c:pt idx="34">
                  <c:v>1.5710165664632597E-3</c:v>
                </c:pt>
                <c:pt idx="35">
                  <c:v>-2.1451547504843446E-3</c:v>
                </c:pt>
                <c:pt idx="36">
                  <c:v>3.5069726876785483E-3</c:v>
                </c:pt>
                <c:pt idx="37">
                  <c:v>-3.2811258265727505E-3</c:v>
                </c:pt>
                <c:pt idx="38">
                  <c:v>-7.2191615852159469E-4</c:v>
                </c:pt>
                <c:pt idx="39">
                  <c:v>-1.6312304256484444E-3</c:v>
                </c:pt>
                <c:pt idx="40">
                  <c:v>3.0211098171881376E-3</c:v>
                </c:pt>
                <c:pt idx="41">
                  <c:v>-8.6150758436941109E-3</c:v>
                </c:pt>
                <c:pt idx="42">
                  <c:v>-1.2249101769444895E-2</c:v>
                </c:pt>
                <c:pt idx="43">
                  <c:v>-1.1961296661560532E-2</c:v>
                </c:pt>
                <c:pt idx="44">
                  <c:v>-1.3042750137960682E-2</c:v>
                </c:pt>
                <c:pt idx="45">
                  <c:v>-1.9496460736538102E-2</c:v>
                </c:pt>
                <c:pt idx="46">
                  <c:v>-1.9111165885739977E-2</c:v>
                </c:pt>
                <c:pt idx="47">
                  <c:v>-1.9005834205320996E-2</c:v>
                </c:pt>
                <c:pt idx="48">
                  <c:v>-1.6919737949653658E-2</c:v>
                </c:pt>
                <c:pt idx="49">
                  <c:v>-1.6530848546611038E-2</c:v>
                </c:pt>
                <c:pt idx="50">
                  <c:v>-1.9272646805498599E-2</c:v>
                </c:pt>
                <c:pt idx="51">
                  <c:v>-1.927676946323862E-2</c:v>
                </c:pt>
                <c:pt idx="52">
                  <c:v>-2.0022999334396129E-2</c:v>
                </c:pt>
                <c:pt idx="53">
                  <c:v>-1.9633113168245592E-2</c:v>
                </c:pt>
                <c:pt idx="54">
                  <c:v>-1.7841095835345093E-2</c:v>
                </c:pt>
                <c:pt idx="55">
                  <c:v>-1.2975613117504239E-2</c:v>
                </c:pt>
                <c:pt idx="56">
                  <c:v>-1.3726296931925425E-2</c:v>
                </c:pt>
                <c:pt idx="57">
                  <c:v>-8.8298924635258624E-3</c:v>
                </c:pt>
                <c:pt idx="58">
                  <c:v>-5.8472209889140064E-3</c:v>
                </c:pt>
                <c:pt idx="59">
                  <c:v>-1.2723719293014198E-2</c:v>
                </c:pt>
                <c:pt idx="60">
                  <c:v>-9.917266356256893E-3</c:v>
                </c:pt>
                <c:pt idx="61">
                  <c:v>-1.2231328302658828E-2</c:v>
                </c:pt>
                <c:pt idx="62">
                  <c:v>-1.20733778453469E-2</c:v>
                </c:pt>
                <c:pt idx="63">
                  <c:v>-9.8086446960380796E-3</c:v>
                </c:pt>
                <c:pt idx="64">
                  <c:v>-1.4918192223195084E-2</c:v>
                </c:pt>
                <c:pt idx="65">
                  <c:v>-1.52755157809569E-2</c:v>
                </c:pt>
                <c:pt idx="66">
                  <c:v>-1.3395336849117756E-2</c:v>
                </c:pt>
                <c:pt idx="67">
                  <c:v>-6.199704069011866E-3</c:v>
                </c:pt>
                <c:pt idx="68">
                  <c:v>-1.0238465123027649E-2</c:v>
                </c:pt>
                <c:pt idx="69">
                  <c:v>-8.908615231072961E-3</c:v>
                </c:pt>
                <c:pt idx="70">
                  <c:v>-6.6413448869981281E-3</c:v>
                </c:pt>
                <c:pt idx="71">
                  <c:v>-8.9940034209897365E-3</c:v>
                </c:pt>
                <c:pt idx="72">
                  <c:v>-4.5354667291070891E-3</c:v>
                </c:pt>
                <c:pt idx="73">
                  <c:v>-4.3487890342807471E-3</c:v>
                </c:pt>
                <c:pt idx="74">
                  <c:v>-2.4332551984719668E-3</c:v>
                </c:pt>
                <c:pt idx="75">
                  <c:v>-5.8882272840911614E-3</c:v>
                </c:pt>
                <c:pt idx="76">
                  <c:v>-4.0150322329618173E-3</c:v>
                </c:pt>
                <c:pt idx="77">
                  <c:v>-4.8942915124589922E-3</c:v>
                </c:pt>
                <c:pt idx="78">
                  <c:v>-4.2344067512649569E-3</c:v>
                </c:pt>
                <c:pt idx="79">
                  <c:v>-3.0416145710278285E-3</c:v>
                </c:pt>
                <c:pt idx="80">
                  <c:v>-1.4472037876856383E-3</c:v>
                </c:pt>
                <c:pt idx="81">
                  <c:v>-2.3886032678280852E-3</c:v>
                </c:pt>
                <c:pt idx="82">
                  <c:v>-1.5170889146502043E-3</c:v>
                </c:pt>
                <c:pt idx="83">
                  <c:v>-5.8648270692992222E-3</c:v>
                </c:pt>
                <c:pt idx="84">
                  <c:v>-5.0069378650572927E-3</c:v>
                </c:pt>
                <c:pt idx="85">
                  <c:v>-3.358150988314882E-3</c:v>
                </c:pt>
                <c:pt idx="86">
                  <c:v>-5.950212529785592E-3</c:v>
                </c:pt>
                <c:pt idx="87">
                  <c:v>-8.2368361016292892E-3</c:v>
                </c:pt>
                <c:pt idx="88">
                  <c:v>-9.1745447648415804E-3</c:v>
                </c:pt>
                <c:pt idx="89">
                  <c:v>-1.1149958295093371E-2</c:v>
                </c:pt>
                <c:pt idx="90">
                  <c:v>-1.3874012264010744E-2</c:v>
                </c:pt>
                <c:pt idx="91">
                  <c:v>-1.2328797096208044E-2</c:v>
                </c:pt>
                <c:pt idx="92">
                  <c:v>-1.5283685008794033E-2</c:v>
                </c:pt>
                <c:pt idx="93">
                  <c:v>-3.1344600967086599E-2</c:v>
                </c:pt>
                <c:pt idx="94">
                  <c:v>-3.858223247398488E-2</c:v>
                </c:pt>
                <c:pt idx="95">
                  <c:v>-3.1334033633664327E-2</c:v>
                </c:pt>
                <c:pt idx="96">
                  <c:v>-2.9580657045267369E-2</c:v>
                </c:pt>
                <c:pt idx="97">
                  <c:v>-4.3952425424863342E-2</c:v>
                </c:pt>
                <c:pt idx="98">
                  <c:v>-4.8588149482655968E-2</c:v>
                </c:pt>
                <c:pt idx="99">
                  <c:v>-4.6967856997227025E-2</c:v>
                </c:pt>
                <c:pt idx="100">
                  <c:v>-5.9155057939020123E-2</c:v>
                </c:pt>
                <c:pt idx="101">
                  <c:v>-5.5613543425937273E-2</c:v>
                </c:pt>
                <c:pt idx="102">
                  <c:v>-5.7735732215517033E-2</c:v>
                </c:pt>
                <c:pt idx="103">
                  <c:v>-6.7352188196434598E-2</c:v>
                </c:pt>
                <c:pt idx="104">
                  <c:v>-7.5923196964469364E-2</c:v>
                </c:pt>
                <c:pt idx="105">
                  <c:v>-8.1644214433860995E-2</c:v>
                </c:pt>
                <c:pt idx="106">
                  <c:v>-7.1523361315658451E-2</c:v>
                </c:pt>
                <c:pt idx="107">
                  <c:v>-5.7670170528946629E-2</c:v>
                </c:pt>
                <c:pt idx="108">
                  <c:v>-4.6229004516205041E-2</c:v>
                </c:pt>
                <c:pt idx="109">
                  <c:v>-4.6006978046674307E-2</c:v>
                </c:pt>
                <c:pt idx="110">
                  <c:v>-3.731056577828834E-2</c:v>
                </c:pt>
                <c:pt idx="111">
                  <c:v>-3.5694680091550579E-2</c:v>
                </c:pt>
                <c:pt idx="112">
                  <c:v>-3.4565625744694906E-2</c:v>
                </c:pt>
                <c:pt idx="113">
                  <c:v>-3.949081220714773E-2</c:v>
                </c:pt>
                <c:pt idx="114">
                  <c:v>-4.2960596677465657E-2</c:v>
                </c:pt>
                <c:pt idx="115">
                  <c:v>-3.9896348169730866E-2</c:v>
                </c:pt>
                <c:pt idx="116">
                  <c:v>-3.2588080320176238E-2</c:v>
                </c:pt>
                <c:pt idx="117">
                  <c:v>-2.4166247830165133E-2</c:v>
                </c:pt>
                <c:pt idx="118">
                  <c:v>-1.9255148365841968E-2</c:v>
                </c:pt>
                <c:pt idx="119">
                  <c:v>-1.3566775619246962E-2</c:v>
                </c:pt>
                <c:pt idx="120">
                  <c:v>-7.8159631540414276E-3</c:v>
                </c:pt>
                <c:pt idx="121">
                  <c:v>-9.8817623065481364E-3</c:v>
                </c:pt>
                <c:pt idx="122">
                  <c:v>-7.8881657017807472E-3</c:v>
                </c:pt>
                <c:pt idx="123">
                  <c:v>-9.4919573626864873E-3</c:v>
                </c:pt>
                <c:pt idx="124">
                  <c:v>-7.3951372921537417E-3</c:v>
                </c:pt>
                <c:pt idx="125">
                  <c:v>-3.1167980103521398E-3</c:v>
                </c:pt>
                <c:pt idx="126">
                  <c:v>-8.4249076175103021E-3</c:v>
                </c:pt>
                <c:pt idx="127">
                  <c:v>-3.4672041246850971E-3</c:v>
                </c:pt>
                <c:pt idx="128">
                  <c:v>3.4597004305157997E-3</c:v>
                </c:pt>
                <c:pt idx="129">
                  <c:v>5.8276068938111214E-3</c:v>
                </c:pt>
                <c:pt idx="130">
                  <c:v>6.2725026573170473E-3</c:v>
                </c:pt>
                <c:pt idx="131">
                  <c:v>6.1348104948186766E-3</c:v>
                </c:pt>
                <c:pt idx="132">
                  <c:v>7.5023566163572308E-3</c:v>
                </c:pt>
                <c:pt idx="133">
                  <c:v>5.812688751138495E-3</c:v>
                </c:pt>
                <c:pt idx="134">
                  <c:v>5.2519795993577478E-3</c:v>
                </c:pt>
                <c:pt idx="135">
                  <c:v>1.1086802033456689E-2</c:v>
                </c:pt>
                <c:pt idx="136">
                  <c:v>1.2243566024527086E-2</c:v>
                </c:pt>
                <c:pt idx="137">
                  <c:v>1.1956498311978814E-2</c:v>
                </c:pt>
                <c:pt idx="138">
                  <c:v>9.1125942228002521E-3</c:v>
                </c:pt>
                <c:pt idx="139">
                  <c:v>1.0808050818647996E-2</c:v>
                </c:pt>
                <c:pt idx="140">
                  <c:v>1.3243462872483069E-2</c:v>
                </c:pt>
                <c:pt idx="141">
                  <c:v>1.5332327536578316E-2</c:v>
                </c:pt>
                <c:pt idx="142">
                  <c:v>1.5146630020282603E-2</c:v>
                </c:pt>
                <c:pt idx="143">
                  <c:v>1.7714205996095245E-2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0E-4246-9508-E51D53823B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7850336"/>
        <c:axId val="1085561696"/>
      </c:lineChart>
      <c:catAx>
        <c:axId val="1087850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561696"/>
        <c:crosses val="autoZero"/>
        <c:auto val="1"/>
        <c:lblAlgn val="ctr"/>
        <c:lblOffset val="100"/>
        <c:noMultiLvlLbl val="0"/>
      </c:catAx>
      <c:valAx>
        <c:axId val="108556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85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Data!$P$1</c:f>
              <c:strCache>
                <c:ptCount val="1"/>
                <c:pt idx="0">
                  <c:v>Slope (20Y-3Y)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Data!$P$2:$P$145</c:f>
              <c:numCache>
                <c:formatCode>0.0000</c:formatCode>
                <c:ptCount val="144"/>
                <c:pt idx="0">
                  <c:v>0.23333333333333331</c:v>
                </c:pt>
                <c:pt idx="1">
                  <c:v>0.245</c:v>
                </c:pt>
                <c:pt idx="2">
                  <c:v>0.23416666666666669</c:v>
                </c:pt>
                <c:pt idx="3">
                  <c:v>0.22333333333333333</c:v>
                </c:pt>
                <c:pt idx="4">
                  <c:v>0.22166666666666668</c:v>
                </c:pt>
                <c:pt idx="5">
                  <c:v>0.22916666666666663</c:v>
                </c:pt>
                <c:pt idx="6">
                  <c:v>0.21250000000000002</c:v>
                </c:pt>
                <c:pt idx="7">
                  <c:v>0.20833333333333331</c:v>
                </c:pt>
                <c:pt idx="8">
                  <c:v>0.20666666666666667</c:v>
                </c:pt>
                <c:pt idx="9">
                  <c:v>0.19666666666666666</c:v>
                </c:pt>
                <c:pt idx="10">
                  <c:v>0.19166666666666671</c:v>
                </c:pt>
                <c:pt idx="11">
                  <c:v>0.18583333333333335</c:v>
                </c:pt>
                <c:pt idx="12">
                  <c:v>0.16916666666666669</c:v>
                </c:pt>
                <c:pt idx="13">
                  <c:v>0.15750000000000003</c:v>
                </c:pt>
                <c:pt idx="14">
                  <c:v>0.14583333333333337</c:v>
                </c:pt>
                <c:pt idx="15">
                  <c:v>0.14916666666666667</c:v>
                </c:pt>
                <c:pt idx="16">
                  <c:v>0.15999999999999998</c:v>
                </c:pt>
                <c:pt idx="17">
                  <c:v>0.15083333333333335</c:v>
                </c:pt>
                <c:pt idx="18">
                  <c:v>0.14250000000000002</c:v>
                </c:pt>
                <c:pt idx="19">
                  <c:v>0.11749999999999999</c:v>
                </c:pt>
                <c:pt idx="20">
                  <c:v>0.1333333333333333</c:v>
                </c:pt>
                <c:pt idx="21">
                  <c:v>0.13499999999999998</c:v>
                </c:pt>
                <c:pt idx="22">
                  <c:v>0.14083333333333331</c:v>
                </c:pt>
                <c:pt idx="23">
                  <c:v>0.14333333333333331</c:v>
                </c:pt>
                <c:pt idx="24">
                  <c:v>0.14916666666666667</c:v>
                </c:pt>
                <c:pt idx="25">
                  <c:v>0.13666666666666666</c:v>
                </c:pt>
                <c:pt idx="26">
                  <c:v>0.14166666666666666</c:v>
                </c:pt>
                <c:pt idx="27">
                  <c:v>0.14499999999999996</c:v>
                </c:pt>
                <c:pt idx="28">
                  <c:v>0.15</c:v>
                </c:pt>
                <c:pt idx="29">
                  <c:v>0.14666666666666667</c:v>
                </c:pt>
                <c:pt idx="30">
                  <c:v>0.14666666666666667</c:v>
                </c:pt>
                <c:pt idx="31">
                  <c:v>0.15250000000000002</c:v>
                </c:pt>
                <c:pt idx="32">
                  <c:v>0.16083333333333333</c:v>
                </c:pt>
                <c:pt idx="33">
                  <c:v>0.15333333333333332</c:v>
                </c:pt>
                <c:pt idx="34">
                  <c:v>0.15333333333333335</c:v>
                </c:pt>
                <c:pt idx="35">
                  <c:v>0.14333333333333331</c:v>
                </c:pt>
                <c:pt idx="36">
                  <c:v>0.13666666666666666</c:v>
                </c:pt>
                <c:pt idx="37">
                  <c:v>0.12333333333333332</c:v>
                </c:pt>
                <c:pt idx="38">
                  <c:v>9.8333333333333342E-2</c:v>
                </c:pt>
                <c:pt idx="39">
                  <c:v>0.11833333333333335</c:v>
                </c:pt>
                <c:pt idx="40">
                  <c:v>0.13083333333333333</c:v>
                </c:pt>
                <c:pt idx="41">
                  <c:v>0.15083333333333335</c:v>
                </c:pt>
                <c:pt idx="42">
                  <c:v>0.14499999999999999</c:v>
                </c:pt>
                <c:pt idx="43">
                  <c:v>0.14749999999999996</c:v>
                </c:pt>
                <c:pt idx="44">
                  <c:v>0.14250000000000002</c:v>
                </c:pt>
                <c:pt idx="45">
                  <c:v>0.13833333333333334</c:v>
                </c:pt>
                <c:pt idx="46">
                  <c:v>0.14166666666666666</c:v>
                </c:pt>
                <c:pt idx="47">
                  <c:v>0.13750000000000001</c:v>
                </c:pt>
                <c:pt idx="48">
                  <c:v>0.13166666666666665</c:v>
                </c:pt>
                <c:pt idx="49">
                  <c:v>0.13833333333333334</c:v>
                </c:pt>
                <c:pt idx="50">
                  <c:v>0.13333333333333333</c:v>
                </c:pt>
                <c:pt idx="51">
                  <c:v>0.1225</c:v>
                </c:pt>
                <c:pt idx="52">
                  <c:v>0.12166666666666665</c:v>
                </c:pt>
                <c:pt idx="53">
                  <c:v>0.11333333333333334</c:v>
                </c:pt>
                <c:pt idx="54">
                  <c:v>0.10916666666666666</c:v>
                </c:pt>
                <c:pt idx="55">
                  <c:v>9.8333333333333328E-2</c:v>
                </c:pt>
                <c:pt idx="56">
                  <c:v>9.5000000000000015E-2</c:v>
                </c:pt>
                <c:pt idx="57">
                  <c:v>7.4999999999999997E-2</c:v>
                </c:pt>
                <c:pt idx="58">
                  <c:v>8.7499999999999981E-2</c:v>
                </c:pt>
                <c:pt idx="59">
                  <c:v>9.1666666666666674E-2</c:v>
                </c:pt>
                <c:pt idx="60">
                  <c:v>8.5000000000000006E-2</c:v>
                </c:pt>
                <c:pt idx="61">
                  <c:v>8.3333333333333329E-2</c:v>
                </c:pt>
                <c:pt idx="62">
                  <c:v>8.4166666666666667E-2</c:v>
                </c:pt>
                <c:pt idx="63">
                  <c:v>8.5833333333333331E-2</c:v>
                </c:pt>
                <c:pt idx="64">
                  <c:v>9.0833333333333321E-2</c:v>
                </c:pt>
                <c:pt idx="65">
                  <c:v>0.10833333333333332</c:v>
                </c:pt>
                <c:pt idx="66">
                  <c:v>9.1666666666666688E-2</c:v>
                </c:pt>
                <c:pt idx="67">
                  <c:v>5.5833333333333332E-2</c:v>
                </c:pt>
                <c:pt idx="68">
                  <c:v>5.8333333333333334E-2</c:v>
                </c:pt>
                <c:pt idx="69">
                  <c:v>5.9999999999999991E-2</c:v>
                </c:pt>
                <c:pt idx="70">
                  <c:v>5.9166666666666666E-2</c:v>
                </c:pt>
                <c:pt idx="71">
                  <c:v>6.7500000000000004E-2</c:v>
                </c:pt>
                <c:pt idx="72">
                  <c:v>5.1666666666666666E-2</c:v>
                </c:pt>
                <c:pt idx="73">
                  <c:v>5.333333333333333E-2</c:v>
                </c:pt>
                <c:pt idx="74">
                  <c:v>5.9166666666666673E-2</c:v>
                </c:pt>
                <c:pt idx="75">
                  <c:v>4.7500000000000001E-2</c:v>
                </c:pt>
                <c:pt idx="76">
                  <c:v>5.4166666666666662E-2</c:v>
                </c:pt>
                <c:pt idx="77">
                  <c:v>6.25E-2</c:v>
                </c:pt>
                <c:pt idx="78">
                  <c:v>6.25E-2</c:v>
                </c:pt>
                <c:pt idx="79">
                  <c:v>0.08</c:v>
                </c:pt>
                <c:pt idx="80">
                  <c:v>7.0833333333333331E-2</c:v>
                </c:pt>
                <c:pt idx="81">
                  <c:v>7.4166666666666659E-2</c:v>
                </c:pt>
                <c:pt idx="82">
                  <c:v>7.2499999999999995E-2</c:v>
                </c:pt>
                <c:pt idx="83">
                  <c:v>6.9999999999999993E-2</c:v>
                </c:pt>
                <c:pt idx="84">
                  <c:v>0.08</c:v>
                </c:pt>
                <c:pt idx="85">
                  <c:v>9.9999999999999992E-2</c:v>
                </c:pt>
                <c:pt idx="86">
                  <c:v>0.10416666666666666</c:v>
                </c:pt>
                <c:pt idx="87">
                  <c:v>9.8333333333333328E-2</c:v>
                </c:pt>
                <c:pt idx="88">
                  <c:v>9.9166666666666667E-2</c:v>
                </c:pt>
                <c:pt idx="89">
                  <c:v>9.0833333333333321E-2</c:v>
                </c:pt>
                <c:pt idx="90">
                  <c:v>7.3333333333333334E-2</c:v>
                </c:pt>
                <c:pt idx="91">
                  <c:v>7.4166666666666672E-2</c:v>
                </c:pt>
                <c:pt idx="92">
                  <c:v>8.249999999999999E-2</c:v>
                </c:pt>
                <c:pt idx="93">
                  <c:v>0.04</c:v>
                </c:pt>
                <c:pt idx="94">
                  <c:v>4.1666666666666664E-2</c:v>
                </c:pt>
                <c:pt idx="95">
                  <c:v>4.4166666666666674E-2</c:v>
                </c:pt>
                <c:pt idx="96">
                  <c:v>4.0833333333333333E-2</c:v>
                </c:pt>
                <c:pt idx="97">
                  <c:v>5.2500000000000005E-2</c:v>
                </c:pt>
                <c:pt idx="98">
                  <c:v>3.7500000000000006E-2</c:v>
                </c:pt>
                <c:pt idx="99">
                  <c:v>4.1666666666666685E-2</c:v>
                </c:pt>
                <c:pt idx="100">
                  <c:v>7.1666666666666684E-2</c:v>
                </c:pt>
                <c:pt idx="101">
                  <c:v>6.8333333333333357E-2</c:v>
                </c:pt>
                <c:pt idx="102">
                  <c:v>7.5000000000000011E-2</c:v>
                </c:pt>
                <c:pt idx="103">
                  <c:v>3.1666666666666649E-2</c:v>
                </c:pt>
                <c:pt idx="104">
                  <c:v>-3.6666666666666681E-2</c:v>
                </c:pt>
                <c:pt idx="105">
                  <c:v>3.4166666666666623E-2</c:v>
                </c:pt>
                <c:pt idx="106">
                  <c:v>2.7500000000000024E-2</c:v>
                </c:pt>
                <c:pt idx="107">
                  <c:v>4.1666666666666685E-2</c:v>
                </c:pt>
                <c:pt idx="108">
                  <c:v>5.0833333333333341E-2</c:v>
                </c:pt>
                <c:pt idx="109">
                  <c:v>3.6666666666666681E-2</c:v>
                </c:pt>
                <c:pt idx="110">
                  <c:v>2.9999999999999971E-2</c:v>
                </c:pt>
                <c:pt idx="111">
                  <c:v>2.8333333333333321E-2</c:v>
                </c:pt>
                <c:pt idx="112">
                  <c:v>1.6666666666666607E-2</c:v>
                </c:pt>
                <c:pt idx="113">
                  <c:v>-5.0833333333333341E-2</c:v>
                </c:pt>
                <c:pt idx="114">
                  <c:v>-1.8333333333333313E-2</c:v>
                </c:pt>
                <c:pt idx="115">
                  <c:v>0</c:v>
                </c:pt>
                <c:pt idx="116">
                  <c:v>3.9166666666666627E-2</c:v>
                </c:pt>
                <c:pt idx="117">
                  <c:v>5.1666666666666694E-2</c:v>
                </c:pt>
                <c:pt idx="118">
                  <c:v>4.4166666666666687E-2</c:v>
                </c:pt>
                <c:pt idx="119">
                  <c:v>6.083333333333335E-2</c:v>
                </c:pt>
                <c:pt idx="120">
                  <c:v>6.0833333333333406E-2</c:v>
                </c:pt>
                <c:pt idx="121">
                  <c:v>3.4999999999999976E-2</c:v>
                </c:pt>
                <c:pt idx="122">
                  <c:v>3.999999999999998E-2</c:v>
                </c:pt>
                <c:pt idx="123">
                  <c:v>3.6666666666666625E-2</c:v>
                </c:pt>
                <c:pt idx="124">
                  <c:v>3.5833333333333384E-2</c:v>
                </c:pt>
                <c:pt idx="125">
                  <c:v>4.2499999999999982E-2</c:v>
                </c:pt>
                <c:pt idx="126">
                  <c:v>5.6666666666666643E-2</c:v>
                </c:pt>
                <c:pt idx="127">
                  <c:v>5.5000000000000049E-2</c:v>
                </c:pt>
                <c:pt idx="128">
                  <c:v>6.9166666666666654E-2</c:v>
                </c:pt>
                <c:pt idx="129">
                  <c:v>5.7499999999999996E-2</c:v>
                </c:pt>
                <c:pt idx="130">
                  <c:v>6.25E-2</c:v>
                </c:pt>
                <c:pt idx="131">
                  <c:v>7.9166666666666663E-2</c:v>
                </c:pt>
                <c:pt idx="132">
                  <c:v>8.9999999999999969E-2</c:v>
                </c:pt>
                <c:pt idx="133">
                  <c:v>9.0833333333333266E-2</c:v>
                </c:pt>
                <c:pt idx="134">
                  <c:v>0.10499999999999998</c:v>
                </c:pt>
                <c:pt idx="135">
                  <c:v>0.13166666666666671</c:v>
                </c:pt>
                <c:pt idx="136">
                  <c:v>0.12416666666666665</c:v>
                </c:pt>
                <c:pt idx="137">
                  <c:v>0.1333333333333333</c:v>
                </c:pt>
                <c:pt idx="138">
                  <c:v>0.14000000000000001</c:v>
                </c:pt>
                <c:pt idx="139">
                  <c:v>0.14916666666666667</c:v>
                </c:pt>
                <c:pt idx="140">
                  <c:v>0.13750000000000001</c:v>
                </c:pt>
                <c:pt idx="141">
                  <c:v>0.1283333333333333</c:v>
                </c:pt>
                <c:pt idx="142">
                  <c:v>0.13</c:v>
                </c:pt>
                <c:pt idx="143">
                  <c:v>0.12750000000000006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04-4647-B084-8CABD87CC2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5817840"/>
        <c:axId val="1036395232"/>
      </c:lineChart>
      <c:catAx>
        <c:axId val="1085817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395232"/>
        <c:crosses val="autoZero"/>
        <c:auto val="1"/>
        <c:lblAlgn val="ctr"/>
        <c:lblOffset val="100"/>
        <c:noMultiLvlLbl val="0"/>
      </c:catAx>
      <c:valAx>
        <c:axId val="103639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817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Data!$Q$1</c:f>
              <c:strCache>
                <c:ptCount val="1"/>
                <c:pt idx="0">
                  <c:v>Butterfly (2x10Y-20Y-3Y)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Data!$Q$2:$Q$145</c:f>
              <c:numCache>
                <c:formatCode>0.0000</c:formatCode>
                <c:ptCount val="144"/>
                <c:pt idx="0">
                  <c:v>8.1666666666666748E-2</c:v>
                </c:pt>
                <c:pt idx="1">
                  <c:v>8.1666666666666721E-2</c:v>
                </c:pt>
                <c:pt idx="2">
                  <c:v>9.9166666666666667E-2</c:v>
                </c:pt>
                <c:pt idx="3">
                  <c:v>9.333333333333331E-2</c:v>
                </c:pt>
                <c:pt idx="4">
                  <c:v>9.0000000000000011E-2</c:v>
                </c:pt>
                <c:pt idx="5">
                  <c:v>0.10083333333333334</c:v>
                </c:pt>
                <c:pt idx="6">
                  <c:v>0.11750000000000005</c:v>
                </c:pt>
                <c:pt idx="7">
                  <c:v>8.8333333333333333E-2</c:v>
                </c:pt>
                <c:pt idx="8">
                  <c:v>9.1666666666666619E-2</c:v>
                </c:pt>
                <c:pt idx="9">
                  <c:v>8.3333333333333329E-2</c:v>
                </c:pt>
                <c:pt idx="10">
                  <c:v>7.6666666666666647E-2</c:v>
                </c:pt>
                <c:pt idx="11">
                  <c:v>6.7500000000000004E-2</c:v>
                </c:pt>
                <c:pt idx="12">
                  <c:v>6.2499999999999958E-2</c:v>
                </c:pt>
                <c:pt idx="13">
                  <c:v>6.4166666666666636E-2</c:v>
                </c:pt>
                <c:pt idx="14">
                  <c:v>4.9166666666666678E-2</c:v>
                </c:pt>
                <c:pt idx="15">
                  <c:v>5.0833333333333341E-2</c:v>
                </c:pt>
                <c:pt idx="16">
                  <c:v>4.8333333333333353E-2</c:v>
                </c:pt>
                <c:pt idx="17">
                  <c:v>3.9166666666666655E-2</c:v>
                </c:pt>
                <c:pt idx="18">
                  <c:v>3.2500000000000015E-2</c:v>
                </c:pt>
                <c:pt idx="19">
                  <c:v>1.4166666666666682E-2</c:v>
                </c:pt>
                <c:pt idx="20">
                  <c:v>3.333333333333334E-2</c:v>
                </c:pt>
                <c:pt idx="21">
                  <c:v>3.0000000000000006E-2</c:v>
                </c:pt>
                <c:pt idx="22">
                  <c:v>4.2499999999999996E-2</c:v>
                </c:pt>
                <c:pt idx="23">
                  <c:v>4.1666666666666685E-2</c:v>
                </c:pt>
                <c:pt idx="24">
                  <c:v>5.0833333333333383E-2</c:v>
                </c:pt>
                <c:pt idx="25">
                  <c:v>3.999999999999998E-2</c:v>
                </c:pt>
                <c:pt idx="26">
                  <c:v>3.6666666666666639E-2</c:v>
                </c:pt>
                <c:pt idx="27">
                  <c:v>2.5000000000000036E-2</c:v>
                </c:pt>
                <c:pt idx="28">
                  <c:v>3.3333333333333354E-2</c:v>
                </c:pt>
                <c:pt idx="29">
                  <c:v>2.6666666666666713E-2</c:v>
                </c:pt>
                <c:pt idx="30">
                  <c:v>2.9999999999999971E-2</c:v>
                </c:pt>
                <c:pt idx="31">
                  <c:v>2.7499999999999962E-2</c:v>
                </c:pt>
                <c:pt idx="32">
                  <c:v>1.0833333333333313E-2</c:v>
                </c:pt>
                <c:pt idx="33">
                  <c:v>1.666666666666667E-2</c:v>
                </c:pt>
                <c:pt idx="34">
                  <c:v>2.6666666666666651E-2</c:v>
                </c:pt>
                <c:pt idx="35">
                  <c:v>2.1666666666666716E-2</c:v>
                </c:pt>
                <c:pt idx="36">
                  <c:v>9.9999999999999933E-3</c:v>
                </c:pt>
                <c:pt idx="37">
                  <c:v>-4.9999999999999975E-3</c:v>
                </c:pt>
                <c:pt idx="38">
                  <c:v>-5.0000000000000062E-3</c:v>
                </c:pt>
                <c:pt idx="39">
                  <c:v>-1.6666666666666791E-3</c:v>
                </c:pt>
                <c:pt idx="40">
                  <c:v>2.583333333333333E-2</c:v>
                </c:pt>
                <c:pt idx="41">
                  <c:v>4.7499999999999987E-2</c:v>
                </c:pt>
                <c:pt idx="42">
                  <c:v>4.0000000000000008E-2</c:v>
                </c:pt>
                <c:pt idx="43">
                  <c:v>4.4166666666666674E-2</c:v>
                </c:pt>
                <c:pt idx="44">
                  <c:v>2.2499999999999985E-2</c:v>
                </c:pt>
                <c:pt idx="45">
                  <c:v>2.166666666666666E-2</c:v>
                </c:pt>
                <c:pt idx="46">
                  <c:v>2.1666666666666695E-2</c:v>
                </c:pt>
                <c:pt idx="47">
                  <c:v>1.7500000000000009E-2</c:v>
                </c:pt>
                <c:pt idx="48">
                  <c:v>2.1666666666666674E-2</c:v>
                </c:pt>
                <c:pt idx="49">
                  <c:v>2.1666666666666664E-2</c:v>
                </c:pt>
                <c:pt idx="50">
                  <c:v>1.5000000000000017E-2</c:v>
                </c:pt>
                <c:pt idx="51">
                  <c:v>2.2499999999999985E-2</c:v>
                </c:pt>
                <c:pt idx="52">
                  <c:v>1.9999999999999997E-2</c:v>
                </c:pt>
                <c:pt idx="53">
                  <c:v>1.8333333333333313E-2</c:v>
                </c:pt>
                <c:pt idx="54">
                  <c:v>1.4166666666666661E-2</c:v>
                </c:pt>
                <c:pt idx="55">
                  <c:v>2.5000000000000022E-2</c:v>
                </c:pt>
                <c:pt idx="56">
                  <c:v>2.6666666666666658E-2</c:v>
                </c:pt>
                <c:pt idx="57">
                  <c:v>1.8333333333333326E-2</c:v>
                </c:pt>
                <c:pt idx="58">
                  <c:v>2.5833333333333333E-2</c:v>
                </c:pt>
                <c:pt idx="59">
                  <c:v>2.0000000000000011E-2</c:v>
                </c:pt>
                <c:pt idx="60">
                  <c:v>1.8333333333333326E-2</c:v>
                </c:pt>
                <c:pt idx="61">
                  <c:v>1.8333333333333326E-2</c:v>
                </c:pt>
                <c:pt idx="62">
                  <c:v>1.4166666666666661E-2</c:v>
                </c:pt>
                <c:pt idx="63">
                  <c:v>1.9166666666666679E-2</c:v>
                </c:pt>
                <c:pt idx="64">
                  <c:v>1.0833333333333334E-2</c:v>
                </c:pt>
                <c:pt idx="65">
                  <c:v>-1.1666666666666645E-2</c:v>
                </c:pt>
                <c:pt idx="66">
                  <c:v>-1.6666666666666635E-3</c:v>
                </c:pt>
                <c:pt idx="67">
                  <c:v>-3.9166666666666669E-2</c:v>
                </c:pt>
                <c:pt idx="68">
                  <c:v>-2.8333333333333325E-2</c:v>
                </c:pt>
                <c:pt idx="69">
                  <c:v>-2.9999999999999992E-2</c:v>
                </c:pt>
                <c:pt idx="70">
                  <c:v>-2.9166666666666653E-2</c:v>
                </c:pt>
                <c:pt idx="71">
                  <c:v>-1.9166666666666686E-2</c:v>
                </c:pt>
                <c:pt idx="72">
                  <c:v>-3.1666666666666662E-2</c:v>
                </c:pt>
                <c:pt idx="73">
                  <c:v>-3.1666666666666649E-2</c:v>
                </c:pt>
                <c:pt idx="74">
                  <c:v>-2.416666666666667E-2</c:v>
                </c:pt>
                <c:pt idx="75">
                  <c:v>-1.4166666666666668E-2</c:v>
                </c:pt>
                <c:pt idx="76">
                  <c:v>-1.5833333333333331E-2</c:v>
                </c:pt>
                <c:pt idx="77">
                  <c:v>-1.5833333333333331E-2</c:v>
                </c:pt>
                <c:pt idx="78">
                  <c:v>-1.9166666666666665E-2</c:v>
                </c:pt>
                <c:pt idx="79">
                  <c:v>-1.0000000000000012E-2</c:v>
                </c:pt>
                <c:pt idx="80">
                  <c:v>-1.4166666666666661E-2</c:v>
                </c:pt>
                <c:pt idx="81">
                  <c:v>-1.2500000000000001E-2</c:v>
                </c:pt>
                <c:pt idx="82">
                  <c:v>-9.1666666666666667E-3</c:v>
                </c:pt>
                <c:pt idx="83">
                  <c:v>-1.166666666666666E-2</c:v>
                </c:pt>
                <c:pt idx="84">
                  <c:v>-4.9999999999999984E-3</c:v>
                </c:pt>
                <c:pt idx="85">
                  <c:v>1.8333333333333354E-2</c:v>
                </c:pt>
                <c:pt idx="86">
                  <c:v>2.416666666666667E-2</c:v>
                </c:pt>
                <c:pt idx="87">
                  <c:v>2.8333333333333328E-2</c:v>
                </c:pt>
                <c:pt idx="88">
                  <c:v>2.583333333333334E-2</c:v>
                </c:pt>
                <c:pt idx="89">
                  <c:v>1.7499999999999995E-2</c:v>
                </c:pt>
                <c:pt idx="90">
                  <c:v>1.1666666666666664E-2</c:v>
                </c:pt>
                <c:pt idx="91">
                  <c:v>9.1666666666666598E-3</c:v>
                </c:pt>
                <c:pt idx="92">
                  <c:v>1.7500000000000016E-2</c:v>
                </c:pt>
                <c:pt idx="93">
                  <c:v>1.5000000000000006E-2</c:v>
                </c:pt>
                <c:pt idx="94">
                  <c:v>1.1666666666666665E-2</c:v>
                </c:pt>
                <c:pt idx="95">
                  <c:v>4.1666666666666657E-3</c:v>
                </c:pt>
                <c:pt idx="96">
                  <c:v>5.8333333333333293E-3</c:v>
                </c:pt>
                <c:pt idx="97">
                  <c:v>9.1666666666666424E-3</c:v>
                </c:pt>
                <c:pt idx="98">
                  <c:v>-8.3333333333332482E-4</c:v>
                </c:pt>
                <c:pt idx="99">
                  <c:v>3.3333333333333548E-3</c:v>
                </c:pt>
                <c:pt idx="100">
                  <c:v>9.9999999999999811E-3</c:v>
                </c:pt>
                <c:pt idx="101">
                  <c:v>-3.3333333333333548E-3</c:v>
                </c:pt>
                <c:pt idx="102">
                  <c:v>-2.8333333333333321E-2</c:v>
                </c:pt>
                <c:pt idx="103">
                  <c:v>-3.3333333333333354E-2</c:v>
                </c:pt>
                <c:pt idx="104">
                  <c:v>-1.0000000000000064E-2</c:v>
                </c:pt>
                <c:pt idx="105">
                  <c:v>-5.8333333333333015E-3</c:v>
                </c:pt>
                <c:pt idx="106">
                  <c:v>-2.7500000000000024E-2</c:v>
                </c:pt>
                <c:pt idx="107">
                  <c:v>-1.6666666666666663E-2</c:v>
                </c:pt>
                <c:pt idx="108">
                  <c:v>-2.0833333333333315E-2</c:v>
                </c:pt>
                <c:pt idx="109">
                  <c:v>-3.4999999999999976E-2</c:v>
                </c:pt>
                <c:pt idx="110">
                  <c:v>-4.333333333333339E-2</c:v>
                </c:pt>
                <c:pt idx="111">
                  <c:v>-4.6666666666666634E-2</c:v>
                </c:pt>
                <c:pt idx="112">
                  <c:v>-5.0000000000000044E-2</c:v>
                </c:pt>
                <c:pt idx="113">
                  <c:v>-8.0833333333333368E-2</c:v>
                </c:pt>
                <c:pt idx="114">
                  <c:v>-6.3333333333333353E-2</c:v>
                </c:pt>
                <c:pt idx="115">
                  <c:v>-5.6666666666666643E-2</c:v>
                </c:pt>
                <c:pt idx="116">
                  <c:v>-4.4166666666666743E-2</c:v>
                </c:pt>
                <c:pt idx="117">
                  <c:v>-3.1666666666666676E-2</c:v>
                </c:pt>
                <c:pt idx="118">
                  <c:v>-4.2499999999999982E-2</c:v>
                </c:pt>
                <c:pt idx="119">
                  <c:v>-4.0833333333333333E-2</c:v>
                </c:pt>
                <c:pt idx="120">
                  <c:v>-4.7499999999999987E-2</c:v>
                </c:pt>
                <c:pt idx="121">
                  <c:v>-4.6666666666666579E-2</c:v>
                </c:pt>
                <c:pt idx="122">
                  <c:v>-4.9999999999999989E-2</c:v>
                </c:pt>
                <c:pt idx="123">
                  <c:v>-4.3333333333333224E-2</c:v>
                </c:pt>
                <c:pt idx="124">
                  <c:v>-4.2500000000000093E-2</c:v>
                </c:pt>
                <c:pt idx="125">
                  <c:v>-4.2499999999999982E-2</c:v>
                </c:pt>
                <c:pt idx="126">
                  <c:v>-3.6666666666666625E-2</c:v>
                </c:pt>
                <c:pt idx="127">
                  <c:v>-3.1666666666666621E-2</c:v>
                </c:pt>
                <c:pt idx="128">
                  <c:v>-2.7500000000000024E-2</c:v>
                </c:pt>
                <c:pt idx="129">
                  <c:v>-1.9166666666666665E-2</c:v>
                </c:pt>
                <c:pt idx="130">
                  <c:v>-2.4166666666666559E-2</c:v>
                </c:pt>
                <c:pt idx="131">
                  <c:v>-1.4166666666666605E-2</c:v>
                </c:pt>
                <c:pt idx="132">
                  <c:v>-5.0000000000000044E-3</c:v>
                </c:pt>
                <c:pt idx="133">
                  <c:v>-5.8333333333333015E-3</c:v>
                </c:pt>
                <c:pt idx="134">
                  <c:v>0</c:v>
                </c:pt>
                <c:pt idx="135">
                  <c:v>1.6666666666667052E-3</c:v>
                </c:pt>
                <c:pt idx="136">
                  <c:v>2.4999999999999467E-3</c:v>
                </c:pt>
                <c:pt idx="137">
                  <c:v>1.6666666666665941E-3</c:v>
                </c:pt>
                <c:pt idx="138">
                  <c:v>4.9999999999998934E-3</c:v>
                </c:pt>
                <c:pt idx="139">
                  <c:v>7.4999999999999512E-3</c:v>
                </c:pt>
                <c:pt idx="140">
                  <c:v>7.5000000000000067E-3</c:v>
                </c:pt>
                <c:pt idx="141">
                  <c:v>6.6666666666667096E-3</c:v>
                </c:pt>
                <c:pt idx="142">
                  <c:v>1.3333333333333308E-2</c:v>
                </c:pt>
                <c:pt idx="143">
                  <c:v>1.5833333333333366E-2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F5-D948-96BC-C8E0971CA6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6457264"/>
        <c:axId val="1071943648"/>
      </c:lineChart>
      <c:catAx>
        <c:axId val="1066457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943648"/>
        <c:crosses val="autoZero"/>
        <c:auto val="1"/>
        <c:lblAlgn val="ctr"/>
        <c:lblOffset val="100"/>
        <c:noMultiLvlLbl val="0"/>
      </c:catAx>
      <c:valAx>
        <c:axId val="107194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457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Data!$W$1</c:f>
              <c:strCache>
                <c:ptCount val="1"/>
                <c:pt idx="0">
                  <c:v>IG Credit Spread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Data!$W$2:$W$145</c:f>
              <c:numCache>
                <c:formatCode>0.0000</c:formatCode>
                <c:ptCount val="144"/>
                <c:pt idx="0">
                  <c:v>-5.1387194346069833</c:v>
                </c:pt>
                <c:pt idx="1">
                  <c:v>2.3484491421995508</c:v>
                </c:pt>
                <c:pt idx="2">
                  <c:v>-0.92319478819390199</c:v>
                </c:pt>
                <c:pt idx="3">
                  <c:v>0.82434767702086331</c:v>
                </c:pt>
                <c:pt idx="4">
                  <c:v>2.0252115715454142</c:v>
                </c:pt>
                <c:pt idx="5">
                  <c:v>-1.4083021680096535</c:v>
                </c:pt>
                <c:pt idx="6">
                  <c:v>-0.89531690384682072</c:v>
                </c:pt>
                <c:pt idx="7">
                  <c:v>2.0846292055168538</c:v>
                </c:pt>
                <c:pt idx="8">
                  <c:v>0.18815829103602541</c:v>
                </c:pt>
                <c:pt idx="9">
                  <c:v>-0.30403984882426438</c:v>
                </c:pt>
                <c:pt idx="10">
                  <c:v>1.2224064307019109</c:v>
                </c:pt>
                <c:pt idx="11">
                  <c:v>1.1188106566869516</c:v>
                </c:pt>
                <c:pt idx="12">
                  <c:v>-0.39386738542473537</c:v>
                </c:pt>
                <c:pt idx="13">
                  <c:v>0.23199314515441699</c:v>
                </c:pt>
                <c:pt idx="14">
                  <c:v>3.0510319131719719</c:v>
                </c:pt>
                <c:pt idx="15">
                  <c:v>-0.57569475557887417</c:v>
                </c:pt>
                <c:pt idx="16">
                  <c:v>0.34508593485068878</c:v>
                </c:pt>
                <c:pt idx="17">
                  <c:v>2.4668637873530348</c:v>
                </c:pt>
                <c:pt idx="18">
                  <c:v>1.3828982966028573</c:v>
                </c:pt>
                <c:pt idx="19">
                  <c:v>5.9348906527047323</c:v>
                </c:pt>
                <c:pt idx="20">
                  <c:v>-3.7396932352934624</c:v>
                </c:pt>
                <c:pt idx="21">
                  <c:v>1.0994857308880885</c:v>
                </c:pt>
                <c:pt idx="22">
                  <c:v>-2.3264834455409638</c:v>
                </c:pt>
                <c:pt idx="23">
                  <c:v>0.27399978476401698</c:v>
                </c:pt>
                <c:pt idx="24">
                  <c:v>-3.7708043023703515</c:v>
                </c:pt>
                <c:pt idx="25">
                  <c:v>2.4312561086316236</c:v>
                </c:pt>
                <c:pt idx="26">
                  <c:v>-2.163876747359093</c:v>
                </c:pt>
                <c:pt idx="27">
                  <c:v>0.5025858772171532</c:v>
                </c:pt>
                <c:pt idx="28">
                  <c:v>1.5012701524955124E-2</c:v>
                </c:pt>
                <c:pt idx="29">
                  <c:v>2.0734306549589543</c:v>
                </c:pt>
                <c:pt idx="30">
                  <c:v>-1.4165022256805997</c:v>
                </c:pt>
                <c:pt idx="31">
                  <c:v>0.66815720708482551</c:v>
                </c:pt>
                <c:pt idx="32">
                  <c:v>-0.80775400785913054</c:v>
                </c:pt>
                <c:pt idx="33">
                  <c:v>3.5954167685518694</c:v>
                </c:pt>
                <c:pt idx="34">
                  <c:v>0.91190414214845739</c:v>
                </c:pt>
                <c:pt idx="35">
                  <c:v>0.85468808124803441</c:v>
                </c:pt>
                <c:pt idx="36">
                  <c:v>3.5664770305249829</c:v>
                </c:pt>
                <c:pt idx="37">
                  <c:v>5.0465169683722939</c:v>
                </c:pt>
                <c:pt idx="38">
                  <c:v>3.4210472846484357</c:v>
                </c:pt>
                <c:pt idx="39">
                  <c:v>-1.9050206096671818</c:v>
                </c:pt>
                <c:pt idx="40">
                  <c:v>-4.4556526959210885</c:v>
                </c:pt>
                <c:pt idx="41">
                  <c:v>-1.6600067055434231</c:v>
                </c:pt>
                <c:pt idx="42">
                  <c:v>2.9503559863160107</c:v>
                </c:pt>
                <c:pt idx="43">
                  <c:v>-1.5202579266307075</c:v>
                </c:pt>
                <c:pt idx="44">
                  <c:v>2.6350509941130018</c:v>
                </c:pt>
                <c:pt idx="45">
                  <c:v>-0.17390455263532517</c:v>
                </c:pt>
                <c:pt idx="46">
                  <c:v>0.72625925846252182</c:v>
                </c:pt>
                <c:pt idx="47">
                  <c:v>1.5534992085354618</c:v>
                </c:pt>
                <c:pt idx="48">
                  <c:v>-1.3128763768352263</c:v>
                </c:pt>
                <c:pt idx="49">
                  <c:v>1.0235515044919676</c:v>
                </c:pt>
                <c:pt idx="50">
                  <c:v>0.87915557139737288</c:v>
                </c:pt>
                <c:pt idx="51">
                  <c:v>-2.0519560737810645</c:v>
                </c:pt>
                <c:pt idx="52">
                  <c:v>0.34628136161819018</c:v>
                </c:pt>
                <c:pt idx="53">
                  <c:v>-0.35419358995709715</c:v>
                </c:pt>
                <c:pt idx="54">
                  <c:v>1.858001601839639</c:v>
                </c:pt>
                <c:pt idx="55">
                  <c:v>-0.8877688063153264</c:v>
                </c:pt>
                <c:pt idx="56">
                  <c:v>-1.3769514272096248</c:v>
                </c:pt>
                <c:pt idx="57">
                  <c:v>0.20136749777207796</c:v>
                </c:pt>
                <c:pt idx="58">
                  <c:v>0.12731740286215751</c:v>
                </c:pt>
                <c:pt idx="59">
                  <c:v>-0.371473926792939</c:v>
                </c:pt>
                <c:pt idx="60">
                  <c:v>-0.41320150136606915</c:v>
                </c:pt>
                <c:pt idx="61">
                  <c:v>0.2551971584802315</c:v>
                </c:pt>
                <c:pt idx="62">
                  <c:v>0.54532839444733927</c:v>
                </c:pt>
                <c:pt idx="63">
                  <c:v>-1.1987084485525838</c:v>
                </c:pt>
                <c:pt idx="64">
                  <c:v>0.20365796077345244</c:v>
                </c:pt>
                <c:pt idx="65">
                  <c:v>-2.1905269483508447</c:v>
                </c:pt>
                <c:pt idx="66">
                  <c:v>1.357859374712971</c:v>
                </c:pt>
                <c:pt idx="67">
                  <c:v>1.0678641457547986</c:v>
                </c:pt>
                <c:pt idx="68">
                  <c:v>-4.062169850005945E-3</c:v>
                </c:pt>
                <c:pt idx="69">
                  <c:v>-0.25340601070870289</c:v>
                </c:pt>
                <c:pt idx="70">
                  <c:v>-0.20371933742089599</c:v>
                </c:pt>
                <c:pt idx="71">
                  <c:v>-6.8036926882462212E-2</c:v>
                </c:pt>
                <c:pt idx="72">
                  <c:v>3.0998066900760599</c:v>
                </c:pt>
                <c:pt idx="73">
                  <c:v>-1.5756409548922983</c:v>
                </c:pt>
                <c:pt idx="74">
                  <c:v>-6.5893968100260576</c:v>
                </c:pt>
                <c:pt idx="75">
                  <c:v>7.3665586735762902</c:v>
                </c:pt>
                <c:pt idx="76">
                  <c:v>1.0916617932992878</c:v>
                </c:pt>
                <c:pt idx="77">
                  <c:v>1.0163751457846373</c:v>
                </c:pt>
                <c:pt idx="78">
                  <c:v>2.1435700279400138</c:v>
                </c:pt>
                <c:pt idx="79">
                  <c:v>-1.204767361587278</c:v>
                </c:pt>
                <c:pt idx="80">
                  <c:v>-1.9469169716171044E-3</c:v>
                </c:pt>
                <c:pt idx="81">
                  <c:v>0.28979934223811843</c:v>
                </c:pt>
                <c:pt idx="82">
                  <c:v>2.3639052440224098</c:v>
                </c:pt>
                <c:pt idx="83">
                  <c:v>1.5490140567033936</c:v>
                </c:pt>
                <c:pt idx="84">
                  <c:v>-1.6477775578392471</c:v>
                </c:pt>
                <c:pt idx="85">
                  <c:v>-3.4798493915758022</c:v>
                </c:pt>
                <c:pt idx="86">
                  <c:v>1.7190145145590065E-2</c:v>
                </c:pt>
                <c:pt idx="87">
                  <c:v>0.3804319559628988</c:v>
                </c:pt>
                <c:pt idx="88">
                  <c:v>0.31001431749484604</c:v>
                </c:pt>
                <c:pt idx="89">
                  <c:v>0.85502216530240871</c:v>
                </c:pt>
                <c:pt idx="90">
                  <c:v>1.6132309956574875</c:v>
                </c:pt>
                <c:pt idx="91">
                  <c:v>-0.22870458134476115</c:v>
                </c:pt>
                <c:pt idx="92">
                  <c:v>-2.8087660797989829</c:v>
                </c:pt>
                <c:pt idx="93">
                  <c:v>0.69722145982741013</c:v>
                </c:pt>
                <c:pt idx="94">
                  <c:v>0.99547551042253035</c:v>
                </c:pt>
                <c:pt idx="95">
                  <c:v>-1.12353903746557</c:v>
                </c:pt>
                <c:pt idx="96">
                  <c:v>-4.0342794589013895</c:v>
                </c:pt>
                <c:pt idx="97">
                  <c:v>-3.1651689144312303</c:v>
                </c:pt>
                <c:pt idx="98">
                  <c:v>0.13326767049501004</c:v>
                </c:pt>
                <c:pt idx="99">
                  <c:v>-3.8653528730622675</c:v>
                </c:pt>
                <c:pt idx="100">
                  <c:v>-1.556403524525015</c:v>
                </c:pt>
                <c:pt idx="101">
                  <c:v>-3.4565692008015478</c:v>
                </c:pt>
                <c:pt idx="102">
                  <c:v>4.373127894277208</c:v>
                </c:pt>
                <c:pt idx="103">
                  <c:v>-8.1411935429504894</c:v>
                </c:pt>
                <c:pt idx="104">
                  <c:v>-9.1415438687040886</c:v>
                </c:pt>
                <c:pt idx="105">
                  <c:v>4.9981561061963475</c:v>
                </c:pt>
                <c:pt idx="106">
                  <c:v>3.7315693621188237</c:v>
                </c:pt>
                <c:pt idx="107">
                  <c:v>-1.6930601373866518</c:v>
                </c:pt>
                <c:pt idx="108">
                  <c:v>3.2693974797429637</c:v>
                </c:pt>
                <c:pt idx="109">
                  <c:v>-3.4044713219137206</c:v>
                </c:pt>
                <c:pt idx="110">
                  <c:v>1.1229372544900045</c:v>
                </c:pt>
                <c:pt idx="111">
                  <c:v>-4.5251950847142508E-2</c:v>
                </c:pt>
                <c:pt idx="112">
                  <c:v>-3.2207902839867755</c:v>
                </c:pt>
                <c:pt idx="113">
                  <c:v>-1.5304704600210068</c:v>
                </c:pt>
                <c:pt idx="114">
                  <c:v>2.0217015238879137</c:v>
                </c:pt>
                <c:pt idx="115">
                  <c:v>-0.73548575994241516</c:v>
                </c:pt>
                <c:pt idx="116">
                  <c:v>-0.41335762746622851</c:v>
                </c:pt>
                <c:pt idx="117">
                  <c:v>-0.46656124638286833</c:v>
                </c:pt>
                <c:pt idx="118">
                  <c:v>3.4138089910941942</c:v>
                </c:pt>
                <c:pt idx="119">
                  <c:v>4.4012225363925044</c:v>
                </c:pt>
                <c:pt idx="120">
                  <c:v>-1.5196917747234271</c:v>
                </c:pt>
                <c:pt idx="121">
                  <c:v>-1.062073375074631</c:v>
                </c:pt>
                <c:pt idx="122">
                  <c:v>1.477489362217179</c:v>
                </c:pt>
                <c:pt idx="123">
                  <c:v>-2.3781283099238917</c:v>
                </c:pt>
                <c:pt idx="124">
                  <c:v>0.47811004572060589</c:v>
                </c:pt>
                <c:pt idx="125">
                  <c:v>0.44551959930867541</c:v>
                </c:pt>
                <c:pt idx="126">
                  <c:v>1.3614075313738643</c:v>
                </c:pt>
                <c:pt idx="127">
                  <c:v>-7.7650136808625758E-3</c:v>
                </c:pt>
                <c:pt idx="128">
                  <c:v>-0.12972116439056908</c:v>
                </c:pt>
                <c:pt idx="129">
                  <c:v>-1.6695833580904584</c:v>
                </c:pt>
                <c:pt idx="130">
                  <c:v>1.4530967525660716</c:v>
                </c:pt>
                <c:pt idx="131">
                  <c:v>-0.78143310266141697</c:v>
                </c:pt>
                <c:pt idx="132">
                  <c:v>0.34908255979636738</c:v>
                </c:pt>
                <c:pt idx="133">
                  <c:v>0.13535969057984193</c:v>
                </c:pt>
                <c:pt idx="134">
                  <c:v>-1.8716624465378884</c:v>
                </c:pt>
                <c:pt idx="135">
                  <c:v>1.2656565827966442</c:v>
                </c:pt>
                <c:pt idx="136">
                  <c:v>-0.42014204580768427</c:v>
                </c:pt>
                <c:pt idx="137">
                  <c:v>1.4055246320234833</c:v>
                </c:pt>
                <c:pt idx="138">
                  <c:v>-2.3798636141916241E-2</c:v>
                </c:pt>
                <c:pt idx="139">
                  <c:v>-0.94564972218921284</c:v>
                </c:pt>
                <c:pt idx="140">
                  <c:v>0.73546966098117694</c:v>
                </c:pt>
                <c:pt idx="141">
                  <c:v>1.7116922764778253</c:v>
                </c:pt>
                <c:pt idx="142">
                  <c:v>-0.26362362275971585</c:v>
                </c:pt>
                <c:pt idx="143">
                  <c:v>0.22777557059858333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1A-0A44-B16F-AAA59BEA88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6523280"/>
        <c:axId val="1072099680"/>
      </c:lineChart>
      <c:catAx>
        <c:axId val="1086523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099680"/>
        <c:crosses val="autoZero"/>
        <c:auto val="1"/>
        <c:lblAlgn val="ctr"/>
        <c:lblOffset val="100"/>
        <c:noMultiLvlLbl val="0"/>
      </c:catAx>
      <c:valAx>
        <c:axId val="107209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523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Data!$X$1</c:f>
              <c:strCache>
                <c:ptCount val="1"/>
                <c:pt idx="0">
                  <c:v>HY-IG Spread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Data!$X$2:$X$145</c:f>
              <c:numCache>
                <c:formatCode>0.0000</c:formatCode>
                <c:ptCount val="144"/>
                <c:pt idx="0">
                  <c:v>5.9420041295174091</c:v>
                </c:pt>
                <c:pt idx="1">
                  <c:v>-2.9334478170628397E-2</c:v>
                </c:pt>
                <c:pt idx="2">
                  <c:v>4.3920350087911508E-2</c:v>
                </c:pt>
                <c:pt idx="3">
                  <c:v>0.29321829923255605</c:v>
                </c:pt>
                <c:pt idx="4">
                  <c:v>0.3441193728648706</c:v>
                </c:pt>
                <c:pt idx="5">
                  <c:v>1.3116081856512141</c:v>
                </c:pt>
                <c:pt idx="6">
                  <c:v>1.477548835334086</c:v>
                </c:pt>
                <c:pt idx="7">
                  <c:v>-1.6981930488104924</c:v>
                </c:pt>
                <c:pt idx="8">
                  <c:v>1.5916813871119762</c:v>
                </c:pt>
                <c:pt idx="9">
                  <c:v>0.17233653878685473</c:v>
                </c:pt>
                <c:pt idx="10">
                  <c:v>-0.72031035034731961</c:v>
                </c:pt>
                <c:pt idx="11">
                  <c:v>-0.73488673081305578</c:v>
                </c:pt>
                <c:pt idx="12">
                  <c:v>1.1129798876345465</c:v>
                </c:pt>
                <c:pt idx="13">
                  <c:v>-1.7060652218341299</c:v>
                </c:pt>
                <c:pt idx="14">
                  <c:v>-1.8319205333827138</c:v>
                </c:pt>
                <c:pt idx="15">
                  <c:v>-1.2696539933117035</c:v>
                </c:pt>
                <c:pt idx="16">
                  <c:v>1.1410492226605284</c:v>
                </c:pt>
                <c:pt idx="17">
                  <c:v>-3.0230419307813117</c:v>
                </c:pt>
                <c:pt idx="18">
                  <c:v>-2.7568383173732225</c:v>
                </c:pt>
                <c:pt idx="19">
                  <c:v>-4.8259610531049102</c:v>
                </c:pt>
                <c:pt idx="20">
                  <c:v>5.7316406574134398</c:v>
                </c:pt>
                <c:pt idx="21">
                  <c:v>-1.9613642923060559</c:v>
                </c:pt>
                <c:pt idx="22">
                  <c:v>2.8746801011035772</c:v>
                </c:pt>
                <c:pt idx="23">
                  <c:v>-0.50551389827404591</c:v>
                </c:pt>
                <c:pt idx="24">
                  <c:v>1.8186595523394522</c:v>
                </c:pt>
                <c:pt idx="25">
                  <c:v>-2.3487649377745501</c:v>
                </c:pt>
                <c:pt idx="26">
                  <c:v>0.48247579184206302</c:v>
                </c:pt>
                <c:pt idx="27">
                  <c:v>-3.4844501197260125</c:v>
                </c:pt>
                <c:pt idx="28">
                  <c:v>3.3664345081825253</c:v>
                </c:pt>
                <c:pt idx="29">
                  <c:v>-4.0532942578922153</c:v>
                </c:pt>
                <c:pt idx="30">
                  <c:v>-0.94913813765421517</c:v>
                </c:pt>
                <c:pt idx="31">
                  <c:v>-2.4471289511413197</c:v>
                </c:pt>
                <c:pt idx="32">
                  <c:v>1.5397126766706677</c:v>
                </c:pt>
                <c:pt idx="33">
                  <c:v>2.2292748659358264E-2</c:v>
                </c:pt>
                <c:pt idx="34">
                  <c:v>1.3584498983978066</c:v>
                </c:pt>
                <c:pt idx="35">
                  <c:v>-0.60223950995447195</c:v>
                </c:pt>
                <c:pt idx="36">
                  <c:v>-2.8362287152284393</c:v>
                </c:pt>
                <c:pt idx="37">
                  <c:v>-2.6778427539731138</c:v>
                </c:pt>
                <c:pt idx="38">
                  <c:v>-1.4033793851141456</c:v>
                </c:pt>
                <c:pt idx="39">
                  <c:v>1.8697496570680427</c:v>
                </c:pt>
                <c:pt idx="40">
                  <c:v>4.6760943129646853</c:v>
                </c:pt>
                <c:pt idx="41">
                  <c:v>0.88735429998600956</c:v>
                </c:pt>
                <c:pt idx="42">
                  <c:v>-0.89007405583763077</c:v>
                </c:pt>
                <c:pt idx="43">
                  <c:v>2.1037097525038462</c:v>
                </c:pt>
                <c:pt idx="44">
                  <c:v>-1.4911433907641825</c:v>
                </c:pt>
                <c:pt idx="45">
                  <c:v>-0.18290506587057553</c:v>
                </c:pt>
                <c:pt idx="46">
                  <c:v>0.28409274655553096</c:v>
                </c:pt>
                <c:pt idx="47">
                  <c:v>-0.86733148529634096</c:v>
                </c:pt>
                <c:pt idx="48">
                  <c:v>1.3953051261217597</c:v>
                </c:pt>
                <c:pt idx="49">
                  <c:v>-0.25632476876954469</c:v>
                </c:pt>
                <c:pt idx="50">
                  <c:v>-0.96316884586208351</c:v>
                </c:pt>
                <c:pt idx="51">
                  <c:v>2.4965429806179995</c:v>
                </c:pt>
                <c:pt idx="52">
                  <c:v>-0.2037955707797412</c:v>
                </c:pt>
                <c:pt idx="53">
                  <c:v>1.4234223664422174E-3</c:v>
                </c:pt>
                <c:pt idx="54">
                  <c:v>-2.043673459645523</c:v>
                </c:pt>
                <c:pt idx="55">
                  <c:v>0.95191456574579281</c:v>
                </c:pt>
                <c:pt idx="56">
                  <c:v>0.58873157898159389</c:v>
                </c:pt>
                <c:pt idx="57">
                  <c:v>-0.75633499901963663</c:v>
                </c:pt>
                <c:pt idx="58">
                  <c:v>0.3648005059347259</c:v>
                </c:pt>
                <c:pt idx="59">
                  <c:v>0.11950110370141376</c:v>
                </c:pt>
                <c:pt idx="60">
                  <c:v>-0.10684972027757977</c:v>
                </c:pt>
                <c:pt idx="61">
                  <c:v>1.2175973718080435</c:v>
                </c:pt>
                <c:pt idx="62">
                  <c:v>-0.43424448954232364</c:v>
                </c:pt>
                <c:pt idx="63">
                  <c:v>1.3715713176696176</c:v>
                </c:pt>
                <c:pt idx="64">
                  <c:v>-1.9838915929323631</c:v>
                </c:pt>
                <c:pt idx="65">
                  <c:v>1.0369147468731188</c:v>
                </c:pt>
                <c:pt idx="66">
                  <c:v>-2.8428133410547285</c:v>
                </c:pt>
                <c:pt idx="67">
                  <c:v>-0.55883132638731015</c:v>
                </c:pt>
                <c:pt idx="68">
                  <c:v>-9.4699686076826772E-2</c:v>
                </c:pt>
                <c:pt idx="69">
                  <c:v>0.317072489829473</c:v>
                </c:pt>
                <c:pt idx="70">
                  <c:v>0.85689699896590588</c:v>
                </c:pt>
                <c:pt idx="71">
                  <c:v>1.3570891258576023</c:v>
                </c:pt>
                <c:pt idx="72">
                  <c:v>-3.539923676741219</c:v>
                </c:pt>
                <c:pt idx="73">
                  <c:v>0.14747498379189539</c:v>
                </c:pt>
                <c:pt idx="74">
                  <c:v>-5.8362258756493999</c:v>
                </c:pt>
                <c:pt idx="75">
                  <c:v>-1.8361631559271725</c:v>
                </c:pt>
                <c:pt idx="76">
                  <c:v>2.2070644970271109</c:v>
                </c:pt>
                <c:pt idx="77">
                  <c:v>1.8472120973034301E-2</c:v>
                </c:pt>
                <c:pt idx="78">
                  <c:v>0.80872711750215043</c:v>
                </c:pt>
                <c:pt idx="79">
                  <c:v>2.3464636229931113</c:v>
                </c:pt>
                <c:pt idx="80">
                  <c:v>-1.1564681473968275</c:v>
                </c:pt>
                <c:pt idx="81">
                  <c:v>-0.29438125372986956</c:v>
                </c:pt>
                <c:pt idx="82">
                  <c:v>1.8226438096626829</c:v>
                </c:pt>
                <c:pt idx="83">
                  <c:v>-0.3626082423971444</c:v>
                </c:pt>
                <c:pt idx="84">
                  <c:v>1.7138577640576136</c:v>
                </c:pt>
                <c:pt idx="85">
                  <c:v>3.5452104912514049</c:v>
                </c:pt>
                <c:pt idx="86">
                  <c:v>0.64558840513078142</c:v>
                </c:pt>
                <c:pt idx="87">
                  <c:v>0.2076270122115198</c:v>
                </c:pt>
                <c:pt idx="88">
                  <c:v>5.0473223425639979E-2</c:v>
                </c:pt>
                <c:pt idx="89">
                  <c:v>-0.11176746123985337</c:v>
                </c:pt>
                <c:pt idx="90">
                  <c:v>-1.2141149693233988</c:v>
                </c:pt>
                <c:pt idx="91">
                  <c:v>0.60800017659061734</c:v>
                </c:pt>
                <c:pt idx="92">
                  <c:v>2.3880157139173019</c:v>
                </c:pt>
                <c:pt idx="93">
                  <c:v>-0.95978367877529447</c:v>
                </c:pt>
                <c:pt idx="94">
                  <c:v>-2.197180584940539</c:v>
                </c:pt>
                <c:pt idx="95">
                  <c:v>2.8719779916318799</c:v>
                </c:pt>
                <c:pt idx="96">
                  <c:v>1.5655132399549521</c:v>
                </c:pt>
                <c:pt idx="97">
                  <c:v>1.8992851340668637</c:v>
                </c:pt>
                <c:pt idx="98">
                  <c:v>-0.88926020177264586</c:v>
                </c:pt>
                <c:pt idx="99">
                  <c:v>-8.7126922964420039E-2</c:v>
                </c:pt>
                <c:pt idx="100">
                  <c:v>1.9832402190600007</c:v>
                </c:pt>
                <c:pt idx="101">
                  <c:v>-3.3781317128620212</c:v>
                </c:pt>
                <c:pt idx="102">
                  <c:v>1.8985646516991421</c:v>
                </c:pt>
                <c:pt idx="103">
                  <c:v>4.0680971145003371</c:v>
                </c:pt>
                <c:pt idx="104">
                  <c:v>6.3851090009754969</c:v>
                </c:pt>
                <c:pt idx="105">
                  <c:v>-3.1338166681813009</c:v>
                </c:pt>
                <c:pt idx="106">
                  <c:v>-1.854063719676625</c:v>
                </c:pt>
                <c:pt idx="107">
                  <c:v>1.0070279529804327</c:v>
                </c:pt>
                <c:pt idx="108">
                  <c:v>-0.64635373795677298</c:v>
                </c:pt>
                <c:pt idx="109">
                  <c:v>2.4586211450012496</c:v>
                </c:pt>
                <c:pt idx="110">
                  <c:v>-0.67013710874249677</c:v>
                </c:pt>
                <c:pt idx="111">
                  <c:v>-1.8461346788933852E-2</c:v>
                </c:pt>
                <c:pt idx="112">
                  <c:v>2.3508372601471872</c:v>
                </c:pt>
                <c:pt idx="113">
                  <c:v>2.4107872488937976</c:v>
                </c:pt>
                <c:pt idx="114">
                  <c:v>-1.2685448862165605</c:v>
                </c:pt>
                <c:pt idx="115">
                  <c:v>0.59446979046746673</c:v>
                </c:pt>
                <c:pt idx="116">
                  <c:v>-0.57034627962947448</c:v>
                </c:pt>
                <c:pt idx="117">
                  <c:v>-0.64877153725895198</c:v>
                </c:pt>
                <c:pt idx="118">
                  <c:v>8.6986521160747898E-2</c:v>
                </c:pt>
                <c:pt idx="119">
                  <c:v>-1.4346070446255688</c:v>
                </c:pt>
                <c:pt idx="120">
                  <c:v>1.0154289391717697</c:v>
                </c:pt>
                <c:pt idx="121">
                  <c:v>0.84147338318362186</c:v>
                </c:pt>
                <c:pt idx="122">
                  <c:v>-1.0579957827104303</c:v>
                </c:pt>
                <c:pt idx="123">
                  <c:v>1.541913783358595</c:v>
                </c:pt>
                <c:pt idx="124">
                  <c:v>0.27399628893928218</c:v>
                </c:pt>
                <c:pt idx="125">
                  <c:v>-0.43866219589258071</c:v>
                </c:pt>
                <c:pt idx="126">
                  <c:v>-0.34061598008511274</c:v>
                </c:pt>
                <c:pt idx="127">
                  <c:v>1.0895257890187415</c:v>
                </c:pt>
                <c:pt idx="128">
                  <c:v>1.2956541824557966</c:v>
                </c:pt>
                <c:pt idx="129">
                  <c:v>0.77463217727008482</c:v>
                </c:pt>
                <c:pt idx="130">
                  <c:v>-0.45798050439083138</c:v>
                </c:pt>
                <c:pt idx="131">
                  <c:v>0.50038983770136491</c:v>
                </c:pt>
                <c:pt idx="132">
                  <c:v>0.53696774478695364</c:v>
                </c:pt>
                <c:pt idx="133">
                  <c:v>0.17313062833090864</c:v>
                </c:pt>
                <c:pt idx="134">
                  <c:v>0.497376927955262</c:v>
                </c:pt>
                <c:pt idx="135">
                  <c:v>-0.86629945291814003</c:v>
                </c:pt>
                <c:pt idx="136">
                  <c:v>1.3125126980642166</c:v>
                </c:pt>
                <c:pt idx="137">
                  <c:v>-0.8320338723343812</c:v>
                </c:pt>
                <c:pt idx="138">
                  <c:v>0.73442244617774044</c:v>
                </c:pt>
                <c:pt idx="139">
                  <c:v>1.2071474299161555</c:v>
                </c:pt>
                <c:pt idx="140">
                  <c:v>-0.30729725242875094</c:v>
                </c:pt>
                <c:pt idx="141">
                  <c:v>-1.4858299645569617</c:v>
                </c:pt>
                <c:pt idx="142">
                  <c:v>-1.8586546149768068E-2</c:v>
                </c:pt>
                <c:pt idx="143">
                  <c:v>4.5576251216561392E-2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69-F742-92D3-9FD371CC5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2006496"/>
        <c:axId val="1072168160"/>
      </c:lineChart>
      <c:catAx>
        <c:axId val="1072006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168160"/>
        <c:crosses val="autoZero"/>
        <c:auto val="1"/>
        <c:lblAlgn val="ctr"/>
        <c:lblOffset val="100"/>
        <c:noMultiLvlLbl val="0"/>
      </c:catAx>
      <c:valAx>
        <c:axId val="107216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006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Data!$Z$1</c:f>
              <c:strCache>
                <c:ptCount val="1"/>
                <c:pt idx="0">
                  <c:v>Inflation (3Y gilt - 3Y IL)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Data!$Z$2:$Z$145</c:f>
              <c:numCache>
                <c:formatCode>0.0000</c:formatCode>
                <c:ptCount val="144"/>
                <c:pt idx="0">
                  <c:v>0.19749999999999998</c:v>
                </c:pt>
                <c:pt idx="1">
                  <c:v>0.21749999999999997</c:v>
                </c:pt>
                <c:pt idx="2">
                  <c:v>0.22749999999999998</c:v>
                </c:pt>
                <c:pt idx="3">
                  <c:v>0.22833333333333333</c:v>
                </c:pt>
                <c:pt idx="4">
                  <c:v>0.23583333333333334</c:v>
                </c:pt>
                <c:pt idx="5">
                  <c:v>0.22833333333333333</c:v>
                </c:pt>
                <c:pt idx="6">
                  <c:v>0.24</c:v>
                </c:pt>
                <c:pt idx="7">
                  <c:v>0.22416666666666668</c:v>
                </c:pt>
                <c:pt idx="8">
                  <c:v>0.23333333333333334</c:v>
                </c:pt>
                <c:pt idx="9">
                  <c:v>0.23749999999999999</c:v>
                </c:pt>
                <c:pt idx="10">
                  <c:v>0.245</c:v>
                </c:pt>
                <c:pt idx="11">
                  <c:v>0.23333333333333334</c:v>
                </c:pt>
                <c:pt idx="12">
                  <c:v>0.23333333333333334</c:v>
                </c:pt>
                <c:pt idx="13">
                  <c:v>0.23249999999999998</c:v>
                </c:pt>
                <c:pt idx="14">
                  <c:v>0.23666666666666669</c:v>
                </c:pt>
                <c:pt idx="15">
                  <c:v>0.22249999999999998</c:v>
                </c:pt>
                <c:pt idx="16">
                  <c:v>0.20416666666666666</c:v>
                </c:pt>
                <c:pt idx="17">
                  <c:v>0.19833333333333333</c:v>
                </c:pt>
                <c:pt idx="18">
                  <c:v>0.2</c:v>
                </c:pt>
                <c:pt idx="19">
                  <c:v>0.16999999999999998</c:v>
                </c:pt>
                <c:pt idx="20">
                  <c:v>0.1875</c:v>
                </c:pt>
                <c:pt idx="21">
                  <c:v>0.2</c:v>
                </c:pt>
                <c:pt idx="22">
                  <c:v>0.21666666666666667</c:v>
                </c:pt>
                <c:pt idx="23">
                  <c:v>0.20833333333333334</c:v>
                </c:pt>
                <c:pt idx="24">
                  <c:v>0.21500000000000002</c:v>
                </c:pt>
                <c:pt idx="25">
                  <c:v>0.19750000000000001</c:v>
                </c:pt>
                <c:pt idx="26">
                  <c:v>0.17916666666666667</c:v>
                </c:pt>
                <c:pt idx="27">
                  <c:v>0.18583333333333332</c:v>
                </c:pt>
                <c:pt idx="28">
                  <c:v>0.18666666666666665</c:v>
                </c:pt>
                <c:pt idx="29">
                  <c:v>0.19083333333333333</c:v>
                </c:pt>
                <c:pt idx="30">
                  <c:v>0.17916666666666664</c:v>
                </c:pt>
                <c:pt idx="31">
                  <c:v>0.17749999999999999</c:v>
                </c:pt>
                <c:pt idx="32">
                  <c:v>0.1525</c:v>
                </c:pt>
                <c:pt idx="33">
                  <c:v>0.19083333333333335</c:v>
                </c:pt>
                <c:pt idx="34">
                  <c:v>0.19666666666666668</c:v>
                </c:pt>
                <c:pt idx="35">
                  <c:v>0.18833333333333332</c:v>
                </c:pt>
                <c:pt idx="36">
                  <c:v>0.20583333333333334</c:v>
                </c:pt>
                <c:pt idx="37">
                  <c:v>0.2175</c:v>
                </c:pt>
                <c:pt idx="38">
                  <c:v>0.23416666666666666</c:v>
                </c:pt>
                <c:pt idx="39">
                  <c:v>0.22749999999999998</c:v>
                </c:pt>
                <c:pt idx="40">
                  <c:v>0.26833333333333331</c:v>
                </c:pt>
                <c:pt idx="41">
                  <c:v>0.255</c:v>
                </c:pt>
                <c:pt idx="42">
                  <c:v>0.26250000000000001</c:v>
                </c:pt>
                <c:pt idx="43">
                  <c:v>0.28416666666666662</c:v>
                </c:pt>
                <c:pt idx="44">
                  <c:v>0.25916666666666671</c:v>
                </c:pt>
                <c:pt idx="45">
                  <c:v>0.28250000000000003</c:v>
                </c:pt>
                <c:pt idx="46">
                  <c:v>0.26416666666666666</c:v>
                </c:pt>
                <c:pt idx="47">
                  <c:v>0.25833333333333336</c:v>
                </c:pt>
                <c:pt idx="48">
                  <c:v>0.2525</c:v>
                </c:pt>
                <c:pt idx="49">
                  <c:v>0.24416666666666664</c:v>
                </c:pt>
                <c:pt idx="50">
                  <c:v>0.25</c:v>
                </c:pt>
                <c:pt idx="51">
                  <c:v>0.255</c:v>
                </c:pt>
                <c:pt idx="52">
                  <c:v>0.24666666666666667</c:v>
                </c:pt>
                <c:pt idx="53">
                  <c:v>0.24333333333333335</c:v>
                </c:pt>
                <c:pt idx="54">
                  <c:v>0.23666666666666666</c:v>
                </c:pt>
                <c:pt idx="55">
                  <c:v>0.245</c:v>
                </c:pt>
                <c:pt idx="56">
                  <c:v>0.23499999999999999</c:v>
                </c:pt>
                <c:pt idx="57">
                  <c:v>0.26083333333333336</c:v>
                </c:pt>
                <c:pt idx="58">
                  <c:v>0.24833333333333335</c:v>
                </c:pt>
                <c:pt idx="59">
                  <c:v>0.25416666666666671</c:v>
                </c:pt>
                <c:pt idx="60">
                  <c:v>0.24833333333333335</c:v>
                </c:pt>
                <c:pt idx="61">
                  <c:v>0.24666666666666665</c:v>
                </c:pt>
                <c:pt idx="62">
                  <c:v>0.25166666666666671</c:v>
                </c:pt>
                <c:pt idx="63">
                  <c:v>0.27416666666666667</c:v>
                </c:pt>
                <c:pt idx="64">
                  <c:v>0.25166666666666671</c:v>
                </c:pt>
                <c:pt idx="65">
                  <c:v>0.26083333333333331</c:v>
                </c:pt>
                <c:pt idx="66">
                  <c:v>0.27083333333333331</c:v>
                </c:pt>
                <c:pt idx="67">
                  <c:v>0.29166666666666669</c:v>
                </c:pt>
                <c:pt idx="68">
                  <c:v>0.29749999999999999</c:v>
                </c:pt>
                <c:pt idx="69">
                  <c:v>0.25416666666666665</c:v>
                </c:pt>
                <c:pt idx="70">
                  <c:v>0.245</c:v>
                </c:pt>
                <c:pt idx="71">
                  <c:v>0.2475</c:v>
                </c:pt>
                <c:pt idx="72">
                  <c:v>0.24666666666666665</c:v>
                </c:pt>
                <c:pt idx="73">
                  <c:v>0.23416666666666663</c:v>
                </c:pt>
                <c:pt idx="74">
                  <c:v>0.22166666666666665</c:v>
                </c:pt>
                <c:pt idx="75">
                  <c:v>0.20416666666666666</c:v>
                </c:pt>
                <c:pt idx="76">
                  <c:v>0.23416666666666663</c:v>
                </c:pt>
                <c:pt idx="77">
                  <c:v>0.22166666666666665</c:v>
                </c:pt>
                <c:pt idx="78">
                  <c:v>0.23666666666666669</c:v>
                </c:pt>
                <c:pt idx="79">
                  <c:v>0.25916666666666666</c:v>
                </c:pt>
                <c:pt idx="80">
                  <c:v>0.25416666666666665</c:v>
                </c:pt>
                <c:pt idx="81">
                  <c:v>0.2583333333333333</c:v>
                </c:pt>
                <c:pt idx="82">
                  <c:v>0.25916666666666666</c:v>
                </c:pt>
                <c:pt idx="83">
                  <c:v>0.24916666666666665</c:v>
                </c:pt>
                <c:pt idx="84">
                  <c:v>0.26833333333333331</c:v>
                </c:pt>
                <c:pt idx="85">
                  <c:v>0.27916666666666667</c:v>
                </c:pt>
                <c:pt idx="86">
                  <c:v>0.29916666666666664</c:v>
                </c:pt>
                <c:pt idx="87">
                  <c:v>0.28583333333333333</c:v>
                </c:pt>
                <c:pt idx="88">
                  <c:v>0.30583333333333329</c:v>
                </c:pt>
                <c:pt idx="89">
                  <c:v>0.27750000000000002</c:v>
                </c:pt>
                <c:pt idx="90">
                  <c:v>0.29499999999999998</c:v>
                </c:pt>
                <c:pt idx="91">
                  <c:v>0.30249999999999999</c:v>
                </c:pt>
                <c:pt idx="92">
                  <c:v>0.34833333333333338</c:v>
                </c:pt>
                <c:pt idx="93">
                  <c:v>0.37249999999999994</c:v>
                </c:pt>
                <c:pt idx="94">
                  <c:v>0.4</c:v>
                </c:pt>
                <c:pt idx="95">
                  <c:v>0.35499999999999998</c:v>
                </c:pt>
                <c:pt idx="96">
                  <c:v>0.38500000000000001</c:v>
                </c:pt>
                <c:pt idx="97">
                  <c:v>0.41833333333333333</c:v>
                </c:pt>
                <c:pt idx="98">
                  <c:v>0.4458333333333333</c:v>
                </c:pt>
                <c:pt idx="99">
                  <c:v>0.44416666666666671</c:v>
                </c:pt>
                <c:pt idx="100">
                  <c:v>0.42499999999999999</c:v>
                </c:pt>
                <c:pt idx="101">
                  <c:v>0.31416666666666671</c:v>
                </c:pt>
                <c:pt idx="102">
                  <c:v>0.33416666666666661</c:v>
                </c:pt>
                <c:pt idx="103">
                  <c:v>0.42499999999999999</c:v>
                </c:pt>
                <c:pt idx="104">
                  <c:v>0.36499999999999999</c:v>
                </c:pt>
                <c:pt idx="105">
                  <c:v>0.34250000000000003</c:v>
                </c:pt>
                <c:pt idx="106">
                  <c:v>0.32999999999999996</c:v>
                </c:pt>
                <c:pt idx="107">
                  <c:v>0.27250000000000002</c:v>
                </c:pt>
                <c:pt idx="108">
                  <c:v>0.21833333333333332</c:v>
                </c:pt>
                <c:pt idx="109">
                  <c:v>0.25666666666666665</c:v>
                </c:pt>
                <c:pt idx="110">
                  <c:v>0.28166666666666668</c:v>
                </c:pt>
                <c:pt idx="111">
                  <c:v>0.26083333333333336</c:v>
                </c:pt>
                <c:pt idx="112">
                  <c:v>0.27666666666666673</c:v>
                </c:pt>
                <c:pt idx="113">
                  <c:v>0.29000000000000004</c:v>
                </c:pt>
                <c:pt idx="114">
                  <c:v>0.26750000000000002</c:v>
                </c:pt>
                <c:pt idx="115">
                  <c:v>0.27416666666666661</c:v>
                </c:pt>
                <c:pt idx="116">
                  <c:v>0.30583333333333335</c:v>
                </c:pt>
                <c:pt idx="117">
                  <c:v>0.29749999999999999</c:v>
                </c:pt>
                <c:pt idx="118">
                  <c:v>0.28916666666666663</c:v>
                </c:pt>
                <c:pt idx="119">
                  <c:v>0.28666666666666668</c:v>
                </c:pt>
                <c:pt idx="120">
                  <c:v>0.30166666666666664</c:v>
                </c:pt>
                <c:pt idx="121">
                  <c:v>0.30416666666666664</c:v>
                </c:pt>
                <c:pt idx="122">
                  <c:v>0.32833333333333331</c:v>
                </c:pt>
                <c:pt idx="123">
                  <c:v>0.35000000000000003</c:v>
                </c:pt>
                <c:pt idx="124">
                  <c:v>0.34916666666666663</c:v>
                </c:pt>
                <c:pt idx="125">
                  <c:v>0.32333333333333336</c:v>
                </c:pt>
                <c:pt idx="126">
                  <c:v>0.315</c:v>
                </c:pt>
                <c:pt idx="127">
                  <c:v>0.30333333333333334</c:v>
                </c:pt>
                <c:pt idx="128">
                  <c:v>0.30250000000000005</c:v>
                </c:pt>
                <c:pt idx="129">
                  <c:v>0.32333333333333331</c:v>
                </c:pt>
                <c:pt idx="130">
                  <c:v>0.32916666666666666</c:v>
                </c:pt>
                <c:pt idx="131">
                  <c:v>0.32333333333333331</c:v>
                </c:pt>
                <c:pt idx="132">
                  <c:v>0.34333333333333338</c:v>
                </c:pt>
                <c:pt idx="133">
                  <c:v>0.32250000000000001</c:v>
                </c:pt>
                <c:pt idx="134">
                  <c:v>0.33583333333333337</c:v>
                </c:pt>
                <c:pt idx="135">
                  <c:v>0.30083333333333329</c:v>
                </c:pt>
                <c:pt idx="136">
                  <c:v>0.30083333333333334</c:v>
                </c:pt>
                <c:pt idx="137">
                  <c:v>0.26916666666666667</c:v>
                </c:pt>
                <c:pt idx="138">
                  <c:v>0.27833333333333332</c:v>
                </c:pt>
                <c:pt idx="139">
                  <c:v>0.27</c:v>
                </c:pt>
                <c:pt idx="140">
                  <c:v>0.27166666666666667</c:v>
                </c:pt>
                <c:pt idx="141">
                  <c:v>0.25166666666666671</c:v>
                </c:pt>
                <c:pt idx="142">
                  <c:v>0.25916666666666666</c:v>
                </c:pt>
                <c:pt idx="143">
                  <c:v>0.24999999999999997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CC-974D-B8D3-AE4CC0E6E8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3743728"/>
        <c:axId val="1043809616"/>
      </c:lineChart>
      <c:catAx>
        <c:axId val="1043743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809616"/>
        <c:crosses val="autoZero"/>
        <c:auto val="1"/>
        <c:lblAlgn val="ctr"/>
        <c:lblOffset val="100"/>
        <c:noMultiLvlLbl val="0"/>
      </c:catAx>
      <c:valAx>
        <c:axId val="104380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743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Data!$AD$1</c:f>
              <c:strCache>
                <c:ptCount val="1"/>
                <c:pt idx="0">
                  <c:v>S&amp;P 500 ERP GBP Hedged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Data!$AD$2:$AD$145</c:f>
              <c:numCache>
                <c:formatCode>0.0000</c:formatCode>
                <c:ptCount val="144"/>
                <c:pt idx="0">
                  <c:v>4.868463401224387E-2</c:v>
                </c:pt>
                <c:pt idx="1">
                  <c:v>4.7687333700889324E-2</c:v>
                </c:pt>
                <c:pt idx="2">
                  <c:v>4.9156672195310835E-2</c:v>
                </c:pt>
                <c:pt idx="3">
                  <c:v>4.9267234481409697E-2</c:v>
                </c:pt>
                <c:pt idx="4">
                  <c:v>4.8495147371460573E-2</c:v>
                </c:pt>
                <c:pt idx="5">
                  <c:v>4.8424145239243301E-2</c:v>
                </c:pt>
                <c:pt idx="6">
                  <c:v>4.7927098430118713E-2</c:v>
                </c:pt>
                <c:pt idx="7">
                  <c:v>4.9269207694052394E-2</c:v>
                </c:pt>
                <c:pt idx="8">
                  <c:v>4.9549780595547328E-2</c:v>
                </c:pt>
                <c:pt idx="9">
                  <c:v>4.7451346555622331E-2</c:v>
                </c:pt>
                <c:pt idx="10">
                  <c:v>4.7002412038378051E-2</c:v>
                </c:pt>
                <c:pt idx="11">
                  <c:v>4.666708558889883E-2</c:v>
                </c:pt>
                <c:pt idx="12">
                  <c:v>4.462775218402848E-2</c:v>
                </c:pt>
                <c:pt idx="13">
                  <c:v>4.5242722957106414E-2</c:v>
                </c:pt>
                <c:pt idx="14">
                  <c:v>4.6036440091833081E-2</c:v>
                </c:pt>
                <c:pt idx="15">
                  <c:v>4.565994641862705E-2</c:v>
                </c:pt>
                <c:pt idx="16">
                  <c:v>4.656749360354176E-2</c:v>
                </c:pt>
                <c:pt idx="17">
                  <c:v>4.3134933832867879E-2</c:v>
                </c:pt>
                <c:pt idx="18">
                  <c:v>3.9803579860485723E-2</c:v>
                </c:pt>
                <c:pt idx="19">
                  <c:v>4.0774660040035896E-2</c:v>
                </c:pt>
                <c:pt idx="20">
                  <c:v>3.8989130086767215E-2</c:v>
                </c:pt>
                <c:pt idx="21">
                  <c:v>3.854990889379277E-2</c:v>
                </c:pt>
                <c:pt idx="22">
                  <c:v>3.6687288569801003E-2</c:v>
                </c:pt>
                <c:pt idx="23">
                  <c:v>3.5624717873929498E-2</c:v>
                </c:pt>
                <c:pt idx="24">
                  <c:v>3.4377190224631503E-2</c:v>
                </c:pt>
                <c:pt idx="25">
                  <c:v>3.3811883000499809E-2</c:v>
                </c:pt>
                <c:pt idx="26">
                  <c:v>3.3471830721238778E-2</c:v>
                </c:pt>
                <c:pt idx="27">
                  <c:v>3.4959302136209271E-2</c:v>
                </c:pt>
                <c:pt idx="28">
                  <c:v>3.4094672257314676E-2</c:v>
                </c:pt>
                <c:pt idx="29">
                  <c:v>3.2250226695247894E-2</c:v>
                </c:pt>
                <c:pt idx="30">
                  <c:v>2.2125915251596826E-2</c:v>
                </c:pt>
                <c:pt idx="31">
                  <c:v>1.6751624448382504E-2</c:v>
                </c:pt>
                <c:pt idx="32">
                  <c:v>1.3738233512915567E-2</c:v>
                </c:pt>
                <c:pt idx="33">
                  <c:v>1.2750809861767104E-2</c:v>
                </c:pt>
                <c:pt idx="34">
                  <c:v>1.0890748110531877E-2</c:v>
                </c:pt>
                <c:pt idx="35">
                  <c:v>1.1170007181299565E-2</c:v>
                </c:pt>
                <c:pt idx="36">
                  <c:v>1.00437882997663E-2</c:v>
                </c:pt>
                <c:pt idx="37">
                  <c:v>8.2852079358431419E-3</c:v>
                </c:pt>
                <c:pt idx="38">
                  <c:v>7.3708130849013953E-3</c:v>
                </c:pt>
                <c:pt idx="39">
                  <c:v>7.9561938925424916E-3</c:v>
                </c:pt>
                <c:pt idx="40">
                  <c:v>9.088109303692922E-3</c:v>
                </c:pt>
                <c:pt idx="41">
                  <c:v>8.6649399458350179E-3</c:v>
                </c:pt>
                <c:pt idx="42">
                  <c:v>-2.9147434156937338E-3</c:v>
                </c:pt>
                <c:pt idx="43">
                  <c:v>-1.1767437908037082E-2</c:v>
                </c:pt>
                <c:pt idx="44">
                  <c:v>-1.2776623703633756E-2</c:v>
                </c:pt>
                <c:pt idx="45">
                  <c:v>-2.3460022308413826E-2</c:v>
                </c:pt>
                <c:pt idx="46">
                  <c:v>-3.1964818810019308E-2</c:v>
                </c:pt>
                <c:pt idx="47">
                  <c:v>-3.2926590407804011E-2</c:v>
                </c:pt>
                <c:pt idx="48">
                  <c:v>-4.3930254438185858E-2</c:v>
                </c:pt>
                <c:pt idx="49">
                  <c:v>-5.3031491517596396E-2</c:v>
                </c:pt>
                <c:pt idx="50">
                  <c:v>-5.3486495509359903E-2</c:v>
                </c:pt>
                <c:pt idx="51">
                  <c:v>-5.2878310146927461E-2</c:v>
                </c:pt>
                <c:pt idx="52">
                  <c:v>-5.3591122409073128E-2</c:v>
                </c:pt>
                <c:pt idx="53">
                  <c:v>-5.4660865229030839E-2</c:v>
                </c:pt>
                <c:pt idx="54">
                  <c:v>-6.7092350575877452E-2</c:v>
                </c:pt>
                <c:pt idx="55">
                  <c:v>-7.7449339259684086E-2</c:v>
                </c:pt>
                <c:pt idx="56">
                  <c:v>-7.6344442965788836E-2</c:v>
                </c:pt>
                <c:pt idx="57">
                  <c:v>-8.3121596855571619E-2</c:v>
                </c:pt>
                <c:pt idx="58">
                  <c:v>-9.6446336402085706E-2</c:v>
                </c:pt>
                <c:pt idx="59">
                  <c:v>-9.7197379964390013E-2</c:v>
                </c:pt>
                <c:pt idx="60">
                  <c:v>-0.10719882488911479</c:v>
                </c:pt>
                <c:pt idx="61">
                  <c:v>-0.11438041408341804</c:v>
                </c:pt>
                <c:pt idx="62">
                  <c:v>-0.11446359462807314</c:v>
                </c:pt>
                <c:pt idx="63">
                  <c:v>-0.11756117525417889</c:v>
                </c:pt>
                <c:pt idx="64">
                  <c:v>-0.13544972224815049</c:v>
                </c:pt>
                <c:pt idx="65">
                  <c:v>-0.13496307693437573</c:v>
                </c:pt>
                <c:pt idx="66">
                  <c:v>-0.13759907257012205</c:v>
                </c:pt>
                <c:pt idx="67">
                  <c:v>-0.13176821020656204</c:v>
                </c:pt>
                <c:pt idx="68">
                  <c:v>-0.12543492694547168</c:v>
                </c:pt>
                <c:pt idx="69">
                  <c:v>-0.10713246554364471</c:v>
                </c:pt>
                <c:pt idx="70">
                  <c:v>-8.4952746399553788E-2</c:v>
                </c:pt>
                <c:pt idx="71">
                  <c:v>-8.5263299733050496E-2</c:v>
                </c:pt>
                <c:pt idx="72">
                  <c:v>-8.8974929788766394E-2</c:v>
                </c:pt>
                <c:pt idx="73">
                  <c:v>-9.381758495978551E-2</c:v>
                </c:pt>
                <c:pt idx="74">
                  <c:v>-1.0308169042051105E-2</c:v>
                </c:pt>
                <c:pt idx="75">
                  <c:v>3.5888000903884977E-2</c:v>
                </c:pt>
                <c:pt idx="76">
                  <c:v>3.1773003461072785E-2</c:v>
                </c:pt>
                <c:pt idx="77">
                  <c:v>2.5294955844004242E-2</c:v>
                </c:pt>
                <c:pt idx="78">
                  <c:v>2.3330759678919791E-2</c:v>
                </c:pt>
                <c:pt idx="79">
                  <c:v>2.0724772066794232E-2</c:v>
                </c:pt>
                <c:pt idx="80">
                  <c:v>2.1684226295120613E-2</c:v>
                </c:pt>
                <c:pt idx="81">
                  <c:v>2.0831420725103439E-2</c:v>
                </c:pt>
                <c:pt idx="82">
                  <c:v>1.9407166846177701E-2</c:v>
                </c:pt>
                <c:pt idx="83">
                  <c:v>1.797282907252707E-2</c:v>
                </c:pt>
                <c:pt idx="84">
                  <c:v>2.0305393230950673E-2</c:v>
                </c:pt>
                <c:pt idx="85">
                  <c:v>2.342098007626912E-2</c:v>
                </c:pt>
                <c:pt idx="86">
                  <c:v>2.6950128929828499E-2</c:v>
                </c:pt>
                <c:pt idx="87">
                  <c:v>2.7583903775516578E-2</c:v>
                </c:pt>
                <c:pt idx="88">
                  <c:v>3.0647480393265949E-2</c:v>
                </c:pt>
                <c:pt idx="89">
                  <c:v>3.0790073121746371E-2</c:v>
                </c:pt>
                <c:pt idx="90">
                  <c:v>2.9321909357005613E-2</c:v>
                </c:pt>
                <c:pt idx="91">
                  <c:v>3.0637733069612587E-2</c:v>
                </c:pt>
                <c:pt idx="92">
                  <c:v>3.2795326355558589E-2</c:v>
                </c:pt>
                <c:pt idx="93">
                  <c:v>3.4338042708368363E-2</c:v>
                </c:pt>
                <c:pt idx="94">
                  <c:v>3.4124896920665566E-2</c:v>
                </c:pt>
                <c:pt idx="95">
                  <c:v>3.5660524737874157E-2</c:v>
                </c:pt>
                <c:pt idx="96">
                  <c:v>3.6597722404849958E-2</c:v>
                </c:pt>
                <c:pt idx="97">
                  <c:v>3.7945041047709981E-2</c:v>
                </c:pt>
                <c:pt idx="98">
                  <c:v>2.8402348799807773E-2</c:v>
                </c:pt>
                <c:pt idx="99">
                  <c:v>1.7139820833454788E-2</c:v>
                </c:pt>
                <c:pt idx="100">
                  <c:v>-1.6115667910780222E-2</c:v>
                </c:pt>
                <c:pt idx="101">
                  <c:v>-5.1522579317718871E-2</c:v>
                </c:pt>
                <c:pt idx="102">
                  <c:v>-9.1279010132645055E-2</c:v>
                </c:pt>
                <c:pt idx="103">
                  <c:v>-0.14874071912381945</c:v>
                </c:pt>
                <c:pt idx="104">
                  <c:v>-0.16470873799415037</c:v>
                </c:pt>
                <c:pt idx="105">
                  <c:v>-0.20771314035571342</c:v>
                </c:pt>
                <c:pt idx="106">
                  <c:v>-0.26967078884115014</c:v>
                </c:pt>
                <c:pt idx="107">
                  <c:v>-0.2975119685167153</c:v>
                </c:pt>
                <c:pt idx="108">
                  <c:v>-0.31701315688867909</c:v>
                </c:pt>
                <c:pt idx="109">
                  <c:v>-0.33809391973141373</c:v>
                </c:pt>
                <c:pt idx="110">
                  <c:v>-0.34336055436175172</c:v>
                </c:pt>
                <c:pt idx="111">
                  <c:v>-0.35952582336967026</c:v>
                </c:pt>
                <c:pt idx="112">
                  <c:v>-0.37847905112794222</c:v>
                </c:pt>
                <c:pt idx="113">
                  <c:v>-0.38167752934347354</c:v>
                </c:pt>
                <c:pt idx="114">
                  <c:v>-0.38627470783634099</c:v>
                </c:pt>
                <c:pt idx="115">
                  <c:v>-0.40307282331529604</c:v>
                </c:pt>
                <c:pt idx="116">
                  <c:v>-0.40237804564579954</c:v>
                </c:pt>
                <c:pt idx="117">
                  <c:v>-0.40037207565776561</c:v>
                </c:pt>
                <c:pt idx="118">
                  <c:v>-0.40163289098784594</c:v>
                </c:pt>
                <c:pt idx="119">
                  <c:v>-0.40309347889060915</c:v>
                </c:pt>
                <c:pt idx="120">
                  <c:v>-0.40427905590678825</c:v>
                </c:pt>
                <c:pt idx="121">
                  <c:v>-0.40591085271704502</c:v>
                </c:pt>
                <c:pt idx="122">
                  <c:v>-0.40715142319024311</c:v>
                </c:pt>
                <c:pt idx="123">
                  <c:v>-0.40638079384390913</c:v>
                </c:pt>
                <c:pt idx="124">
                  <c:v>-0.40692471754855974</c:v>
                </c:pt>
                <c:pt idx="125">
                  <c:v>-0.40783150619505715</c:v>
                </c:pt>
                <c:pt idx="126">
                  <c:v>-0.40842635652870263</c:v>
                </c:pt>
                <c:pt idx="127">
                  <c:v>-0.40782270854892555</c:v>
                </c:pt>
                <c:pt idx="128">
                  <c:v>-0.39187275945493005</c:v>
                </c:pt>
                <c:pt idx="129">
                  <c:v>-0.36735518492066144</c:v>
                </c:pt>
                <c:pt idx="130">
                  <c:v>-0.35178084366344031</c:v>
                </c:pt>
                <c:pt idx="131">
                  <c:v>-0.33836856927104281</c:v>
                </c:pt>
                <c:pt idx="132">
                  <c:v>-0.32532153754764914</c:v>
                </c:pt>
                <c:pt idx="133">
                  <c:v>-0.32530962427281412</c:v>
                </c:pt>
                <c:pt idx="134">
                  <c:v>-0.3227104207045724</c:v>
                </c:pt>
                <c:pt idx="135">
                  <c:v>-0.32011504649589778</c:v>
                </c:pt>
                <c:pt idx="136">
                  <c:v>-0.32287319080691901</c:v>
                </c:pt>
                <c:pt idx="137">
                  <c:v>-0.32392922224719939</c:v>
                </c:pt>
                <c:pt idx="138">
                  <c:v>-0.32481807636798987</c:v>
                </c:pt>
                <c:pt idx="139">
                  <c:v>-0.32478842470333275</c:v>
                </c:pt>
                <c:pt idx="140">
                  <c:v>-0.31593620593628907</c:v>
                </c:pt>
                <c:pt idx="141">
                  <c:v>-0.30502359876188867</c:v>
                </c:pt>
                <c:pt idx="142">
                  <c:v>-0.28666802340438935</c:v>
                </c:pt>
                <c:pt idx="143">
                  <c:v>-0.27306594778046273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78-974D-A7C4-8ED81D9780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9849168"/>
        <c:axId val="1072209008"/>
      </c:lineChart>
      <c:catAx>
        <c:axId val="1089849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209008"/>
        <c:crosses val="autoZero"/>
        <c:auto val="1"/>
        <c:lblAlgn val="ctr"/>
        <c:lblOffset val="100"/>
        <c:noMultiLvlLbl val="0"/>
      </c:catAx>
      <c:valAx>
        <c:axId val="107220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849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Data!$O$1</c:f>
              <c:strCache>
                <c:ptCount val="1"/>
                <c:pt idx="0">
                  <c:v>Asset Returns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Data!$O$2:$O$145</c:f>
              <c:numCache>
                <c:formatCode>0.0000</c:formatCode>
                <c:ptCount val="144"/>
                <c:pt idx="0">
                  <c:v>-3.1231512210139143</c:v>
                </c:pt>
                <c:pt idx="1">
                  <c:v>3.4388141552305238</c:v>
                </c:pt>
                <c:pt idx="2">
                  <c:v>-1.8423176925388944</c:v>
                </c:pt>
                <c:pt idx="3">
                  <c:v>0.76476526172699799</c:v>
                </c:pt>
                <c:pt idx="4">
                  <c:v>2.8438546235537174</c:v>
                </c:pt>
                <c:pt idx="5">
                  <c:v>-0.40587403799491967</c:v>
                </c:pt>
                <c:pt idx="6">
                  <c:v>0.39463790345239053</c:v>
                </c:pt>
                <c:pt idx="7">
                  <c:v>-0.84486748191592764</c:v>
                </c:pt>
                <c:pt idx="8">
                  <c:v>2.1320616401803507</c:v>
                </c:pt>
                <c:pt idx="9">
                  <c:v>-0.42414010254649709</c:v>
                </c:pt>
                <c:pt idx="10">
                  <c:v>0.74520035393408268</c:v>
                </c:pt>
                <c:pt idx="11">
                  <c:v>1.3893836371301047</c:v>
                </c:pt>
                <c:pt idx="12">
                  <c:v>-0.15960421366991845</c:v>
                </c:pt>
                <c:pt idx="13">
                  <c:v>2.1744398396726858E-3</c:v>
                </c:pt>
                <c:pt idx="14">
                  <c:v>2.1528110708148573</c:v>
                </c:pt>
                <c:pt idx="15">
                  <c:v>-0.63321922178810008</c:v>
                </c:pt>
                <c:pt idx="16">
                  <c:v>0.54311279831289316</c:v>
                </c:pt>
                <c:pt idx="17">
                  <c:v>2.6535892327475388</c:v>
                </c:pt>
                <c:pt idx="18">
                  <c:v>-0.18651939975316809</c:v>
                </c:pt>
                <c:pt idx="19">
                  <c:v>2.4047017706743326</c:v>
                </c:pt>
                <c:pt idx="20">
                  <c:v>0.8220675256694463</c:v>
                </c:pt>
                <c:pt idx="21">
                  <c:v>0.79790760681101336</c:v>
                </c:pt>
                <c:pt idx="22">
                  <c:v>-0.23417506109101072</c:v>
                </c:pt>
                <c:pt idx="23">
                  <c:v>0.44906329589973976</c:v>
                </c:pt>
                <c:pt idx="24">
                  <c:v>-3.3442885744124804</c:v>
                </c:pt>
                <c:pt idx="25">
                  <c:v>1.9551601207275044</c:v>
                </c:pt>
                <c:pt idx="26">
                  <c:v>-2.9682787226250409</c:v>
                </c:pt>
                <c:pt idx="27">
                  <c:v>-0.94912629185626851</c:v>
                </c:pt>
                <c:pt idx="28">
                  <c:v>2.683391280512204</c:v>
                </c:pt>
                <c:pt idx="29">
                  <c:v>1.084910181769061</c:v>
                </c:pt>
                <c:pt idx="30">
                  <c:v>-0.60205936122706527</c:v>
                </c:pt>
                <c:pt idx="31">
                  <c:v>-1.3845334693391671</c:v>
                </c:pt>
                <c:pt idx="32">
                  <c:v>0.51269214936388086</c:v>
                </c:pt>
                <c:pt idx="33">
                  <c:v>2.1127325139720563</c:v>
                </c:pt>
                <c:pt idx="34">
                  <c:v>0.44664249623499269</c:v>
                </c:pt>
                <c:pt idx="35">
                  <c:v>0.80909571022157933</c:v>
                </c:pt>
                <c:pt idx="36">
                  <c:v>3.3950819422879635</c:v>
                </c:pt>
                <c:pt idx="37">
                  <c:v>3.1095108983661892</c:v>
                </c:pt>
                <c:pt idx="38">
                  <c:v>1.5752476292840976</c:v>
                </c:pt>
                <c:pt idx="39">
                  <c:v>0.3941440510082177</c:v>
                </c:pt>
                <c:pt idx="40">
                  <c:v>0.29248739326307094</c:v>
                </c:pt>
                <c:pt idx="41">
                  <c:v>-0.93339874585644023</c:v>
                </c:pt>
                <c:pt idx="42">
                  <c:v>2.8609360739223297</c:v>
                </c:pt>
                <c:pt idx="43">
                  <c:v>-0.44945692130845749</c:v>
                </c:pt>
                <c:pt idx="44">
                  <c:v>2.5257042870557784</c:v>
                </c:pt>
                <c:pt idx="45">
                  <c:v>0.32195109833132546</c:v>
                </c:pt>
                <c:pt idx="46">
                  <c:v>-0.38364685529762182</c:v>
                </c:pt>
                <c:pt idx="47">
                  <c:v>1.8101887790863302</c:v>
                </c:pt>
                <c:pt idx="48">
                  <c:v>-0.8739297602339734</c:v>
                </c:pt>
                <c:pt idx="49">
                  <c:v>0.77913542886387466</c:v>
                </c:pt>
                <c:pt idx="50">
                  <c:v>1.1252408849651883</c:v>
                </c:pt>
                <c:pt idx="51">
                  <c:v>-1.0801430002995103</c:v>
                </c:pt>
                <c:pt idx="52">
                  <c:v>1.2933080083597004</c:v>
                </c:pt>
                <c:pt idx="53">
                  <c:v>-0.34952011853591453</c:v>
                </c:pt>
                <c:pt idx="54">
                  <c:v>2.1937669383125291</c:v>
                </c:pt>
                <c:pt idx="55">
                  <c:v>-0.70844610563042631</c:v>
                </c:pt>
                <c:pt idx="56">
                  <c:v>-1.1425691586862545</c:v>
                </c:pt>
                <c:pt idx="57">
                  <c:v>-1.4912303020014905</c:v>
                </c:pt>
                <c:pt idx="58">
                  <c:v>2.4711222871909655</c:v>
                </c:pt>
                <c:pt idx="59">
                  <c:v>1.5632378548125487</c:v>
                </c:pt>
                <c:pt idx="60">
                  <c:v>0.17050584189129772</c:v>
                </c:pt>
                <c:pt idx="61">
                  <c:v>1.3282751471537555</c:v>
                </c:pt>
                <c:pt idx="62">
                  <c:v>1.3361896540353232E-2</c:v>
                </c:pt>
                <c:pt idx="63">
                  <c:v>4.5162099813618559E-2</c:v>
                </c:pt>
                <c:pt idx="64">
                  <c:v>-2.5280472836281653</c:v>
                </c:pt>
                <c:pt idx="65">
                  <c:v>-0.85098504001589137</c:v>
                </c:pt>
                <c:pt idx="66">
                  <c:v>-2.5046976641667626</c:v>
                </c:pt>
                <c:pt idx="67">
                  <c:v>-1.2793531068196276</c:v>
                </c:pt>
                <c:pt idx="68">
                  <c:v>1.3201728926043841</c:v>
                </c:pt>
                <c:pt idx="69">
                  <c:v>-0.83998798555617005</c:v>
                </c:pt>
                <c:pt idx="70">
                  <c:v>1.3072997744824202</c:v>
                </c:pt>
                <c:pt idx="71">
                  <c:v>0.79930043255834871</c:v>
                </c:pt>
                <c:pt idx="72">
                  <c:v>-2.1093949631446327E-2</c:v>
                </c:pt>
                <c:pt idx="73">
                  <c:v>-4.1526948243374111</c:v>
                </c:pt>
                <c:pt idx="74">
                  <c:v>-7.0047284893671877</c:v>
                </c:pt>
                <c:pt idx="75">
                  <c:v>4.5018822436456931</c:v>
                </c:pt>
                <c:pt idx="76">
                  <c:v>2.7070180675265525</c:v>
                </c:pt>
                <c:pt idx="77">
                  <c:v>1.4570599695124704</c:v>
                </c:pt>
                <c:pt idx="78">
                  <c:v>-0.45287219230992509</c:v>
                </c:pt>
                <c:pt idx="79">
                  <c:v>1.4746501612318974</c:v>
                </c:pt>
                <c:pt idx="80">
                  <c:v>-0.32059917407416511</c:v>
                </c:pt>
                <c:pt idx="81">
                  <c:v>-1.9001782009329338</c:v>
                </c:pt>
                <c:pt idx="82">
                  <c:v>5.5867022964527608</c:v>
                </c:pt>
                <c:pt idx="83">
                  <c:v>1.8519535193189707</c:v>
                </c:pt>
                <c:pt idx="84">
                  <c:v>-0.72114034769675106</c:v>
                </c:pt>
                <c:pt idx="85">
                  <c:v>-2.8872892422191813E-2</c:v>
                </c:pt>
                <c:pt idx="86">
                  <c:v>2.1554149374730458</c:v>
                </c:pt>
                <c:pt idx="87">
                  <c:v>2.3109716137805942</c:v>
                </c:pt>
                <c:pt idx="88">
                  <c:v>0.25176219913533959</c:v>
                </c:pt>
                <c:pt idx="89">
                  <c:v>1.1935119946777377</c:v>
                </c:pt>
                <c:pt idx="90">
                  <c:v>1.088562294937061</c:v>
                </c:pt>
                <c:pt idx="91">
                  <c:v>1.4799167353491935</c:v>
                </c:pt>
                <c:pt idx="92">
                  <c:v>-1.3312319193447704</c:v>
                </c:pt>
                <c:pt idx="93">
                  <c:v>1.7130121087748451</c:v>
                </c:pt>
                <c:pt idx="94">
                  <c:v>0.3416951439283733</c:v>
                </c:pt>
                <c:pt idx="95">
                  <c:v>1.3592930931331151</c:v>
                </c:pt>
                <c:pt idx="96">
                  <c:v>-2.2568118607420633</c:v>
                </c:pt>
                <c:pt idx="97">
                  <c:v>-1.1072210028407516</c:v>
                </c:pt>
                <c:pt idx="98">
                  <c:v>1.9965489332311821</c:v>
                </c:pt>
                <c:pt idx="99">
                  <c:v>-1.7163787658669345</c:v>
                </c:pt>
                <c:pt idx="100">
                  <c:v>-0.82038765576752415</c:v>
                </c:pt>
                <c:pt idx="101">
                  <c:v>-3.6875242113072275</c:v>
                </c:pt>
                <c:pt idx="102">
                  <c:v>3.8214888861569447</c:v>
                </c:pt>
                <c:pt idx="103">
                  <c:v>-1.8267949190726551</c:v>
                </c:pt>
                <c:pt idx="104">
                  <c:v>-4.6868598995851904</c:v>
                </c:pt>
                <c:pt idx="105">
                  <c:v>2.2441569439350513</c:v>
                </c:pt>
                <c:pt idx="106">
                  <c:v>2.5198681337412903</c:v>
                </c:pt>
                <c:pt idx="107">
                  <c:v>-1.3850399013585131</c:v>
                </c:pt>
                <c:pt idx="108">
                  <c:v>3.0698713827378343</c:v>
                </c:pt>
                <c:pt idx="109">
                  <c:v>-0.16023377056929605</c:v>
                </c:pt>
                <c:pt idx="110">
                  <c:v>-0.25809067214290327</c:v>
                </c:pt>
                <c:pt idx="111">
                  <c:v>0.94080499762717185</c:v>
                </c:pt>
                <c:pt idx="112">
                  <c:v>-1.4816122688402813</c:v>
                </c:pt>
                <c:pt idx="113">
                  <c:v>0.76715041455256716</c:v>
                </c:pt>
                <c:pt idx="114">
                  <c:v>1.9636320377819911</c:v>
                </c:pt>
                <c:pt idx="115">
                  <c:v>-0.62523746935851443</c:v>
                </c:pt>
                <c:pt idx="116">
                  <c:v>0.27937046819359035</c:v>
                </c:pt>
                <c:pt idx="117">
                  <c:v>-1.7024670003016547</c:v>
                </c:pt>
                <c:pt idx="118">
                  <c:v>3.1666873562985165</c:v>
                </c:pt>
                <c:pt idx="119">
                  <c:v>3.580071379617352</c:v>
                </c:pt>
                <c:pt idx="120">
                  <c:v>5.5182858323510636E-2</c:v>
                </c:pt>
                <c:pt idx="121">
                  <c:v>0.8173714702258239</c:v>
                </c:pt>
                <c:pt idx="122">
                  <c:v>2.5343167951715437</c:v>
                </c:pt>
                <c:pt idx="123">
                  <c:v>-0.49649597275839152</c:v>
                </c:pt>
                <c:pt idx="124">
                  <c:v>1.1573512190828252</c:v>
                </c:pt>
                <c:pt idx="125">
                  <c:v>1.1607317321410837</c:v>
                </c:pt>
                <c:pt idx="126">
                  <c:v>0.98384974618307341</c:v>
                </c:pt>
                <c:pt idx="127">
                  <c:v>0.20128346879376346</c:v>
                </c:pt>
                <c:pt idx="128">
                  <c:v>6.2862567183433013E-2</c:v>
                </c:pt>
                <c:pt idx="129">
                  <c:v>1.5244628300109645E-2</c:v>
                </c:pt>
                <c:pt idx="130">
                  <c:v>2.5118747000438195</c:v>
                </c:pt>
                <c:pt idx="131">
                  <c:v>-0.73047275946122014</c:v>
                </c:pt>
                <c:pt idx="132">
                  <c:v>2.664630651168546</c:v>
                </c:pt>
                <c:pt idx="133">
                  <c:v>-0.63980558944311527</c:v>
                </c:pt>
                <c:pt idx="134">
                  <c:v>-2.5680570998352561</c:v>
                </c:pt>
                <c:pt idx="135">
                  <c:v>-0.12574664360828455</c:v>
                </c:pt>
                <c:pt idx="136">
                  <c:v>2.3878145236429944</c:v>
                </c:pt>
                <c:pt idx="137">
                  <c:v>1.3006576888791135</c:v>
                </c:pt>
                <c:pt idx="138">
                  <c:v>2.3644571963769208</c:v>
                </c:pt>
                <c:pt idx="139">
                  <c:v>-3.7635693365227305E-2</c:v>
                </c:pt>
                <c:pt idx="140">
                  <c:v>1.5120608050198472</c:v>
                </c:pt>
                <c:pt idx="141">
                  <c:v>2.6303236664701828</c:v>
                </c:pt>
                <c:pt idx="142">
                  <c:v>6.4450144874432388E-2</c:v>
                </c:pt>
                <c:pt idx="143">
                  <c:v>0.64991632276644051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96-6A49-AB1C-95086AE660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6893776"/>
        <c:axId val="1086895504"/>
      </c:lineChart>
      <c:catAx>
        <c:axId val="108689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895504"/>
        <c:crosses val="autoZero"/>
        <c:auto val="1"/>
        <c:lblAlgn val="ctr"/>
        <c:lblOffset val="100"/>
        <c:noMultiLvlLbl val="0"/>
      </c:catAx>
      <c:valAx>
        <c:axId val="108689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89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BoE 3Y implied real spot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Data!$C$2:$C$145</c:f>
              <c:numCache>
                <c:formatCode>0.0000</c:formatCode>
                <c:ptCount val="144"/>
                <c:pt idx="0">
                  <c:v>-0.13666666666666666</c:v>
                </c:pt>
                <c:pt idx="1">
                  <c:v>-0.16749999999999998</c:v>
                </c:pt>
                <c:pt idx="2">
                  <c:v>-0.15833333333333333</c:v>
                </c:pt>
                <c:pt idx="3">
                  <c:v>-0.15666666666666665</c:v>
                </c:pt>
                <c:pt idx="4">
                  <c:v>-0.16666666666666666</c:v>
                </c:pt>
                <c:pt idx="5">
                  <c:v>-0.15333333333333335</c:v>
                </c:pt>
                <c:pt idx="6">
                  <c:v>-0.14166666666666666</c:v>
                </c:pt>
                <c:pt idx="7">
                  <c:v>-0.13666666666666666</c:v>
                </c:pt>
                <c:pt idx="8">
                  <c:v>-0.14416666666666667</c:v>
                </c:pt>
                <c:pt idx="9">
                  <c:v>-0.13833333333333334</c:v>
                </c:pt>
                <c:pt idx="10">
                  <c:v>-0.14499999999999999</c:v>
                </c:pt>
                <c:pt idx="11">
                  <c:v>-0.13500000000000001</c:v>
                </c:pt>
                <c:pt idx="12">
                  <c:v>-0.11499999999999999</c:v>
                </c:pt>
                <c:pt idx="13">
                  <c:v>-0.11333333333333334</c:v>
                </c:pt>
                <c:pt idx="14">
                  <c:v>-0.13500000000000001</c:v>
                </c:pt>
                <c:pt idx="15">
                  <c:v>-0.11666666666666665</c:v>
                </c:pt>
                <c:pt idx="16">
                  <c:v>-0.11583333333333333</c:v>
                </c:pt>
                <c:pt idx="17">
                  <c:v>-0.1275</c:v>
                </c:pt>
                <c:pt idx="18">
                  <c:v>-0.13583333333333333</c:v>
                </c:pt>
                <c:pt idx="19">
                  <c:v>-0.12</c:v>
                </c:pt>
                <c:pt idx="20">
                  <c:v>-0.11583333333333333</c:v>
                </c:pt>
                <c:pt idx="21">
                  <c:v>-0.14416666666666667</c:v>
                </c:pt>
                <c:pt idx="22">
                  <c:v>-0.14666666666666667</c:v>
                </c:pt>
                <c:pt idx="23">
                  <c:v>-0.14083333333333334</c:v>
                </c:pt>
                <c:pt idx="24">
                  <c:v>-0.13500000000000001</c:v>
                </c:pt>
                <c:pt idx="25">
                  <c:v>-0.11833333333333333</c:v>
                </c:pt>
                <c:pt idx="26">
                  <c:v>-0.10416666666666667</c:v>
                </c:pt>
                <c:pt idx="27">
                  <c:v>-0.12166666666666666</c:v>
                </c:pt>
                <c:pt idx="28">
                  <c:v>-0.11583333333333333</c:v>
                </c:pt>
                <c:pt idx="29">
                  <c:v>-0.12166666666666666</c:v>
                </c:pt>
                <c:pt idx="30">
                  <c:v>-9.9999999999999992E-2</c:v>
                </c:pt>
                <c:pt idx="31">
                  <c:v>-0.13083333333333333</c:v>
                </c:pt>
                <c:pt idx="32">
                  <c:v>-0.12083333333333333</c:v>
                </c:pt>
                <c:pt idx="33">
                  <c:v>-0.15083333333333335</c:v>
                </c:pt>
                <c:pt idx="34">
                  <c:v>-0.14583333333333334</c:v>
                </c:pt>
                <c:pt idx="35">
                  <c:v>-0.14166666666666666</c:v>
                </c:pt>
                <c:pt idx="36">
                  <c:v>-0.19333333333333333</c:v>
                </c:pt>
                <c:pt idx="37">
                  <c:v>-0.21</c:v>
                </c:pt>
                <c:pt idx="38">
                  <c:v>-0.22583333333333333</c:v>
                </c:pt>
                <c:pt idx="39">
                  <c:v>-0.21916666666666665</c:v>
                </c:pt>
                <c:pt idx="40">
                  <c:v>-0.23916666666666667</c:v>
                </c:pt>
                <c:pt idx="41">
                  <c:v>-0.23083333333333333</c:v>
                </c:pt>
                <c:pt idx="42">
                  <c:v>-0.24666666666666667</c:v>
                </c:pt>
                <c:pt idx="43">
                  <c:v>-0.2558333333333333</c:v>
                </c:pt>
                <c:pt idx="44">
                  <c:v>-0.24750000000000003</c:v>
                </c:pt>
                <c:pt idx="45">
                  <c:v>-0.26833333333333337</c:v>
                </c:pt>
                <c:pt idx="46">
                  <c:v>-0.25333333333333335</c:v>
                </c:pt>
                <c:pt idx="47">
                  <c:v>-0.24666666666666667</c:v>
                </c:pt>
                <c:pt idx="48">
                  <c:v>-0.22083333333333333</c:v>
                </c:pt>
                <c:pt idx="49">
                  <c:v>-0.21916666666666665</c:v>
                </c:pt>
                <c:pt idx="50">
                  <c:v>-0.23416666666666666</c:v>
                </c:pt>
                <c:pt idx="51">
                  <c:v>-0.21083333333333332</c:v>
                </c:pt>
                <c:pt idx="52">
                  <c:v>-0.20166666666666666</c:v>
                </c:pt>
                <c:pt idx="53">
                  <c:v>-0.19416666666666668</c:v>
                </c:pt>
                <c:pt idx="54">
                  <c:v>-0.19333333333333333</c:v>
                </c:pt>
                <c:pt idx="55">
                  <c:v>-0.17749999999999999</c:v>
                </c:pt>
                <c:pt idx="56">
                  <c:v>-0.16500000000000001</c:v>
                </c:pt>
                <c:pt idx="57">
                  <c:v>-0.18916666666666668</c:v>
                </c:pt>
                <c:pt idx="58">
                  <c:v>-0.17916666666666667</c:v>
                </c:pt>
                <c:pt idx="59">
                  <c:v>-0.19916666666666669</c:v>
                </c:pt>
                <c:pt idx="60">
                  <c:v>-0.18416666666666667</c:v>
                </c:pt>
                <c:pt idx="61">
                  <c:v>-0.17749999999999999</c:v>
                </c:pt>
                <c:pt idx="62">
                  <c:v>-0.18333333333333335</c:v>
                </c:pt>
                <c:pt idx="63">
                  <c:v>-0.19583333333333333</c:v>
                </c:pt>
                <c:pt idx="64">
                  <c:v>-0.18333333333333335</c:v>
                </c:pt>
                <c:pt idx="65">
                  <c:v>-0.19499999999999998</c:v>
                </c:pt>
                <c:pt idx="66">
                  <c:v>-0.20666666666666667</c:v>
                </c:pt>
                <c:pt idx="67">
                  <c:v>-0.26333333333333336</c:v>
                </c:pt>
                <c:pt idx="68">
                  <c:v>-0.27416666666666667</c:v>
                </c:pt>
                <c:pt idx="69">
                  <c:v>-0.21916666666666665</c:v>
                </c:pt>
                <c:pt idx="70">
                  <c:v>-0.20333333333333334</c:v>
                </c:pt>
                <c:pt idx="71">
                  <c:v>-0.20333333333333334</c:v>
                </c:pt>
                <c:pt idx="72">
                  <c:v>-0.21249999999999999</c:v>
                </c:pt>
                <c:pt idx="73">
                  <c:v>-0.20916666666666664</c:v>
                </c:pt>
                <c:pt idx="74">
                  <c:v>-0.20916666666666664</c:v>
                </c:pt>
                <c:pt idx="75">
                  <c:v>-0.20083333333333334</c:v>
                </c:pt>
                <c:pt idx="76">
                  <c:v>-0.23833333333333331</c:v>
                </c:pt>
                <c:pt idx="77">
                  <c:v>-0.22916666666666666</c:v>
                </c:pt>
                <c:pt idx="78">
                  <c:v>-0.24750000000000003</c:v>
                </c:pt>
                <c:pt idx="79">
                  <c:v>-0.26500000000000001</c:v>
                </c:pt>
                <c:pt idx="80">
                  <c:v>-0.26083333333333331</c:v>
                </c:pt>
                <c:pt idx="81">
                  <c:v>-0.26416666666666666</c:v>
                </c:pt>
                <c:pt idx="82">
                  <c:v>-0.26083333333333331</c:v>
                </c:pt>
                <c:pt idx="83">
                  <c:v>-0.25916666666666666</c:v>
                </c:pt>
                <c:pt idx="84">
                  <c:v>-0.27499999999999997</c:v>
                </c:pt>
                <c:pt idx="85">
                  <c:v>-0.26416666666666666</c:v>
                </c:pt>
                <c:pt idx="86">
                  <c:v>-0.28583333333333333</c:v>
                </c:pt>
                <c:pt idx="87">
                  <c:v>-0.27166666666666667</c:v>
                </c:pt>
                <c:pt idx="88">
                  <c:v>-0.29416666666666663</c:v>
                </c:pt>
                <c:pt idx="89">
                  <c:v>-0.26333333333333336</c:v>
                </c:pt>
                <c:pt idx="90">
                  <c:v>-0.28333333333333333</c:v>
                </c:pt>
                <c:pt idx="91">
                  <c:v>-0.28499999999999998</c:v>
                </c:pt>
                <c:pt idx="92">
                  <c:v>-0.3116666666666667</c:v>
                </c:pt>
                <c:pt idx="93">
                  <c:v>-0.3133333333333333</c:v>
                </c:pt>
                <c:pt idx="94">
                  <c:v>-0.35833333333333334</c:v>
                </c:pt>
                <c:pt idx="95">
                  <c:v>-0.29749999999999999</c:v>
                </c:pt>
                <c:pt idx="96">
                  <c:v>-0.29833333333333334</c:v>
                </c:pt>
                <c:pt idx="97">
                  <c:v>-0.33</c:v>
                </c:pt>
                <c:pt idx="98">
                  <c:v>-0.32833333333333331</c:v>
                </c:pt>
                <c:pt idx="99">
                  <c:v>-0.3066666666666667</c:v>
                </c:pt>
                <c:pt idx="100">
                  <c:v>-0.28833333333333333</c:v>
                </c:pt>
                <c:pt idx="101">
                  <c:v>-0.15583333333333335</c:v>
                </c:pt>
                <c:pt idx="102">
                  <c:v>-0.19666666666666666</c:v>
                </c:pt>
                <c:pt idx="103">
                  <c:v>-0.18583333333333332</c:v>
                </c:pt>
                <c:pt idx="104">
                  <c:v>0</c:v>
                </c:pt>
                <c:pt idx="105">
                  <c:v>-5.5E-2</c:v>
                </c:pt>
                <c:pt idx="106">
                  <c:v>-5.9166666666666666E-2</c:v>
                </c:pt>
                <c:pt idx="107">
                  <c:v>2.5833333333333333E-2</c:v>
                </c:pt>
                <c:pt idx="108">
                  <c:v>5.0833333333333335E-2</c:v>
                </c:pt>
                <c:pt idx="109">
                  <c:v>5.7499999999999996E-2</c:v>
                </c:pt>
                <c:pt idx="110">
                  <c:v>1.4999999999999999E-2</c:v>
                </c:pt>
                <c:pt idx="111">
                  <c:v>5.5E-2</c:v>
                </c:pt>
                <c:pt idx="112">
                  <c:v>8.3333333333333329E-2</c:v>
                </c:pt>
                <c:pt idx="113">
                  <c:v>0.13333333333333333</c:v>
                </c:pt>
                <c:pt idx="114">
                  <c:v>0.12416666666666666</c:v>
                </c:pt>
                <c:pt idx="115">
                  <c:v>0.11166666666666668</c:v>
                </c:pt>
                <c:pt idx="116">
                  <c:v>6.25E-2</c:v>
                </c:pt>
                <c:pt idx="117">
                  <c:v>6.8333333333333329E-2</c:v>
                </c:pt>
                <c:pt idx="118">
                  <c:v>5.8333333333333327E-2</c:v>
                </c:pt>
                <c:pt idx="119">
                  <c:v>1.6666666666666668E-3</c:v>
                </c:pt>
                <c:pt idx="120">
                  <c:v>1.1666666666666667E-2</c:v>
                </c:pt>
                <c:pt idx="121">
                  <c:v>4.0833333333333333E-2</c:v>
                </c:pt>
                <c:pt idx="122">
                  <c:v>8.3333333333333339E-4</c:v>
                </c:pt>
                <c:pt idx="123">
                  <c:v>1.3333333333333334E-2</c:v>
                </c:pt>
                <c:pt idx="124">
                  <c:v>0.01</c:v>
                </c:pt>
                <c:pt idx="125">
                  <c:v>2.2500000000000003E-2</c:v>
                </c:pt>
                <c:pt idx="126">
                  <c:v>5.8333333333333336E-3</c:v>
                </c:pt>
                <c:pt idx="127">
                  <c:v>1.5833333333333335E-2</c:v>
                </c:pt>
                <c:pt idx="128">
                  <c:v>9.1666666666666667E-3</c:v>
                </c:pt>
                <c:pt idx="129">
                  <c:v>2.4999999999999998E-2</c:v>
                </c:pt>
                <c:pt idx="130">
                  <c:v>4.1666666666666666E-3</c:v>
                </c:pt>
                <c:pt idx="131">
                  <c:v>2.4999999999999998E-2</c:v>
                </c:pt>
                <c:pt idx="132">
                  <c:v>-7.4999999999999997E-3</c:v>
                </c:pt>
                <c:pt idx="133">
                  <c:v>8.3333333333333332E-3</c:v>
                </c:pt>
                <c:pt idx="134">
                  <c:v>0</c:v>
                </c:pt>
                <c:pt idx="135">
                  <c:v>3.3333333333333335E-3</c:v>
                </c:pt>
                <c:pt idx="136">
                  <c:v>2.4999999999999998E-2</c:v>
                </c:pt>
                <c:pt idx="137">
                  <c:v>3.9166666666666662E-2</c:v>
                </c:pt>
                <c:pt idx="138">
                  <c:v>3.2500000000000001E-2</c:v>
                </c:pt>
                <c:pt idx="139">
                  <c:v>4.9166666666666664E-2</c:v>
                </c:pt>
                <c:pt idx="140">
                  <c:v>5.2499999999999998E-2</c:v>
                </c:pt>
                <c:pt idx="141">
                  <c:v>5.4166666666666669E-2</c:v>
                </c:pt>
                <c:pt idx="142">
                  <c:v>4.6666666666666669E-2</c:v>
                </c:pt>
                <c:pt idx="143">
                  <c:v>5.9166666666666666E-2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FB-BB4C-8103-320BB2CB3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2445840"/>
        <c:axId val="1072162320"/>
      </c:lineChart>
      <c:catAx>
        <c:axId val="107244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162320"/>
        <c:crosses val="autoZero"/>
        <c:auto val="1"/>
        <c:lblAlgn val="ctr"/>
        <c:lblOffset val="100"/>
        <c:noMultiLvlLbl val="0"/>
      </c:catAx>
      <c:valAx>
        <c:axId val="107216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445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Data!$K$1</c:f>
              <c:strCache>
                <c:ptCount val="1"/>
                <c:pt idx="0">
                  <c:v>S&amp;P 500 Returns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Data!$K$2:$K$145</c:f>
              <c:numCache>
                <c:formatCode>0.0000</c:formatCode>
                <c:ptCount val="144"/>
                <c:pt idx="0">
                  <c:v>1.075140262303014E-2</c:v>
                </c:pt>
                <c:pt idx="1">
                  <c:v>3.0832051495888857E-2</c:v>
                </c:pt>
                <c:pt idx="2">
                  <c:v>8.4497926504778498E-4</c:v>
                </c:pt>
                <c:pt idx="3">
                  <c:v>1.0226993754827607E-2</c:v>
                </c:pt>
                <c:pt idx="4">
                  <c:v>1.947640131107109E-2</c:v>
                </c:pt>
                <c:pt idx="5">
                  <c:v>3.6923774585327029E-2</c:v>
                </c:pt>
                <c:pt idx="6">
                  <c:v>1.3590948338697117E-2</c:v>
                </c:pt>
                <c:pt idx="7">
                  <c:v>8.0651406697718198E-3</c:v>
                </c:pt>
                <c:pt idx="8">
                  <c:v>-2.91929146820602E-3</c:v>
                </c:pt>
                <c:pt idx="9">
                  <c:v>2.5580064280368076E-2</c:v>
                </c:pt>
                <c:pt idx="10">
                  <c:v>3.9709796514131313E-4</c:v>
                </c:pt>
                <c:pt idx="11">
                  <c:v>1.3683713645092466E-2</c:v>
                </c:pt>
                <c:pt idx="12">
                  <c:v>3.03317334913773E-2</c:v>
                </c:pt>
                <c:pt idx="13">
                  <c:v>1.3358396376130566E-2</c:v>
                </c:pt>
                <c:pt idx="14">
                  <c:v>-5.8638690385687253E-3</c:v>
                </c:pt>
                <c:pt idx="15">
                  <c:v>1.6160854027213567E-2</c:v>
                </c:pt>
                <c:pt idx="16">
                  <c:v>-2.8075033990056397E-2</c:v>
                </c:pt>
                <c:pt idx="17">
                  <c:v>5.538722016032871E-2</c:v>
                </c:pt>
                <c:pt idx="18">
                  <c:v>4.7442738570946386E-3</c:v>
                </c:pt>
                <c:pt idx="19">
                  <c:v>-1.270037531580559E-2</c:v>
                </c:pt>
                <c:pt idx="20">
                  <c:v>2.6634716839728068E-2</c:v>
                </c:pt>
                <c:pt idx="21">
                  <c:v>-1.0613773892997891E-3</c:v>
                </c:pt>
                <c:pt idx="22">
                  <c:v>7.1490728320811048E-3</c:v>
                </c:pt>
                <c:pt idx="23">
                  <c:v>8.1532894799651867E-3</c:v>
                </c:pt>
                <c:pt idx="24">
                  <c:v>-5.9897534967849886E-3</c:v>
                </c:pt>
                <c:pt idx="25">
                  <c:v>-2.4532103711255582E-3</c:v>
                </c:pt>
                <c:pt idx="26">
                  <c:v>-2.5915172815571097E-2</c:v>
                </c:pt>
                <c:pt idx="27">
                  <c:v>-4.6797099815184207E-2</c:v>
                </c:pt>
                <c:pt idx="28">
                  <c:v>4.1349303901954793E-2</c:v>
                </c:pt>
                <c:pt idx="29">
                  <c:v>2.7563079992690698E-2</c:v>
                </c:pt>
                <c:pt idx="30">
                  <c:v>-1.2755813171073993E-2</c:v>
                </c:pt>
                <c:pt idx="31">
                  <c:v>-6.5956535285870088E-2</c:v>
                </c:pt>
                <c:pt idx="32">
                  <c:v>-7.3908057958927964E-3</c:v>
                </c:pt>
                <c:pt idx="33">
                  <c:v>6.1714327721825946E-2</c:v>
                </c:pt>
                <c:pt idx="34">
                  <c:v>2.6504117312495357E-2</c:v>
                </c:pt>
                <c:pt idx="35">
                  <c:v>-4.8132052381547608E-3</c:v>
                </c:pt>
                <c:pt idx="36">
                  <c:v>8.8789910677542494E-3</c:v>
                </c:pt>
                <c:pt idx="37">
                  <c:v>3.119646430473777E-2</c:v>
                </c:pt>
                <c:pt idx="38">
                  <c:v>1.0261063800083736E-2</c:v>
                </c:pt>
                <c:pt idx="39">
                  <c:v>-6.1079251019138248E-3</c:v>
                </c:pt>
                <c:pt idx="40">
                  <c:v>-6.7989377528746564E-3</c:v>
                </c:pt>
                <c:pt idx="41">
                  <c:v>1.0251887523214709E-2</c:v>
                </c:pt>
                <c:pt idx="42">
                  <c:v>3.7709181104762735E-2</c:v>
                </c:pt>
                <c:pt idx="43">
                  <c:v>1.2681215865540718E-2</c:v>
                </c:pt>
                <c:pt idx="44">
                  <c:v>2.4082246211188929E-2</c:v>
                </c:pt>
                <c:pt idx="45">
                  <c:v>1.5841813632286428E-2</c:v>
                </c:pt>
                <c:pt idx="46">
                  <c:v>-3.1730338597781849E-3</c:v>
                </c:pt>
                <c:pt idx="47">
                  <c:v>1.5275652627251279E-2</c:v>
                </c:pt>
                <c:pt idx="48">
                  <c:v>1.6131254305216336E-2</c:v>
                </c:pt>
                <c:pt idx="49">
                  <c:v>8.2621539118896692E-3</c:v>
                </c:pt>
                <c:pt idx="50">
                  <c:v>8.6386047838304947E-4</c:v>
                </c:pt>
                <c:pt idx="51">
                  <c:v>1.4909087948148159E-2</c:v>
                </c:pt>
                <c:pt idx="52">
                  <c:v>2.5737712809486224E-2</c:v>
                </c:pt>
                <c:pt idx="53">
                  <c:v>1.4317559640203426E-2</c:v>
                </c:pt>
                <c:pt idx="54">
                  <c:v>2.7270869560188205E-2</c:v>
                </c:pt>
                <c:pt idx="55">
                  <c:v>4.7088584790229593E-2</c:v>
                </c:pt>
                <c:pt idx="56">
                  <c:v>-3.0339092408057988E-2</c:v>
                </c:pt>
                <c:pt idx="57">
                  <c:v>-8.8349672477783248E-4</c:v>
                </c:pt>
                <c:pt idx="58">
                  <c:v>-1.8181347284452531E-2</c:v>
                </c:pt>
                <c:pt idx="59">
                  <c:v>1.8035671890956895E-2</c:v>
                </c:pt>
                <c:pt idx="60">
                  <c:v>1.9566979703793175E-2</c:v>
                </c:pt>
                <c:pt idx="61">
                  <c:v>1.4264708551926963E-2</c:v>
                </c:pt>
                <c:pt idx="62">
                  <c:v>2.2973611488953605E-2</c:v>
                </c:pt>
                <c:pt idx="63">
                  <c:v>1.5284377602508226E-2</c:v>
                </c:pt>
                <c:pt idx="64">
                  <c:v>-3.9993107013613582E-2</c:v>
                </c:pt>
                <c:pt idx="65">
                  <c:v>-2.2341013692531941E-2</c:v>
                </c:pt>
                <c:pt idx="66">
                  <c:v>-5.7255538459843658E-2</c:v>
                </c:pt>
                <c:pt idx="67">
                  <c:v>0.12861250952093117</c:v>
                </c:pt>
                <c:pt idx="68">
                  <c:v>2.9217556964503455E-2</c:v>
                </c:pt>
                <c:pt idx="69">
                  <c:v>-1.5009275168703651E-3</c:v>
                </c:pt>
                <c:pt idx="70">
                  <c:v>4.2726048467263134E-2</c:v>
                </c:pt>
                <c:pt idx="71">
                  <c:v>2.3139205669457485E-2</c:v>
                </c:pt>
                <c:pt idx="72">
                  <c:v>3.1936207929818883E-2</c:v>
                </c:pt>
                <c:pt idx="73">
                  <c:v>-2.7107737234899343E-4</c:v>
                </c:pt>
                <c:pt idx="74">
                  <c:v>-0.19068070194658615</c:v>
                </c:pt>
                <c:pt idx="75">
                  <c:v>4.1314230372621052E-2</c:v>
                </c:pt>
                <c:pt idx="76">
                  <c:v>5.7075009120456821E-2</c:v>
                </c:pt>
                <c:pt idx="77">
                  <c:v>6.3380243316639051E-2</c:v>
                </c:pt>
                <c:pt idx="78">
                  <c:v>3.3162456330321E-2</c:v>
                </c:pt>
                <c:pt idx="79">
                  <c:v>5.7391761263877239E-2</c:v>
                </c:pt>
                <c:pt idx="80">
                  <c:v>-7.7227514537898667E-3</c:v>
                </c:pt>
                <c:pt idx="81">
                  <c:v>1.5802832740796857E-2</c:v>
                </c:pt>
                <c:pt idx="82">
                  <c:v>3.8111295051829419E-2</c:v>
                </c:pt>
                <c:pt idx="83">
                  <c:v>4.1227897776622058E-2</c:v>
                </c:pt>
                <c:pt idx="84">
                  <c:v>2.663874507216768E-2</c:v>
                </c:pt>
                <c:pt idx="85">
                  <c:v>2.3639860701580639E-2</c:v>
                </c:pt>
                <c:pt idx="86">
                  <c:v>6.9722232480158297E-3</c:v>
                </c:pt>
                <c:pt idx="87">
                  <c:v>5.898668771903659E-2</c:v>
                </c:pt>
                <c:pt idx="88">
                  <c:v>6.4409984740938508E-3</c:v>
                </c:pt>
                <c:pt idx="89">
                  <c:v>1.6948799483893273E-2</c:v>
                </c:pt>
                <c:pt idx="90">
                  <c:v>2.9544324775462538E-2</c:v>
                </c:pt>
                <c:pt idx="91">
                  <c:v>2.0737731710595675E-2</c:v>
                </c:pt>
                <c:pt idx="92">
                  <c:v>-1.9449099560706617E-3</c:v>
                </c:pt>
                <c:pt idx="93">
                  <c:v>3.4110137697025422E-3</c:v>
                </c:pt>
                <c:pt idx="94">
                  <c:v>4.6333354150020156E-2</c:v>
                </c:pt>
                <c:pt idx="95">
                  <c:v>1.58248311818876E-3</c:v>
                </c:pt>
                <c:pt idx="96">
                  <c:v>-2.1596178715542647E-2</c:v>
                </c:pt>
                <c:pt idx="97">
                  <c:v>-3.0135665438234427E-2</c:v>
                </c:pt>
                <c:pt idx="98">
                  <c:v>-1.008014094273324E-2</c:v>
                </c:pt>
                <c:pt idx="99">
                  <c:v>7.0099634545961464E-6</c:v>
                </c:pt>
                <c:pt idx="100">
                  <c:v>-7.9916270731920536E-2</c:v>
                </c:pt>
                <c:pt idx="101">
                  <c:v>-3.5000181501978034E-2</c:v>
                </c:pt>
                <c:pt idx="102">
                  <c:v>3.2785350573312222E-3</c:v>
                </c:pt>
                <c:pt idx="103">
                  <c:v>6.3100872255676732E-2</c:v>
                </c:pt>
                <c:pt idx="104">
                  <c:v>-7.4074280963680295E-2</c:v>
                </c:pt>
                <c:pt idx="105">
                  <c:v>-3.2325376420973551E-2</c:v>
                </c:pt>
                <c:pt idx="106">
                  <c:v>5.1378153840137442E-2</c:v>
                </c:pt>
                <c:pt idx="107">
                  <c:v>-1.3037993486105792E-3</c:v>
                </c:pt>
                <c:pt idx="108">
                  <c:v>1.2339173563777894E-2</c:v>
                </c:pt>
                <c:pt idx="109">
                  <c:v>3.0052653352317993E-2</c:v>
                </c:pt>
                <c:pt idx="110">
                  <c:v>-2.7238772987478344E-2</c:v>
                </c:pt>
                <c:pt idx="111">
                  <c:v>3.85299129887271E-2</c:v>
                </c:pt>
                <c:pt idx="112">
                  <c:v>5.9944216922416249E-3</c:v>
                </c:pt>
                <c:pt idx="113">
                  <c:v>4.8044224538957181E-2</c:v>
                </c:pt>
                <c:pt idx="114">
                  <c:v>3.7442734652722631E-2</c:v>
                </c:pt>
                <c:pt idx="115">
                  <c:v>-1.1250211836032253E-2</c:v>
                </c:pt>
                <c:pt idx="116">
                  <c:v>-1.0827868912423932E-2</c:v>
                </c:pt>
                <c:pt idx="117">
                  <c:v>-3.1683166479536284E-2</c:v>
                </c:pt>
                <c:pt idx="118">
                  <c:v>4.4657887207650626E-2</c:v>
                </c:pt>
                <c:pt idx="119">
                  <c:v>5.0445060944576126E-2</c:v>
                </c:pt>
                <c:pt idx="120">
                  <c:v>2.7867871472379235E-2</c:v>
                </c:pt>
                <c:pt idx="121">
                  <c:v>4.0773116471131132E-2</c:v>
                </c:pt>
                <c:pt idx="122">
                  <c:v>3.1646492096956136E-2</c:v>
                </c:pt>
                <c:pt idx="123">
                  <c:v>-1.1232754734078476E-2</c:v>
                </c:pt>
                <c:pt idx="124">
                  <c:v>2.4006435572613061E-2</c:v>
                </c:pt>
                <c:pt idx="125">
                  <c:v>3.4366250953743238E-2</c:v>
                </c:pt>
                <c:pt idx="126">
                  <c:v>2.2688980746054632E-2</c:v>
                </c:pt>
                <c:pt idx="127">
                  <c:v>-1.0796307498352253E-2</c:v>
                </c:pt>
                <c:pt idx="128">
                  <c:v>2.6111783932256216E-2</c:v>
                </c:pt>
                <c:pt idx="129">
                  <c:v>3.0430730832949671E-2</c:v>
                </c:pt>
                <c:pt idx="130">
                  <c:v>2.3754979889036187E-2</c:v>
                </c:pt>
                <c:pt idx="131">
                  <c:v>1.3658299953754893E-2</c:v>
                </c:pt>
                <c:pt idx="132">
                  <c:v>-5.2226832359071329E-3</c:v>
                </c:pt>
                <c:pt idx="133">
                  <c:v>9.8962031288318819E-3</c:v>
                </c:pt>
                <c:pt idx="134">
                  <c:v>-5.8739009067639958E-2</c:v>
                </c:pt>
                <c:pt idx="135">
                  <c:v>-5.5328737014995633E-2</c:v>
                </c:pt>
                <c:pt idx="136">
                  <c:v>8.2209546857330951E-2</c:v>
                </c:pt>
                <c:pt idx="137">
                  <c:v>3.7693169780276259E-2</c:v>
                </c:pt>
                <c:pt idx="138">
                  <c:v>4.420378535684466E-2</c:v>
                </c:pt>
                <c:pt idx="139">
                  <c:v>1.7859346377015584E-2</c:v>
                </c:pt>
                <c:pt idx="140">
                  <c:v>2.7316266227122687E-2</c:v>
                </c:pt>
                <c:pt idx="141">
                  <c:v>2.3036638371640938E-2</c:v>
                </c:pt>
                <c:pt idx="142">
                  <c:v>7.7112352292996178E-4</c:v>
                </c:pt>
                <c:pt idx="143">
                  <c:v>1.6635746187375178E-2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83-3F47-B322-B228E79F1F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2692224"/>
        <c:axId val="1082693952"/>
      </c:lineChart>
      <c:catAx>
        <c:axId val="1082692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693952"/>
        <c:crosses val="autoZero"/>
        <c:auto val="1"/>
        <c:lblAlgn val="ctr"/>
        <c:lblOffset val="100"/>
        <c:noMultiLvlLbl val="0"/>
      </c:catAx>
      <c:valAx>
        <c:axId val="108269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692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Data!$Y$1</c:f>
              <c:strCache>
                <c:ptCount val="1"/>
                <c:pt idx="0">
                  <c:v>S&amp;P 500 Returns - HY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Data!$Y$2:$Y$145</c:f>
              <c:numCache>
                <c:formatCode>0.0000</c:formatCode>
                <c:ptCount val="144"/>
                <c:pt idx="0">
                  <c:v>-0.91096437562072896</c:v>
                </c:pt>
                <c:pt idx="1">
                  <c:v>-2.3980136125330338</c:v>
                </c:pt>
                <c:pt idx="2">
                  <c:v>0.75000275070437161</c:v>
                </c:pt>
                <c:pt idx="3">
                  <c:v>-1.2369081491652585</c:v>
                </c:pt>
                <c:pt idx="4">
                  <c:v>-2.4760094597658804</c:v>
                </c:pt>
                <c:pt idx="5">
                  <c:v>-1.7227430562336554E-3</c:v>
                </c:pt>
                <c:pt idx="6">
                  <c:v>-0.72731481648190144</c:v>
                </c:pt>
                <c:pt idx="7">
                  <c:v>-0.52011651603658948</c:v>
                </c:pt>
                <c:pt idx="8">
                  <c:v>-1.9264758862828741</c:v>
                </c:pt>
                <c:pt idx="9">
                  <c:v>6.9187076511110224E-3</c:v>
                </c:pt>
                <c:pt idx="10">
                  <c:v>-0.65076373238944996</c:v>
                </c:pt>
                <c:pt idx="11">
                  <c:v>-0.51489554556213668</c:v>
                </c:pt>
                <c:pt idx="12">
                  <c:v>-0.84947435205176713</c:v>
                </c:pt>
                <c:pt idx="13">
                  <c:v>1.3277320563891768</c:v>
                </c:pt>
                <c:pt idx="14">
                  <c:v>-1.3622976654944936</c:v>
                </c:pt>
                <c:pt idx="15">
                  <c:v>1.7191062695844579</c:v>
                </c:pt>
                <c:pt idx="16">
                  <c:v>-1.640637274834607</c:v>
                </c:pt>
                <c:pt idx="17">
                  <c:v>0.5059905302552723</c:v>
                </c:pt>
                <c:pt idx="18">
                  <c:v>1.2825188779607932</c:v>
                </c:pt>
                <c:pt idx="19">
                  <c:v>-1.1957052249156281</c:v>
                </c:pt>
                <c:pt idx="20">
                  <c:v>-2.0674543719469156</c:v>
                </c:pt>
                <c:pt idx="21">
                  <c:v>0.77481360069533434</c:v>
                </c:pt>
                <c:pt idx="22">
                  <c:v>-0.64457008273053229</c:v>
                </c:pt>
                <c:pt idx="23">
                  <c:v>0.13834015298999414</c:v>
                </c:pt>
                <c:pt idx="24">
                  <c:v>1.8295849965341144</c:v>
                </c:pt>
                <c:pt idx="25">
                  <c:v>-0.1964145478948659</c:v>
                </c:pt>
                <c:pt idx="26">
                  <c:v>1.5478775327014587</c:v>
                </c:pt>
                <c:pt idx="27">
                  <c:v>2.8398159760270083</c:v>
                </c:pt>
                <c:pt idx="28">
                  <c:v>-3.4444537391388588</c:v>
                </c:pt>
                <c:pt idx="29">
                  <c:v>1.9065660162592846</c:v>
                </c:pt>
                <c:pt idx="30">
                  <c:v>2.2414143834970743</c:v>
                </c:pt>
                <c:pt idx="31">
                  <c:v>1.6334355421039572</c:v>
                </c:pt>
                <c:pt idx="32">
                  <c:v>-0.8024053912740966</c:v>
                </c:pt>
                <c:pt idx="33">
                  <c:v>-3.6270796894894017</c:v>
                </c:pt>
                <c:pt idx="34">
                  <c:v>-2.327596256567102</c:v>
                </c:pt>
                <c:pt idx="35">
                  <c:v>-0.33409869319838392</c:v>
                </c:pt>
                <c:pt idx="36">
                  <c:v>-0.76068732422878949</c:v>
                </c:pt>
                <c:pt idx="37">
                  <c:v>-2.3666150000944421</c:v>
                </c:pt>
                <c:pt idx="38">
                  <c:v>-2.0328061690675399</c:v>
                </c:pt>
                <c:pt idx="39">
                  <c:v>-5.0280583610806673E-4</c:v>
                </c:pt>
                <c:pt idx="40">
                  <c:v>-0.28505372146313801</c:v>
                </c:pt>
                <c:pt idx="41">
                  <c:v>0.72247237641396156</c:v>
                </c:pt>
                <c:pt idx="42">
                  <c:v>-2.0722333327069506</c:v>
                </c:pt>
                <c:pt idx="43">
                  <c:v>-0.63415019334093126</c:v>
                </c:pt>
                <c:pt idx="44">
                  <c:v>-1.161662273804297</c:v>
                </c:pt>
                <c:pt idx="45">
                  <c:v>0.32922876547152047</c:v>
                </c:pt>
                <c:pt idx="46">
                  <c:v>-1.0542238722111643</c:v>
                </c:pt>
                <c:pt idx="47">
                  <c:v>-0.71090048727853627</c:v>
                </c:pt>
                <c:pt idx="48">
                  <c:v>-0.12600116164798369</c:v>
                </c:pt>
                <c:pt idx="49">
                  <c:v>-0.81322058181053336</c:v>
                </c:pt>
                <c:pt idx="50">
                  <c:v>4.192105160976034E-2</c:v>
                </c:pt>
                <c:pt idx="51">
                  <c:v>-0.5003577355554536</c:v>
                </c:pt>
                <c:pt idx="52">
                  <c:v>-0.18765182802896274</c:v>
                </c:pt>
                <c:pt idx="53">
                  <c:v>0.29384581056419168</c:v>
                </c:pt>
                <c:pt idx="54">
                  <c:v>0.14705789403273895</c:v>
                </c:pt>
                <c:pt idx="55">
                  <c:v>-0.10710867464023677</c:v>
                </c:pt>
                <c:pt idx="56">
                  <c:v>0.66563400581997301</c:v>
                </c:pt>
                <c:pt idx="57">
                  <c:v>0.46535133785611416</c:v>
                </c:pt>
                <c:pt idx="58">
                  <c:v>-0.60018892274800262</c:v>
                </c:pt>
                <c:pt idx="59">
                  <c:v>0.19459024498248212</c:v>
                </c:pt>
                <c:pt idx="60">
                  <c:v>0.45655703468077546</c:v>
                </c:pt>
                <c:pt idx="61">
                  <c:v>-1.5462862384030147</c:v>
                </c:pt>
                <c:pt idx="62">
                  <c:v>-0.1744238767493953</c:v>
                </c:pt>
                <c:pt idx="63">
                  <c:v>-0.25511107484785889</c:v>
                </c:pt>
                <c:pt idx="64">
                  <c:v>1.6533174418119638</c:v>
                </c:pt>
                <c:pt idx="65">
                  <c:v>1.0477623544518608</c:v>
                </c:pt>
                <c:pt idx="66">
                  <c:v>1.3470752612152472</c:v>
                </c:pt>
                <c:pt idx="67">
                  <c:v>-0.41180114317989069</c:v>
                </c:pt>
                <c:pt idx="68">
                  <c:v>9.9160579558002837E-2</c:v>
                </c:pt>
                <c:pt idx="69">
                  <c:v>-0.10565290663764049</c:v>
                </c:pt>
                <c:pt idx="70">
                  <c:v>-0.65760377974441342</c:v>
                </c:pt>
                <c:pt idx="71">
                  <c:v>-1.3189174099723493</c:v>
                </c:pt>
                <c:pt idx="72">
                  <c:v>0.43422952792831127</c:v>
                </c:pt>
                <c:pt idx="73">
                  <c:v>1.3989331437280539</c:v>
                </c:pt>
                <c:pt idx="74">
                  <c:v>12.216042233728871</c:v>
                </c:pt>
                <c:pt idx="75">
                  <c:v>-5.4985096206098296</c:v>
                </c:pt>
                <c:pt idx="76">
                  <c:v>-3.2444938645392751</c:v>
                </c:pt>
                <c:pt idx="77">
                  <c:v>-0.97250002344103259</c:v>
                </c:pt>
                <c:pt idx="78">
                  <c:v>-2.91622485577851</c:v>
                </c:pt>
                <c:pt idx="79">
                  <c:v>-1.0912706668086227</c:v>
                </c:pt>
                <c:pt idx="80">
                  <c:v>1.1469974795813214</c:v>
                </c:pt>
                <c:pt idx="81">
                  <c:v>1.4942327565881319E-2</c:v>
                </c:pt>
                <c:pt idx="82">
                  <c:v>-4.1583515919665963</c:v>
                </c:pt>
                <c:pt idx="83">
                  <c:v>-1.1458441665296273</c:v>
                </c:pt>
                <c:pt idx="84">
                  <c:v>-4.6488544479532212E-2</c:v>
                </c:pt>
                <c:pt idx="85">
                  <c:v>-7.8358488974022089E-2</c:v>
                </c:pt>
                <c:pt idx="86">
                  <c:v>-0.69260541036168899</c:v>
                </c:pt>
                <c:pt idx="87">
                  <c:v>-0.56639994712204866</c:v>
                </c:pt>
                <c:pt idx="88">
                  <c:v>-0.38856945911305885</c:v>
                </c:pt>
                <c:pt idx="89">
                  <c:v>-0.76028132124532877</c:v>
                </c:pt>
                <c:pt idx="90">
                  <c:v>-0.39678061822529287</c:v>
                </c:pt>
                <c:pt idx="91">
                  <c:v>-0.39129536353526051</c:v>
                </c:pt>
                <c:pt idx="92">
                  <c:v>0.36385378925894352</c:v>
                </c:pt>
                <c:pt idx="93">
                  <c:v>0.19674981605092023</c:v>
                </c:pt>
                <c:pt idx="94">
                  <c:v>1.1966197620013621</c:v>
                </c:pt>
                <c:pt idx="95">
                  <c:v>-1.8131942210481211</c:v>
                </c:pt>
                <c:pt idx="96">
                  <c:v>2.3519703735642286</c:v>
                </c:pt>
                <c:pt idx="97">
                  <c:v>1.1361390315927991</c:v>
                </c:pt>
                <c:pt idx="98">
                  <c:v>0.62170789033490259</c:v>
                </c:pt>
                <c:pt idx="99">
                  <c:v>3.8067585559901422</c:v>
                </c:pt>
                <c:pt idx="100">
                  <c:v>-0.65835238193357282</c:v>
                </c:pt>
                <c:pt idx="101">
                  <c:v>6.6294821488282576</c:v>
                </c:pt>
                <c:pt idx="102">
                  <c:v>-6.4144470109190195</c:v>
                </c:pt>
                <c:pt idx="103">
                  <c:v>3.8973353840391622</c:v>
                </c:pt>
                <c:pt idx="104">
                  <c:v>2.3258935867649115</c:v>
                </c:pt>
                <c:pt idx="105">
                  <c:v>-2.18934556443602</c:v>
                </c:pt>
                <c:pt idx="106">
                  <c:v>-2.0969608219353946</c:v>
                </c:pt>
                <c:pt idx="107">
                  <c:v>0.3818238017242751</c:v>
                </c:pt>
                <c:pt idx="108">
                  <c:v>-2.8853567348890796</c:v>
                </c:pt>
                <c:pt idx="109">
                  <c:v>0.6614314135981223</c:v>
                </c:pt>
                <c:pt idx="110">
                  <c:v>-0.77426758540165275</c:v>
                </c:pt>
                <c:pt idx="111">
                  <c:v>-0.21023787270852989</c:v>
                </c:pt>
                <c:pt idx="112">
                  <c:v>0.52204244553182977</c:v>
                </c:pt>
                <c:pt idx="113">
                  <c:v>-1.2315306476671668</c:v>
                </c:pt>
                <c:pt idx="114">
                  <c:v>-1.0924478196852974</c:v>
                </c:pt>
                <c:pt idx="115">
                  <c:v>-0.24570607569441716</c:v>
                </c:pt>
                <c:pt idx="116">
                  <c:v>0.60545695484994577</c:v>
                </c:pt>
                <c:pt idx="117">
                  <c:v>0.71415928382895077</c:v>
                </c:pt>
                <c:pt idx="118">
                  <c:v>-3.8039423750472912</c:v>
                </c:pt>
                <c:pt idx="119">
                  <c:v>-3.2081607641556928</c:v>
                </c:pt>
                <c:pt idx="120">
                  <c:v>0.21635937369070346</c:v>
                </c:pt>
                <c:pt idx="121">
                  <c:v>-8.1493641637859771E-2</c:v>
                </c:pt>
                <c:pt idx="122">
                  <c:v>-0.71518525407645916</c:v>
                </c:pt>
                <c:pt idx="123">
                  <c:v>0.46286743849788481</c:v>
                </c:pt>
                <c:pt idx="124">
                  <c:v>-1.0860475657539417</c:v>
                </c:pt>
                <c:pt idx="125">
                  <c:v>-0.31832448579568484</c:v>
                </c:pt>
                <c:pt idx="126">
                  <c:v>-1.3225929038760302</c:v>
                </c:pt>
                <c:pt idx="127">
                  <c:v>-1.4159902495028978</c:v>
                </c:pt>
                <c:pt idx="128">
                  <c:v>-1.459106650799638</c:v>
                </c:pt>
                <c:pt idx="129">
                  <c:v>0.57003932831998982</c:v>
                </c:pt>
                <c:pt idx="130">
                  <c:v>-1.3117038516195374</c:v>
                </c:pt>
                <c:pt idx="131">
                  <c:v>-6.5517018419526396E-2</c:v>
                </c:pt>
                <c:pt idx="132">
                  <c:v>-1.2426485711525617</c:v>
                </c:pt>
                <c:pt idx="133">
                  <c:v>-0.64496969911525204</c:v>
                </c:pt>
                <c:pt idx="134">
                  <c:v>0.96051392618165299</c:v>
                </c:pt>
                <c:pt idx="135">
                  <c:v>-0.78323253356016631</c:v>
                </c:pt>
                <c:pt idx="136">
                  <c:v>-1.1591554387325347</c:v>
                </c:pt>
                <c:pt idx="137">
                  <c:v>-0.86881567324215925</c:v>
                </c:pt>
                <c:pt idx="138">
                  <c:v>-1.0037666080123129</c:v>
                </c:pt>
                <c:pt idx="139">
                  <c:v>-0.59145152801659373</c:v>
                </c:pt>
                <c:pt idx="140">
                  <c:v>-0.75153605899196996</c:v>
                </c:pt>
                <c:pt idx="141">
                  <c:v>-0.53334375688255586</c:v>
                </c:pt>
                <c:pt idx="142">
                  <c:v>-4.9060540900919491E-2</c:v>
                </c:pt>
                <c:pt idx="143">
                  <c:v>-0.59209124229443622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9A-2447-BD77-F63FB44F55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2896640"/>
        <c:axId val="1147584384"/>
      </c:lineChart>
      <c:catAx>
        <c:axId val="1082896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584384"/>
        <c:crosses val="autoZero"/>
        <c:auto val="1"/>
        <c:lblAlgn val="ctr"/>
        <c:lblOffset val="100"/>
        <c:noMultiLvlLbl val="0"/>
      </c:catAx>
      <c:valAx>
        <c:axId val="114758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896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Data!$AC$1</c:f>
              <c:strCache>
                <c:ptCount val="1"/>
                <c:pt idx="0">
                  <c:v>Change in VIX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Data!$AC$2:$AC$145</c:f>
              <c:numCache>
                <c:formatCode>General</c:formatCode>
                <c:ptCount val="144"/>
                <c:pt idx="0">
                  <c:v>3.5626535626535505</c:v>
                </c:pt>
                <c:pt idx="1">
                  <c:v>-16.975308641975307</c:v>
                </c:pt>
                <c:pt idx="2">
                  <c:v>43.665540540540547</c:v>
                </c:pt>
                <c:pt idx="3">
                  <c:v>-6.0204695966270538E-2</c:v>
                </c:pt>
                <c:pt idx="4">
                  <c:v>-17.861409796893657</c:v>
                </c:pt>
                <c:pt idx="5">
                  <c:v>3.1626506024096335</c:v>
                </c:pt>
                <c:pt idx="6">
                  <c:v>-5.704467353951892</c:v>
                </c:pt>
                <c:pt idx="7">
                  <c:v>33.793604651162788</c:v>
                </c:pt>
                <c:pt idx="8">
                  <c:v>-23.954372623574148</c:v>
                </c:pt>
                <c:pt idx="9">
                  <c:v>-1.5602836879432536</c:v>
                </c:pt>
                <c:pt idx="10">
                  <c:v>2.4446142093200951</c:v>
                </c:pt>
                <c:pt idx="11">
                  <c:v>-11.696359411309064</c:v>
                </c:pt>
                <c:pt idx="12">
                  <c:v>-2.5273799494523908</c:v>
                </c:pt>
                <c:pt idx="13">
                  <c:v>64.244186046511615</c:v>
                </c:pt>
                <c:pt idx="14">
                  <c:v>-20.767195767195755</c:v>
                </c:pt>
                <c:pt idx="15">
                  <c:v>31.957928802588988</c:v>
                </c:pt>
                <c:pt idx="16">
                  <c:v>-9.2496765847348108</c:v>
                </c:pt>
                <c:pt idx="17">
                  <c:v>-4.9893086243763314</c:v>
                </c:pt>
                <c:pt idx="18">
                  <c:v>53.969526864474716</c:v>
                </c:pt>
                <c:pt idx="19">
                  <c:v>17.875210792580098</c:v>
                </c:pt>
                <c:pt idx="20">
                  <c:v>-36.385312350977586</c:v>
                </c:pt>
                <c:pt idx="21">
                  <c:v>7.4490513000702752</c:v>
                </c:pt>
                <c:pt idx="22">
                  <c:v>-0.81799591002044147</c:v>
                </c:pt>
                <c:pt idx="23">
                  <c:v>8.9763779527559215</c:v>
                </c:pt>
                <c:pt idx="24">
                  <c:v>33.455344070278194</c:v>
                </c:pt>
                <c:pt idx="25">
                  <c:v>-28.747795414462097</c:v>
                </c:pt>
                <c:pt idx="26">
                  <c:v>118.69230769230769</c:v>
                </c:pt>
                <c:pt idx="27">
                  <c:v>-6.0942889996167153</c:v>
                </c:pt>
                <c:pt idx="28">
                  <c:v>-22.8761514841351</c:v>
                </c:pt>
                <c:pt idx="29">
                  <c:v>13.992932862190809</c:v>
                </c:pt>
                <c:pt idx="30">
                  <c:v>0.55218111540586978</c:v>
                </c:pt>
                <c:pt idx="31">
                  <c:v>10.928061504667763</c:v>
                </c:pt>
                <c:pt idx="32">
                  <c:v>2.8528528528528607</c:v>
                </c:pt>
                <c:pt idx="33">
                  <c:v>-16.467065868263475</c:v>
                </c:pt>
                <c:pt idx="34">
                  <c:v>11.189801699716707</c:v>
                </c:pt>
                <c:pt idx="35">
                  <c:v>-9.0384615384615401</c:v>
                </c:pt>
                <c:pt idx="36">
                  <c:v>16.035634743875281</c:v>
                </c:pt>
                <c:pt idx="37">
                  <c:v>-19.634394041976989</c:v>
                </c:pt>
                <c:pt idx="38">
                  <c:v>8.0515297906602168</c:v>
                </c:pt>
                <c:pt idx="39">
                  <c:v>10.934891485809661</c:v>
                </c:pt>
                <c:pt idx="40">
                  <c:v>25.165077035950102</c:v>
                </c:pt>
                <c:pt idx="41">
                  <c:v>-31.004140786749478</c:v>
                </c:pt>
                <c:pt idx="42">
                  <c:v>-0.56657223796033884</c:v>
                </c:pt>
                <c:pt idx="43">
                  <c:v>-6.692607003891049</c:v>
                </c:pt>
                <c:pt idx="44">
                  <c:v>7.7564637197664599</c:v>
                </c:pt>
                <c:pt idx="45">
                  <c:v>10.053380782918131</c:v>
                </c:pt>
                <c:pt idx="46">
                  <c:v>-12.530315278900561</c:v>
                </c:pt>
                <c:pt idx="47">
                  <c:v>-2.5280898876404501</c:v>
                </c:pt>
                <c:pt idx="48">
                  <c:v>11.022840119165833</c:v>
                </c:pt>
                <c:pt idx="49">
                  <c:v>-8.5561497326203337</c:v>
                </c:pt>
                <c:pt idx="50">
                  <c:v>5.5832502492522584</c:v>
                </c:pt>
                <c:pt idx="51">
                  <c:v>-6.1204343534057344</c:v>
                </c:pt>
                <c:pt idx="52">
                  <c:v>5.7113187954309419</c:v>
                </c:pt>
                <c:pt idx="53">
                  <c:v>13.595166163141981</c:v>
                </c:pt>
                <c:pt idx="54">
                  <c:v>-3.4120734908136496</c:v>
                </c:pt>
                <c:pt idx="55">
                  <c:v>48.415300546448094</c:v>
                </c:pt>
                <c:pt idx="56">
                  <c:v>46.170839469808556</c:v>
                </c:pt>
                <c:pt idx="57">
                  <c:v>1.9397651863195531</c:v>
                </c:pt>
                <c:pt idx="58">
                  <c:v>-24.502369668246448</c:v>
                </c:pt>
                <c:pt idx="59">
                  <c:v>-2.9559748427672949</c:v>
                </c:pt>
                <c:pt idx="60">
                  <c:v>26.295133437990572</c:v>
                </c:pt>
                <c:pt idx="61">
                  <c:v>-20.508054522924411</c:v>
                </c:pt>
                <c:pt idx="62">
                  <c:v>14.108251996450761</c:v>
                </c:pt>
                <c:pt idx="63">
                  <c:v>-5.7542768273716955</c:v>
                </c:pt>
                <c:pt idx="64">
                  <c:v>49.296765119549924</c:v>
                </c:pt>
                <c:pt idx="65">
                  <c:v>-7.3808303434136358</c:v>
                </c:pt>
                <c:pt idx="66">
                  <c:v>40.675152185943553</c:v>
                </c:pt>
                <c:pt idx="67">
                  <c:v>-22.814152094347296</c:v>
                </c:pt>
                <c:pt idx="68">
                  <c:v>-17.395727365208558</c:v>
                </c:pt>
                <c:pt idx="69">
                  <c:v>-22.417840375586849</c:v>
                </c:pt>
                <c:pt idx="70">
                  <c:v>2.6016260162601501</c:v>
                </c:pt>
                <c:pt idx="71">
                  <c:v>-13.659147869674193</c:v>
                </c:pt>
                <c:pt idx="72">
                  <c:v>34.379457917261071</c:v>
                </c:pt>
                <c:pt idx="73">
                  <c:v>112.8980891719745</c:v>
                </c:pt>
                <c:pt idx="74">
                  <c:v>67.3648015004689</c:v>
                </c:pt>
                <c:pt idx="75">
                  <c:v>-32.920840699273221</c:v>
                </c:pt>
                <c:pt idx="76">
                  <c:v>-26.028502285560627</c:v>
                </c:pt>
                <c:pt idx="77">
                  <c:v>18.589243959469993</c:v>
                </c:pt>
                <c:pt idx="78">
                  <c:v>-12.455261274158913</c:v>
                </c:pt>
                <c:pt idx="79">
                  <c:v>11.153198653198636</c:v>
                </c:pt>
                <c:pt idx="80">
                  <c:v>-0.75272864132479578</c:v>
                </c:pt>
                <c:pt idx="81">
                  <c:v>35.979971387696708</c:v>
                </c:pt>
                <c:pt idx="82">
                  <c:v>-44.600053864799364</c:v>
                </c:pt>
                <c:pt idx="83">
                  <c:v>6.9078947368421018</c:v>
                </c:pt>
                <c:pt idx="84">
                  <c:v>45.450549450549474</c:v>
                </c:pt>
                <c:pt idx="85">
                  <c:v>-15.533393774554261</c:v>
                </c:pt>
                <c:pt idx="86">
                  <c:v>-32.096604830241517</c:v>
                </c:pt>
                <c:pt idx="87">
                  <c:v>3.9084310441094283</c:v>
                </c:pt>
                <c:pt idx="88">
                  <c:v>-8.4653194975423123</c:v>
                </c:pt>
                <c:pt idx="89">
                  <c:v>-12.25055432372505</c:v>
                </c:pt>
                <c:pt idx="90">
                  <c:v>21.03516921035169</c:v>
                </c:pt>
                <c:pt idx="91">
                  <c:v>-8.2915971062882505</c:v>
                </c:pt>
                <c:pt idx="92">
                  <c:v>41.011578305911023</c:v>
                </c:pt>
                <c:pt idx="93">
                  <c:v>-29.181184668989545</c:v>
                </c:pt>
                <c:pt idx="94">
                  <c:v>69.619463505926376</c:v>
                </c:pt>
                <c:pt idx="95">
                  <c:v>-43.853928920769491</c:v>
                </c:pt>
                <c:pt idx="96">
                  <c:v>49.578313253012027</c:v>
                </c:pt>
                <c:pt idx="97">
                  <c:v>21.425694724124057</c:v>
                </c:pt>
                <c:pt idx="98">
                  <c:v>-35.709818636647903</c:v>
                </c:pt>
                <c:pt idx="99">
                  <c:v>70.147733061640352</c:v>
                </c:pt>
                <c:pt idx="100">
                  <c:v>3.0291109362706514</c:v>
                </c:pt>
                <c:pt idx="101">
                  <c:v>16.140776699029136</c:v>
                </c:pt>
                <c:pt idx="102">
                  <c:v>-22.520886305848176</c:v>
                </c:pt>
                <c:pt idx="103">
                  <c:v>20.662313432835823</c:v>
                </c:pt>
                <c:pt idx="104">
                  <c:v>21.662177760677203</c:v>
                </c:pt>
                <c:pt idx="105">
                  <c:v>-10.973512211902314</c:v>
                </c:pt>
                <c:pt idx="106">
                  <c:v>-18.656126482213452</c:v>
                </c:pt>
                <c:pt idx="107">
                  <c:v>13.693599160545666</c:v>
                </c:pt>
                <c:pt idx="108">
                  <c:v>-11.858246251703786</c:v>
                </c:pt>
                <c:pt idx="109">
                  <c:v>15.836597649692209</c:v>
                </c:pt>
                <c:pt idx="110">
                  <c:v>0.48361096184845742</c:v>
                </c:pt>
                <c:pt idx="111">
                  <c:v>-15.614973262032084</c:v>
                </c:pt>
                <c:pt idx="112">
                  <c:v>-10.701841712294669</c:v>
                </c:pt>
                <c:pt idx="113">
                  <c:v>-7.7393075356415491</c:v>
                </c:pt>
                <c:pt idx="114">
                  <c:v>-0.51094890510947621</c:v>
                </c:pt>
                <c:pt idx="115">
                  <c:v>-20.643274853801174</c:v>
                </c:pt>
                <c:pt idx="116">
                  <c:v>26.772793053545584</c:v>
                </c:pt>
                <c:pt idx="117">
                  <c:v>-2.3681377825618855</c:v>
                </c:pt>
                <c:pt idx="118">
                  <c:v>-13.346747149564052</c:v>
                </c:pt>
                <c:pt idx="119">
                  <c:v>-1.4251781472684244</c:v>
                </c:pt>
                <c:pt idx="120">
                  <c:v>1.5569709837225609</c:v>
                </c:pt>
                <c:pt idx="121">
                  <c:v>-3.2490974729241784</c:v>
                </c:pt>
                <c:pt idx="122">
                  <c:v>-0.76277650648359785</c:v>
                </c:pt>
                <c:pt idx="123">
                  <c:v>9.2114445219818606</c:v>
                </c:pt>
                <c:pt idx="124">
                  <c:v>-4.2253521126760614</c:v>
                </c:pt>
                <c:pt idx="125">
                  <c:v>-5.1106025934401167</c:v>
                </c:pt>
                <c:pt idx="126">
                  <c:v>33.442088091354009</c:v>
                </c:pt>
                <c:pt idx="127">
                  <c:v>-61.109670728545495</c:v>
                </c:pt>
                <c:pt idx="128">
                  <c:v>-19.256756756756754</c:v>
                </c:pt>
                <c:pt idx="129">
                  <c:v>20.562207183758453</c:v>
                </c:pt>
                <c:pt idx="130">
                  <c:v>-38.535031847133759</c:v>
                </c:pt>
                <c:pt idx="131">
                  <c:v>30.451127819548883</c:v>
                </c:pt>
                <c:pt idx="132">
                  <c:v>2.4314214463840411</c:v>
                </c:pt>
                <c:pt idx="133">
                  <c:v>5.4242749731471473</c:v>
                </c:pt>
                <c:pt idx="134">
                  <c:v>-5.2318162484049306</c:v>
                </c:pt>
                <c:pt idx="135">
                  <c:v>14.830311483031133</c:v>
                </c:pt>
                <c:pt idx="136">
                  <c:v>-21.446700507614214</c:v>
                </c:pt>
                <c:pt idx="137">
                  <c:v>-5.4267947993216552</c:v>
                </c:pt>
                <c:pt idx="138">
                  <c:v>2.0757020757020683</c:v>
                </c:pt>
                <c:pt idx="139">
                  <c:v>-12.328767123287676</c:v>
                </c:pt>
                <c:pt idx="140">
                  <c:v>-0.42813455657492172</c:v>
                </c:pt>
                <c:pt idx="141">
                  <c:v>6.536346976175933</c:v>
                </c:pt>
                <c:pt idx="142">
                  <c:v>-6.25</c:v>
                </c:pt>
                <c:pt idx="143">
                  <c:v>-7.0273631840795936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CE-2C4E-9FFE-C7C84296E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2247584"/>
        <c:axId val="1423146576"/>
      </c:lineChart>
      <c:catAx>
        <c:axId val="138224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146576"/>
        <c:crosses val="autoZero"/>
        <c:auto val="1"/>
        <c:lblAlgn val="ctr"/>
        <c:lblOffset val="100"/>
        <c:noMultiLvlLbl val="0"/>
      </c:catAx>
      <c:valAx>
        <c:axId val="142314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247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Data!$AB$1</c:f>
              <c:strCache>
                <c:ptCount val="1"/>
                <c:pt idx="0">
                  <c:v>VIX (Close)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Data!$AB$2:$AB$145</c:f>
              <c:numCache>
                <c:formatCode>General</c:formatCode>
                <c:ptCount val="144"/>
                <c:pt idx="0">
                  <c:v>16.86</c:v>
                </c:pt>
                <c:pt idx="1">
                  <c:v>13.45</c:v>
                </c:pt>
                <c:pt idx="2">
                  <c:v>17.010000000000002</c:v>
                </c:pt>
                <c:pt idx="3">
                  <c:v>16.600000000000001</c:v>
                </c:pt>
                <c:pt idx="4">
                  <c:v>13.75</c:v>
                </c:pt>
                <c:pt idx="5">
                  <c:v>13.7</c:v>
                </c:pt>
                <c:pt idx="6">
                  <c:v>13.72</c:v>
                </c:pt>
                <c:pt idx="7">
                  <c:v>18.41</c:v>
                </c:pt>
                <c:pt idx="8">
                  <c:v>14</c:v>
                </c:pt>
                <c:pt idx="9">
                  <c:v>13.88</c:v>
                </c:pt>
                <c:pt idx="10">
                  <c:v>13.41</c:v>
                </c:pt>
                <c:pt idx="11">
                  <c:v>11.4</c:v>
                </c:pt>
                <c:pt idx="12">
                  <c:v>11.57</c:v>
                </c:pt>
                <c:pt idx="13">
                  <c:v>16.95</c:v>
                </c:pt>
                <c:pt idx="14">
                  <c:v>11.98</c:v>
                </c:pt>
                <c:pt idx="15">
                  <c:v>16.309999999999999</c:v>
                </c:pt>
                <c:pt idx="16">
                  <c:v>14.03</c:v>
                </c:pt>
                <c:pt idx="17">
                  <c:v>13.33</c:v>
                </c:pt>
                <c:pt idx="18">
                  <c:v>19.2</c:v>
                </c:pt>
                <c:pt idx="19">
                  <c:v>20.97</c:v>
                </c:pt>
                <c:pt idx="20">
                  <c:v>13.34</c:v>
                </c:pt>
                <c:pt idx="21">
                  <c:v>15.29</c:v>
                </c:pt>
                <c:pt idx="22">
                  <c:v>14.55</c:v>
                </c:pt>
                <c:pt idx="23">
                  <c:v>13.84</c:v>
                </c:pt>
                <c:pt idx="24">
                  <c:v>18.23</c:v>
                </c:pt>
                <c:pt idx="25">
                  <c:v>12.12</c:v>
                </c:pt>
                <c:pt idx="26">
                  <c:v>28.43</c:v>
                </c:pt>
                <c:pt idx="27">
                  <c:v>24.5</c:v>
                </c:pt>
                <c:pt idx="28">
                  <c:v>15.07</c:v>
                </c:pt>
                <c:pt idx="29">
                  <c:v>16.13</c:v>
                </c:pt>
                <c:pt idx="30">
                  <c:v>18.21</c:v>
                </c:pt>
                <c:pt idx="31">
                  <c:v>20.2</c:v>
                </c:pt>
                <c:pt idx="32">
                  <c:v>20.55</c:v>
                </c:pt>
                <c:pt idx="33">
                  <c:v>13.95</c:v>
                </c:pt>
                <c:pt idx="34">
                  <c:v>15.7</c:v>
                </c:pt>
                <c:pt idx="35">
                  <c:v>14.19</c:v>
                </c:pt>
                <c:pt idx="36">
                  <c:v>15.63</c:v>
                </c:pt>
                <c:pt idx="37">
                  <c:v>11.87</c:v>
                </c:pt>
                <c:pt idx="38">
                  <c:v>13.42</c:v>
                </c:pt>
                <c:pt idx="39">
                  <c:v>13.29</c:v>
                </c:pt>
                <c:pt idx="40">
                  <c:v>17.059999999999999</c:v>
                </c:pt>
                <c:pt idx="41">
                  <c:v>13.33</c:v>
                </c:pt>
                <c:pt idx="42">
                  <c:v>14.04</c:v>
                </c:pt>
                <c:pt idx="43">
                  <c:v>11.99</c:v>
                </c:pt>
                <c:pt idx="44">
                  <c:v>12.92</c:v>
                </c:pt>
                <c:pt idx="45">
                  <c:v>12.37</c:v>
                </c:pt>
                <c:pt idx="46">
                  <c:v>10.82</c:v>
                </c:pt>
                <c:pt idx="47">
                  <c:v>10.41</c:v>
                </c:pt>
                <c:pt idx="48">
                  <c:v>11.18</c:v>
                </c:pt>
                <c:pt idx="49">
                  <c:v>10.26</c:v>
                </c:pt>
                <c:pt idx="50">
                  <c:v>10.59</c:v>
                </c:pt>
                <c:pt idx="51">
                  <c:v>9.51</c:v>
                </c:pt>
                <c:pt idx="52">
                  <c:v>10.18</c:v>
                </c:pt>
                <c:pt idx="53">
                  <c:v>11.28</c:v>
                </c:pt>
                <c:pt idx="54">
                  <c:v>11.04</c:v>
                </c:pt>
                <c:pt idx="55">
                  <c:v>13.58</c:v>
                </c:pt>
                <c:pt idx="56">
                  <c:v>19.850000000000001</c:v>
                </c:pt>
                <c:pt idx="57">
                  <c:v>19.97</c:v>
                </c:pt>
                <c:pt idx="58">
                  <c:v>15.93</c:v>
                </c:pt>
                <c:pt idx="59">
                  <c:v>15.43</c:v>
                </c:pt>
                <c:pt idx="60">
                  <c:v>16.09</c:v>
                </c:pt>
                <c:pt idx="61">
                  <c:v>12.83</c:v>
                </c:pt>
                <c:pt idx="62">
                  <c:v>12.86</c:v>
                </c:pt>
                <c:pt idx="63">
                  <c:v>12.12</c:v>
                </c:pt>
                <c:pt idx="64">
                  <c:v>21.23</c:v>
                </c:pt>
                <c:pt idx="65">
                  <c:v>18.07</c:v>
                </c:pt>
                <c:pt idx="66">
                  <c:v>25.42</c:v>
                </c:pt>
                <c:pt idx="67">
                  <c:v>18.98</c:v>
                </c:pt>
                <c:pt idx="68">
                  <c:v>16.239999999999998</c:v>
                </c:pt>
                <c:pt idx="69">
                  <c:v>13.22</c:v>
                </c:pt>
                <c:pt idx="70">
                  <c:v>12.62</c:v>
                </c:pt>
                <c:pt idx="71">
                  <c:v>13.78</c:v>
                </c:pt>
                <c:pt idx="72">
                  <c:v>18.84</c:v>
                </c:pt>
                <c:pt idx="73">
                  <c:v>40.11</c:v>
                </c:pt>
                <c:pt idx="74">
                  <c:v>53.54</c:v>
                </c:pt>
                <c:pt idx="75">
                  <c:v>34.15</c:v>
                </c:pt>
                <c:pt idx="76">
                  <c:v>27.51</c:v>
                </c:pt>
                <c:pt idx="77">
                  <c:v>30.43</c:v>
                </c:pt>
                <c:pt idx="78">
                  <c:v>24.46</c:v>
                </c:pt>
                <c:pt idx="79">
                  <c:v>26.41</c:v>
                </c:pt>
                <c:pt idx="80">
                  <c:v>26.37</c:v>
                </c:pt>
                <c:pt idx="81">
                  <c:v>38.020000000000003</c:v>
                </c:pt>
                <c:pt idx="82">
                  <c:v>20.57</c:v>
                </c:pt>
                <c:pt idx="83">
                  <c:v>22.75</c:v>
                </c:pt>
                <c:pt idx="84">
                  <c:v>33.090000000000003</c:v>
                </c:pt>
                <c:pt idx="85">
                  <c:v>27.95</c:v>
                </c:pt>
                <c:pt idx="86">
                  <c:v>19.399999999999999</c:v>
                </c:pt>
                <c:pt idx="87">
                  <c:v>18.61</c:v>
                </c:pt>
                <c:pt idx="88">
                  <c:v>16.760000000000002</c:v>
                </c:pt>
                <c:pt idx="89">
                  <c:v>15.83</c:v>
                </c:pt>
                <c:pt idx="90">
                  <c:v>18.239999999999998</c:v>
                </c:pt>
                <c:pt idx="91">
                  <c:v>16.48</c:v>
                </c:pt>
                <c:pt idx="92">
                  <c:v>23.14</c:v>
                </c:pt>
                <c:pt idx="93">
                  <c:v>16.260000000000002</c:v>
                </c:pt>
                <c:pt idx="94">
                  <c:v>27.19</c:v>
                </c:pt>
                <c:pt idx="95">
                  <c:v>17.22</c:v>
                </c:pt>
                <c:pt idx="96">
                  <c:v>24.83</c:v>
                </c:pt>
                <c:pt idx="97">
                  <c:v>30.15</c:v>
                </c:pt>
                <c:pt idx="98">
                  <c:v>20.56</c:v>
                </c:pt>
                <c:pt idx="99">
                  <c:v>33.4</c:v>
                </c:pt>
                <c:pt idx="100">
                  <c:v>26.19</c:v>
                </c:pt>
                <c:pt idx="101">
                  <c:v>28.71</c:v>
                </c:pt>
                <c:pt idx="102">
                  <c:v>21.33</c:v>
                </c:pt>
                <c:pt idx="103">
                  <c:v>25.87</c:v>
                </c:pt>
                <c:pt idx="104">
                  <c:v>31.62</c:v>
                </c:pt>
                <c:pt idx="105">
                  <c:v>25.88</c:v>
                </c:pt>
                <c:pt idx="106">
                  <c:v>20.58</c:v>
                </c:pt>
                <c:pt idx="107">
                  <c:v>21.67</c:v>
                </c:pt>
                <c:pt idx="108">
                  <c:v>19.399999999999999</c:v>
                </c:pt>
                <c:pt idx="109">
                  <c:v>20.7</c:v>
                </c:pt>
                <c:pt idx="110">
                  <c:v>18.7</c:v>
                </c:pt>
                <c:pt idx="111">
                  <c:v>15.78</c:v>
                </c:pt>
                <c:pt idx="112">
                  <c:v>17.940000000000001</c:v>
                </c:pt>
                <c:pt idx="113">
                  <c:v>13.59</c:v>
                </c:pt>
                <c:pt idx="114">
                  <c:v>13.63</c:v>
                </c:pt>
                <c:pt idx="115">
                  <c:v>13.57</c:v>
                </c:pt>
                <c:pt idx="116">
                  <c:v>17.52</c:v>
                </c:pt>
                <c:pt idx="117">
                  <c:v>18.14</c:v>
                </c:pt>
                <c:pt idx="118">
                  <c:v>12.92</c:v>
                </c:pt>
                <c:pt idx="119">
                  <c:v>12.45</c:v>
                </c:pt>
                <c:pt idx="120">
                  <c:v>14.35</c:v>
                </c:pt>
                <c:pt idx="121">
                  <c:v>13.4</c:v>
                </c:pt>
                <c:pt idx="122">
                  <c:v>13.01</c:v>
                </c:pt>
                <c:pt idx="123">
                  <c:v>15.65</c:v>
                </c:pt>
                <c:pt idx="124">
                  <c:v>12.92</c:v>
                </c:pt>
                <c:pt idx="125">
                  <c:v>12.44</c:v>
                </c:pt>
                <c:pt idx="126">
                  <c:v>16.36</c:v>
                </c:pt>
                <c:pt idx="127">
                  <c:v>15</c:v>
                </c:pt>
                <c:pt idx="128">
                  <c:v>16.73</c:v>
                </c:pt>
                <c:pt idx="129">
                  <c:v>23.16</c:v>
                </c:pt>
                <c:pt idx="130">
                  <c:v>13.51</c:v>
                </c:pt>
                <c:pt idx="131">
                  <c:v>17.350000000000001</c:v>
                </c:pt>
                <c:pt idx="132">
                  <c:v>16.43</c:v>
                </c:pt>
                <c:pt idx="133">
                  <c:v>19.63</c:v>
                </c:pt>
                <c:pt idx="134">
                  <c:v>22.28</c:v>
                </c:pt>
                <c:pt idx="135">
                  <c:v>24.7</c:v>
                </c:pt>
                <c:pt idx="136">
                  <c:v>18.57</c:v>
                </c:pt>
                <c:pt idx="137">
                  <c:v>16.73</c:v>
                </c:pt>
                <c:pt idx="138">
                  <c:v>16.72</c:v>
                </c:pt>
                <c:pt idx="139">
                  <c:v>15.36</c:v>
                </c:pt>
                <c:pt idx="140">
                  <c:v>16.28</c:v>
                </c:pt>
                <c:pt idx="141">
                  <c:v>17.440000000000001</c:v>
                </c:pt>
                <c:pt idx="142">
                  <c:v>16.350000000000001</c:v>
                </c:pt>
                <c:pt idx="143">
                  <c:v>14.95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D3-7540-B8D8-A2780718C4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9124784"/>
        <c:axId val="699120000"/>
      </c:lineChart>
      <c:catAx>
        <c:axId val="699124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120000"/>
        <c:crosses val="autoZero"/>
        <c:auto val="1"/>
        <c:lblAlgn val="ctr"/>
        <c:lblOffset val="100"/>
        <c:noMultiLvlLbl val="0"/>
      </c:catAx>
      <c:valAx>
        <c:axId val="69912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124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Data!$S$1</c:f>
              <c:strCache>
                <c:ptCount val="1"/>
                <c:pt idx="0">
                  <c:v>SONIA - EFFR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Data!$S$2:$S$145</c:f>
              <c:numCache>
                <c:formatCode>0.0000</c:formatCode>
                <c:ptCount val="144"/>
                <c:pt idx="0">
                  <c:v>2.7933333333333303E-2</c:v>
                </c:pt>
                <c:pt idx="1">
                  <c:v>2.8341666666666702E-2</c:v>
                </c:pt>
                <c:pt idx="2">
                  <c:v>2.8916666666666632E-2</c:v>
                </c:pt>
                <c:pt idx="3">
                  <c:v>2.9158333333333335E-2</c:v>
                </c:pt>
                <c:pt idx="4">
                  <c:v>2.8441666666666698E-2</c:v>
                </c:pt>
                <c:pt idx="5">
                  <c:v>2.9166666666666632E-2</c:v>
                </c:pt>
                <c:pt idx="6">
                  <c:v>2.7625000000000004E-2</c:v>
                </c:pt>
                <c:pt idx="7">
                  <c:v>2.9891666666666667E-2</c:v>
                </c:pt>
                <c:pt idx="8">
                  <c:v>2.9141666666666666E-2</c:v>
                </c:pt>
                <c:pt idx="9">
                  <c:v>2.799166666666663E-2</c:v>
                </c:pt>
                <c:pt idx="10">
                  <c:v>2.76666666666667E-2</c:v>
                </c:pt>
                <c:pt idx="11">
                  <c:v>2.7775000000000001E-2</c:v>
                </c:pt>
                <c:pt idx="12">
                  <c:v>2.7091666666666667E-2</c:v>
                </c:pt>
                <c:pt idx="13">
                  <c:v>2.8191666666666698E-2</c:v>
                </c:pt>
                <c:pt idx="14">
                  <c:v>2.7733333333333297E-2</c:v>
                </c:pt>
                <c:pt idx="15">
                  <c:v>2.84916666666667E-2</c:v>
                </c:pt>
                <c:pt idx="16">
                  <c:v>2.8400000000000002E-2</c:v>
                </c:pt>
                <c:pt idx="17">
                  <c:v>2.8541666666666701E-2</c:v>
                </c:pt>
                <c:pt idx="18">
                  <c:v>2.5666666666666699E-2</c:v>
                </c:pt>
                <c:pt idx="19">
                  <c:v>2.7125000000000035E-2</c:v>
                </c:pt>
                <c:pt idx="20">
                  <c:v>2.842500000000003E-2</c:v>
                </c:pt>
                <c:pt idx="21">
                  <c:v>2.8900000000000033E-2</c:v>
                </c:pt>
                <c:pt idx="22">
                  <c:v>2.81166666666667E-2</c:v>
                </c:pt>
                <c:pt idx="23">
                  <c:v>2.8499999999999998E-2</c:v>
                </c:pt>
                <c:pt idx="24">
                  <c:v>2.7216666666666667E-2</c:v>
                </c:pt>
                <c:pt idx="25">
                  <c:v>2.7074999999999967E-2</c:v>
                </c:pt>
                <c:pt idx="26">
                  <c:v>2.6583333333333334E-2</c:v>
                </c:pt>
                <c:pt idx="27">
                  <c:v>2.6200000000000036E-2</c:v>
                </c:pt>
                <c:pt idx="28">
                  <c:v>2.8516666666666697E-2</c:v>
                </c:pt>
                <c:pt idx="29">
                  <c:v>2.8633333333333295E-2</c:v>
                </c:pt>
                <c:pt idx="30">
                  <c:v>1.8124999999999999E-2</c:v>
                </c:pt>
                <c:pt idx="31">
                  <c:v>1.0491666666666663E-2</c:v>
                </c:pt>
                <c:pt idx="32">
                  <c:v>7.1416666666666295E-3</c:v>
                </c:pt>
                <c:pt idx="33">
                  <c:v>8.7166666666666989E-3</c:v>
                </c:pt>
                <c:pt idx="34">
                  <c:v>8.0249999999999662E-3</c:v>
                </c:pt>
                <c:pt idx="35">
                  <c:v>7.774999999999966E-3</c:v>
                </c:pt>
                <c:pt idx="36">
                  <c:v>6.6500000000000309E-3</c:v>
                </c:pt>
                <c:pt idx="37">
                  <c:v>5.6416666666666976E-3</c:v>
                </c:pt>
                <c:pt idx="38">
                  <c:v>-1.2683333333333331E-2</c:v>
                </c:pt>
                <c:pt idx="39">
                  <c:v>-1.5583333333333334E-2</c:v>
                </c:pt>
                <c:pt idx="40">
                  <c:v>-1.5666666666666634E-2</c:v>
                </c:pt>
                <c:pt idx="41">
                  <c:v>-1.6599999999999965E-2</c:v>
                </c:pt>
                <c:pt idx="42">
                  <c:v>-2.7291666666666704E-2</c:v>
                </c:pt>
                <c:pt idx="43">
                  <c:v>-3.637499999999997E-2</c:v>
                </c:pt>
                <c:pt idx="44">
                  <c:v>-3.7449999999999997E-2</c:v>
                </c:pt>
                <c:pt idx="45">
                  <c:v>-4.8375000000000043E-2</c:v>
                </c:pt>
                <c:pt idx="46">
                  <c:v>-5.73833333333333E-2</c:v>
                </c:pt>
                <c:pt idx="47">
                  <c:v>-5.8116666666666636E-2</c:v>
                </c:pt>
                <c:pt idx="48">
                  <c:v>-6.8991666666666673E-2</c:v>
                </c:pt>
                <c:pt idx="49">
                  <c:v>-7.8133333333333332E-2</c:v>
                </c:pt>
                <c:pt idx="50">
                  <c:v>-7.889999999999997E-2</c:v>
                </c:pt>
                <c:pt idx="51">
                  <c:v>-7.8141666666666623E-2</c:v>
                </c:pt>
                <c:pt idx="52">
                  <c:v>-7.8250000000000028E-2</c:v>
                </c:pt>
                <c:pt idx="53">
                  <c:v>-5.9224999999999965E-2</c:v>
                </c:pt>
                <c:pt idx="54">
                  <c:v>-6.9841666666666635E-2</c:v>
                </c:pt>
                <c:pt idx="55">
                  <c:v>-7.8908333333333303E-2</c:v>
                </c:pt>
                <c:pt idx="56">
                  <c:v>-7.971666666666663E-2</c:v>
                </c:pt>
                <c:pt idx="57">
                  <c:v>-8.7191666666666626E-2</c:v>
                </c:pt>
                <c:pt idx="58">
                  <c:v>-0.10235833333333333</c:v>
                </c:pt>
                <c:pt idx="59">
                  <c:v>-0.10392499999999996</c:v>
                </c:pt>
                <c:pt idx="60">
                  <c:v>-0.11410833333333337</c:v>
                </c:pt>
                <c:pt idx="61">
                  <c:v>-0.12129166666666666</c:v>
                </c:pt>
                <c:pt idx="62">
                  <c:v>-0.10157499999999994</c:v>
                </c:pt>
                <c:pt idx="63">
                  <c:v>-0.1040666666666667</c:v>
                </c:pt>
                <c:pt idx="64">
                  <c:v>-0.12407499999999999</c:v>
                </c:pt>
                <c:pt idx="65">
                  <c:v>-0.12485833333333335</c:v>
                </c:pt>
                <c:pt idx="66">
                  <c:v>-0.13061666666666669</c:v>
                </c:pt>
                <c:pt idx="67">
                  <c:v>-0.11832499999999999</c:v>
                </c:pt>
                <c:pt idx="68">
                  <c:v>-0.11085</c:v>
                </c:pt>
                <c:pt idx="69">
                  <c:v>-9.3266666666666692E-2</c:v>
                </c:pt>
                <c:pt idx="70">
                  <c:v>-6.9958333333333372E-2</c:v>
                </c:pt>
                <c:pt idx="71">
                  <c:v>-6.9991666666666674E-2</c:v>
                </c:pt>
                <c:pt idx="72">
                  <c:v>-6.9891666666666685E-2</c:v>
                </c:pt>
                <c:pt idx="73">
                  <c:v>-7.2466666666666679E-2</c:v>
                </c:pt>
                <c:pt idx="74">
                  <c:v>-2.756666666666667E-2</c:v>
                </c:pt>
                <c:pt idx="75">
                  <c:v>1.3250000000000033E-3</c:v>
                </c:pt>
                <c:pt idx="76">
                  <c:v>1.4500000000000034E-3</c:v>
                </c:pt>
                <c:pt idx="77">
                  <c:v>-1.2833333333333368E-3</c:v>
                </c:pt>
                <c:pt idx="78">
                  <c:v>-2.5083333333333294E-3</c:v>
                </c:pt>
                <c:pt idx="79">
                  <c:v>-3.6500000000000031E-3</c:v>
                </c:pt>
                <c:pt idx="80">
                  <c:v>-2.9416666666666697E-3</c:v>
                </c:pt>
                <c:pt idx="81">
                  <c:v>-3.0166666666666701E-3</c:v>
                </c:pt>
                <c:pt idx="82">
                  <c:v>-3.0249999999999999E-3</c:v>
                </c:pt>
                <c:pt idx="83">
                  <c:v>-3.3999999999999994E-3</c:v>
                </c:pt>
                <c:pt idx="84">
                  <c:v>-3.3833333333333293E-3</c:v>
                </c:pt>
                <c:pt idx="85">
                  <c:v>-2.6166666666666673E-3</c:v>
                </c:pt>
                <c:pt idx="86">
                  <c:v>-1.7833333333333338E-3</c:v>
                </c:pt>
                <c:pt idx="87">
                  <c:v>-1.7833333333333338E-3</c:v>
                </c:pt>
                <c:pt idx="88">
                  <c:v>-8.7499999999999991E-4</c:v>
                </c:pt>
                <c:pt idx="89">
                  <c:v>-2.5166666666666671E-3</c:v>
                </c:pt>
                <c:pt idx="90">
                  <c:v>-4.1166666666666634E-3</c:v>
                </c:pt>
                <c:pt idx="91">
                  <c:v>-3.3E-3</c:v>
                </c:pt>
                <c:pt idx="92">
                  <c:v>-2.499999999999997E-3</c:v>
                </c:pt>
                <c:pt idx="93">
                  <c:v>-2.4833333333333374E-3</c:v>
                </c:pt>
                <c:pt idx="94">
                  <c:v>-2.7666666666666673E-3</c:v>
                </c:pt>
                <c:pt idx="95">
                  <c:v>2.8416666666666634E-3</c:v>
                </c:pt>
                <c:pt idx="96">
                  <c:v>9.6500000000000336E-3</c:v>
                </c:pt>
                <c:pt idx="97">
                  <c:v>2.8325000000000031E-2</c:v>
                </c:pt>
                <c:pt idx="98">
                  <c:v>3.0191666666666634E-2</c:v>
                </c:pt>
                <c:pt idx="99">
                  <c:v>3.0049999999999997E-2</c:v>
                </c:pt>
                <c:pt idx="100">
                  <c:v>1.2150000000000036E-2</c:v>
                </c:pt>
                <c:pt idx="101">
                  <c:v>-1.1108333333333331E-2</c:v>
                </c:pt>
                <c:pt idx="102">
                  <c:v>-4.0766666666666687E-2</c:v>
                </c:pt>
                <c:pt idx="103">
                  <c:v>-5.8999999999999692E-2</c:v>
                </c:pt>
                <c:pt idx="104">
                  <c:v>-5.8591666666666348E-2</c:v>
                </c:pt>
                <c:pt idx="105">
                  <c:v>-7.4524999999999647E-2</c:v>
                </c:pt>
                <c:pt idx="106">
                  <c:v>-7.6674999999999993E-2</c:v>
                </c:pt>
                <c:pt idx="107">
                  <c:v>-7.6841666666666641E-2</c:v>
                </c:pt>
                <c:pt idx="108">
                  <c:v>-7.5208333333333321E-2</c:v>
                </c:pt>
                <c:pt idx="109">
                  <c:v>-5.5658333333333365E-2</c:v>
                </c:pt>
                <c:pt idx="110">
                  <c:v>-5.3908333333333003E-2</c:v>
                </c:pt>
                <c:pt idx="111">
                  <c:v>-5.4383333333333006E-2</c:v>
                </c:pt>
                <c:pt idx="112">
                  <c:v>-5.8933333333333615E-2</c:v>
                </c:pt>
                <c:pt idx="113">
                  <c:v>-4.1066666666666363E-2</c:v>
                </c:pt>
                <c:pt idx="114">
                  <c:v>-1.5816666666666701E-2</c:v>
                </c:pt>
                <c:pt idx="115">
                  <c:v>-1.4091666666666669E-2</c:v>
                </c:pt>
                <c:pt idx="116">
                  <c:v>-1.2049999999999672E-2</c:v>
                </c:pt>
                <c:pt idx="117">
                  <c:v>-1.1908333333333632E-2</c:v>
                </c:pt>
                <c:pt idx="118">
                  <c:v>-1.1874999999999636E-2</c:v>
                </c:pt>
                <c:pt idx="119">
                  <c:v>-1.1916666666666631E-2</c:v>
                </c:pt>
                <c:pt idx="120">
                  <c:v>-1.1874999999999636E-2</c:v>
                </c:pt>
                <c:pt idx="121">
                  <c:v>-1.1808333333333643E-2</c:v>
                </c:pt>
                <c:pt idx="122">
                  <c:v>-1.174166666666665E-2</c:v>
                </c:pt>
                <c:pt idx="123">
                  <c:v>-1.1008333333333675E-2</c:v>
                </c:pt>
                <c:pt idx="124">
                  <c:v>-1.0833333333333639E-2</c:v>
                </c:pt>
                <c:pt idx="125">
                  <c:v>-1.0833333333333639E-2</c:v>
                </c:pt>
                <c:pt idx="126">
                  <c:v>-1.0833333333333639E-2</c:v>
                </c:pt>
                <c:pt idx="127">
                  <c:v>-3.1666666666666676E-2</c:v>
                </c:pt>
                <c:pt idx="128">
                  <c:v>-1.5000000000000013E-2</c:v>
                </c:pt>
                <c:pt idx="129">
                  <c:v>9.9999999999999534E-3</c:v>
                </c:pt>
                <c:pt idx="130">
                  <c:v>8.9666666666663453E-3</c:v>
                </c:pt>
                <c:pt idx="131">
                  <c:v>1.8333333333333646E-2</c:v>
                </c:pt>
                <c:pt idx="132">
                  <c:v>3.0849999999999655E-2</c:v>
                </c:pt>
                <c:pt idx="133">
                  <c:v>1.349166666666668E-2</c:v>
                </c:pt>
                <c:pt idx="134">
                  <c:v>1.045833333333368E-2</c:v>
                </c:pt>
                <c:pt idx="135">
                  <c:v>1.064166666666666E-2</c:v>
                </c:pt>
                <c:pt idx="136">
                  <c:v>-5.8000000000003604E-3</c:v>
                </c:pt>
                <c:pt idx="137">
                  <c:v>-9.6333333333333271E-3</c:v>
                </c:pt>
                <c:pt idx="138">
                  <c:v>-9.4000000000003525E-3</c:v>
                </c:pt>
                <c:pt idx="139">
                  <c:v>-2.6066666666666349E-2</c:v>
                </c:pt>
                <c:pt idx="140">
                  <c:v>-2.1066666666666622E-2</c:v>
                </c:pt>
                <c:pt idx="141">
                  <c:v>-1.0150000000000325E-2</c:v>
                </c:pt>
                <c:pt idx="142">
                  <c:v>7.4416666666666798E-3</c:v>
                </c:pt>
                <c:pt idx="143">
                  <c:v>1.3241666666666985E-2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7B-1A45-AA28-B956E41C41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4663456"/>
        <c:axId val="744665184"/>
      </c:lineChart>
      <c:catAx>
        <c:axId val="744663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665184"/>
        <c:crosses val="autoZero"/>
        <c:auto val="1"/>
        <c:lblAlgn val="ctr"/>
        <c:lblOffset val="100"/>
        <c:noMultiLvlLbl val="0"/>
      </c:catAx>
      <c:valAx>
        <c:axId val="74466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663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Data!$AA$1</c:f>
              <c:strCache>
                <c:ptCount val="1"/>
                <c:pt idx="0">
                  <c:v>Inflation Change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Data!$AA$2:$AA$145</c:f>
              <c:numCache>
                <c:formatCode>0.0000</c:formatCode>
                <c:ptCount val="144"/>
                <c:pt idx="0">
                  <c:v>3.671328671328667E-4</c:v>
                </c:pt>
                <c:pt idx="1">
                  <c:v>1.999999999999999E-2</c:v>
                </c:pt>
                <c:pt idx="2">
                  <c:v>1.0000000000000009E-2</c:v>
                </c:pt>
                <c:pt idx="3">
                  <c:v>8.3333333333335258E-4</c:v>
                </c:pt>
                <c:pt idx="4">
                  <c:v>7.5000000000000067E-3</c:v>
                </c:pt>
                <c:pt idx="5">
                  <c:v>-7.5000000000000067E-3</c:v>
                </c:pt>
                <c:pt idx="6">
                  <c:v>1.1666666666666659E-2</c:v>
                </c:pt>
                <c:pt idx="7">
                  <c:v>-1.583333333333331E-2</c:v>
                </c:pt>
                <c:pt idx="8">
                  <c:v>9.1666666666666563E-3</c:v>
                </c:pt>
                <c:pt idx="9">
                  <c:v>4.1666666666666519E-3</c:v>
                </c:pt>
                <c:pt idx="10">
                  <c:v>7.5000000000000067E-3</c:v>
                </c:pt>
                <c:pt idx="11">
                  <c:v>-1.1666666666666659E-2</c:v>
                </c:pt>
                <c:pt idx="12">
                  <c:v>0</c:v>
                </c:pt>
                <c:pt idx="13">
                  <c:v>-8.3333333333335258E-4</c:v>
                </c:pt>
                <c:pt idx="14">
                  <c:v>4.1666666666667074E-3</c:v>
                </c:pt>
                <c:pt idx="15">
                  <c:v>-1.4166666666666716E-2</c:v>
                </c:pt>
                <c:pt idx="16">
                  <c:v>-1.8333333333333313E-2</c:v>
                </c:pt>
                <c:pt idx="17">
                  <c:v>-5.8333333333333293E-3</c:v>
                </c:pt>
                <c:pt idx="18">
                  <c:v>1.6666666666666774E-3</c:v>
                </c:pt>
                <c:pt idx="19">
                  <c:v>-3.0000000000000027E-2</c:v>
                </c:pt>
                <c:pt idx="20">
                  <c:v>1.7500000000000016E-2</c:v>
                </c:pt>
                <c:pt idx="21">
                  <c:v>1.2500000000000011E-2</c:v>
                </c:pt>
                <c:pt idx="22">
                  <c:v>1.6666666666666663E-2</c:v>
                </c:pt>
                <c:pt idx="23">
                  <c:v>-8.3333333333333315E-3</c:v>
                </c:pt>
                <c:pt idx="24">
                  <c:v>6.6666666666666818E-3</c:v>
                </c:pt>
                <c:pt idx="25">
                  <c:v>-1.7500000000000016E-2</c:v>
                </c:pt>
                <c:pt idx="26">
                  <c:v>-1.833333333333334E-2</c:v>
                </c:pt>
                <c:pt idx="27">
                  <c:v>6.6666666666666541E-3</c:v>
                </c:pt>
                <c:pt idx="28">
                  <c:v>8.3333333333332482E-4</c:v>
                </c:pt>
                <c:pt idx="29">
                  <c:v>4.1666666666666796E-3</c:v>
                </c:pt>
                <c:pt idx="30">
                  <c:v>-1.1666666666666686E-2</c:v>
                </c:pt>
                <c:pt idx="31">
                  <c:v>-1.6666666666666496E-3</c:v>
                </c:pt>
                <c:pt idx="32">
                  <c:v>-2.4999999999999994E-2</c:v>
                </c:pt>
                <c:pt idx="33">
                  <c:v>3.8333333333333358E-2</c:v>
                </c:pt>
                <c:pt idx="34">
                  <c:v>5.8333333333333293E-3</c:v>
                </c:pt>
                <c:pt idx="35">
                  <c:v>-8.3333333333333592E-3</c:v>
                </c:pt>
                <c:pt idx="36">
                  <c:v>1.7500000000000016E-2</c:v>
                </c:pt>
                <c:pt idx="37">
                  <c:v>1.1666666666666659E-2</c:v>
                </c:pt>
                <c:pt idx="38">
                  <c:v>1.6666666666666663E-2</c:v>
                </c:pt>
                <c:pt idx="39">
                  <c:v>-6.6666666666666818E-3</c:v>
                </c:pt>
                <c:pt idx="40">
                  <c:v>4.0833333333333333E-2</c:v>
                </c:pt>
                <c:pt idx="41">
                  <c:v>-1.3333333333333308E-2</c:v>
                </c:pt>
                <c:pt idx="42">
                  <c:v>7.5000000000000067E-3</c:v>
                </c:pt>
                <c:pt idx="43">
                  <c:v>2.1666666666666612E-2</c:v>
                </c:pt>
                <c:pt idx="44">
                  <c:v>-2.4999999999999911E-2</c:v>
                </c:pt>
                <c:pt idx="45">
                  <c:v>2.3333333333333317E-2</c:v>
                </c:pt>
                <c:pt idx="46">
                  <c:v>-1.8333333333333368E-2</c:v>
                </c:pt>
                <c:pt idx="47">
                  <c:v>-5.8333333333333015E-3</c:v>
                </c:pt>
                <c:pt idx="48">
                  <c:v>-5.833333333333357E-3</c:v>
                </c:pt>
                <c:pt idx="49">
                  <c:v>-8.3333333333333592E-3</c:v>
                </c:pt>
                <c:pt idx="50">
                  <c:v>5.833333333333357E-3</c:v>
                </c:pt>
                <c:pt idx="51">
                  <c:v>5.0000000000000044E-3</c:v>
                </c:pt>
                <c:pt idx="52">
                  <c:v>-8.3333333333333315E-3</c:v>
                </c:pt>
                <c:pt idx="53">
                  <c:v>-3.333333333333327E-3</c:v>
                </c:pt>
                <c:pt idx="54">
                  <c:v>-6.6666666666666818E-3</c:v>
                </c:pt>
                <c:pt idx="55">
                  <c:v>8.3333333333333315E-3</c:v>
                </c:pt>
                <c:pt idx="56">
                  <c:v>-1.0000000000000009E-2</c:v>
                </c:pt>
                <c:pt idx="57">
                  <c:v>2.5833333333333375E-2</c:v>
                </c:pt>
                <c:pt idx="58">
                  <c:v>-1.2500000000000011E-2</c:v>
                </c:pt>
                <c:pt idx="59">
                  <c:v>5.833333333333357E-3</c:v>
                </c:pt>
                <c:pt idx="60">
                  <c:v>-5.833333333333357E-3</c:v>
                </c:pt>
                <c:pt idx="61">
                  <c:v>-1.6666666666667052E-3</c:v>
                </c:pt>
                <c:pt idx="62">
                  <c:v>5.00000000000006E-3</c:v>
                </c:pt>
                <c:pt idx="63">
                  <c:v>2.2499999999999964E-2</c:v>
                </c:pt>
                <c:pt idx="64">
                  <c:v>-2.2499999999999964E-2</c:v>
                </c:pt>
                <c:pt idx="65">
                  <c:v>9.1666666666666008E-3</c:v>
                </c:pt>
                <c:pt idx="66">
                  <c:v>1.0000000000000009E-2</c:v>
                </c:pt>
                <c:pt idx="67">
                  <c:v>2.083333333333337E-2</c:v>
                </c:pt>
                <c:pt idx="68">
                  <c:v>5.8333333333333015E-3</c:v>
                </c:pt>
                <c:pt idx="69">
                  <c:v>-4.3333333333333335E-2</c:v>
                </c:pt>
                <c:pt idx="70">
                  <c:v>-9.1666666666666563E-3</c:v>
                </c:pt>
                <c:pt idx="71">
                  <c:v>2.5000000000000022E-3</c:v>
                </c:pt>
                <c:pt idx="72">
                  <c:v>-8.3333333333335258E-4</c:v>
                </c:pt>
                <c:pt idx="73">
                  <c:v>-1.2500000000000011E-2</c:v>
                </c:pt>
                <c:pt idx="74">
                  <c:v>-1.2499999999999983E-2</c:v>
                </c:pt>
                <c:pt idx="75">
                  <c:v>-1.7499999999999988E-2</c:v>
                </c:pt>
                <c:pt idx="76">
                  <c:v>2.9999999999999971E-2</c:v>
                </c:pt>
                <c:pt idx="77">
                  <c:v>-1.2499999999999983E-2</c:v>
                </c:pt>
                <c:pt idx="78">
                  <c:v>1.5000000000000041E-2</c:v>
                </c:pt>
                <c:pt idx="79">
                  <c:v>2.2499999999999964E-2</c:v>
                </c:pt>
                <c:pt idx="80">
                  <c:v>-5.0000000000000044E-3</c:v>
                </c:pt>
                <c:pt idx="81">
                  <c:v>4.1666666666666519E-3</c:v>
                </c:pt>
                <c:pt idx="82">
                  <c:v>8.3333333333335258E-4</c:v>
                </c:pt>
                <c:pt idx="83">
                  <c:v>-1.0000000000000009E-2</c:v>
                </c:pt>
                <c:pt idx="84">
                  <c:v>1.9166666666666665E-2</c:v>
                </c:pt>
                <c:pt idx="85">
                  <c:v>1.0833333333333361E-2</c:v>
                </c:pt>
                <c:pt idx="86">
                  <c:v>1.9999999999999962E-2</c:v>
                </c:pt>
                <c:pt idx="87">
                  <c:v>-1.3333333333333308E-2</c:v>
                </c:pt>
                <c:pt idx="88">
                  <c:v>1.9999999999999962E-2</c:v>
                </c:pt>
                <c:pt idx="89">
                  <c:v>-2.8333333333333266E-2</c:v>
                </c:pt>
                <c:pt idx="90">
                  <c:v>1.749999999999996E-2</c:v>
                </c:pt>
                <c:pt idx="91">
                  <c:v>7.5000000000000067E-3</c:v>
                </c:pt>
                <c:pt idx="92">
                  <c:v>4.5833333333333393E-2</c:v>
                </c:pt>
                <c:pt idx="93">
                  <c:v>2.4166666666666559E-2</c:v>
                </c:pt>
                <c:pt idx="94">
                  <c:v>2.750000000000008E-2</c:v>
                </c:pt>
                <c:pt idx="95">
                  <c:v>-4.500000000000004E-2</c:v>
                </c:pt>
                <c:pt idx="96">
                  <c:v>3.0000000000000027E-2</c:v>
                </c:pt>
                <c:pt idx="97">
                  <c:v>3.3333333333333326E-2</c:v>
                </c:pt>
                <c:pt idx="98">
                  <c:v>2.7499999999999969E-2</c:v>
                </c:pt>
                <c:pt idx="99">
                  <c:v>-1.6666666666665941E-3</c:v>
                </c:pt>
                <c:pt idx="100">
                  <c:v>-1.9166666666666721E-2</c:v>
                </c:pt>
                <c:pt idx="101">
                  <c:v>-0.11083333333333328</c:v>
                </c:pt>
                <c:pt idx="102">
                  <c:v>1.9999999999999907E-2</c:v>
                </c:pt>
                <c:pt idx="103">
                  <c:v>9.0833333333333377E-2</c:v>
                </c:pt>
                <c:pt idx="104">
                  <c:v>-0.06</c:v>
                </c:pt>
                <c:pt idx="105">
                  <c:v>-2.2499999999999964E-2</c:v>
                </c:pt>
                <c:pt idx="106">
                  <c:v>-1.2500000000000067E-2</c:v>
                </c:pt>
                <c:pt idx="107">
                  <c:v>-5.749999999999994E-2</c:v>
                </c:pt>
                <c:pt idx="108">
                  <c:v>-5.4166666666666696E-2</c:v>
                </c:pt>
                <c:pt idx="109">
                  <c:v>3.833333333333333E-2</c:v>
                </c:pt>
                <c:pt idx="110">
                  <c:v>2.5000000000000022E-2</c:v>
                </c:pt>
                <c:pt idx="111">
                  <c:v>-2.0833333333333315E-2</c:v>
                </c:pt>
                <c:pt idx="112">
                  <c:v>1.5833333333333366E-2</c:v>
                </c:pt>
                <c:pt idx="113">
                  <c:v>1.3333333333333308E-2</c:v>
                </c:pt>
                <c:pt idx="114">
                  <c:v>-2.250000000000002E-2</c:v>
                </c:pt>
                <c:pt idx="115">
                  <c:v>6.6666666666665986E-3</c:v>
                </c:pt>
                <c:pt idx="116">
                  <c:v>3.1666666666666732E-2</c:v>
                </c:pt>
                <c:pt idx="117">
                  <c:v>-8.3333333333333592E-3</c:v>
                </c:pt>
                <c:pt idx="118">
                  <c:v>-8.3333333333333592E-3</c:v>
                </c:pt>
                <c:pt idx="119">
                  <c:v>-2.4999999999999467E-3</c:v>
                </c:pt>
                <c:pt idx="120">
                  <c:v>1.4999999999999958E-2</c:v>
                </c:pt>
                <c:pt idx="121">
                  <c:v>2.5000000000000022E-3</c:v>
                </c:pt>
                <c:pt idx="122">
                  <c:v>2.416666666666667E-2</c:v>
                </c:pt>
                <c:pt idx="123">
                  <c:v>2.1666666666666723E-2</c:v>
                </c:pt>
                <c:pt idx="124">
                  <c:v>-8.3333333333340809E-4</c:v>
                </c:pt>
                <c:pt idx="125">
                  <c:v>-2.5833333333333264E-2</c:v>
                </c:pt>
                <c:pt idx="126">
                  <c:v>-8.3333333333333592E-3</c:v>
                </c:pt>
                <c:pt idx="127">
                  <c:v>-1.1666666666666659E-2</c:v>
                </c:pt>
                <c:pt idx="128">
                  <c:v>-8.3333333333329707E-4</c:v>
                </c:pt>
                <c:pt idx="129">
                  <c:v>2.0833333333333259E-2</c:v>
                </c:pt>
                <c:pt idx="130">
                  <c:v>5.833333333333357E-3</c:v>
                </c:pt>
                <c:pt idx="131">
                  <c:v>-5.833333333333357E-3</c:v>
                </c:pt>
                <c:pt idx="132">
                  <c:v>2.0000000000000073E-2</c:v>
                </c:pt>
                <c:pt idx="133">
                  <c:v>-2.083333333333337E-2</c:v>
                </c:pt>
                <c:pt idx="134">
                  <c:v>1.3333333333333364E-2</c:v>
                </c:pt>
                <c:pt idx="135">
                  <c:v>-3.5000000000000087E-2</c:v>
                </c:pt>
                <c:pt idx="136">
                  <c:v>0</c:v>
                </c:pt>
                <c:pt idx="137">
                  <c:v>-3.1666666666666676E-2</c:v>
                </c:pt>
                <c:pt idx="138">
                  <c:v>9.1666666666666563E-3</c:v>
                </c:pt>
                <c:pt idx="139">
                  <c:v>-8.3333333333333037E-3</c:v>
                </c:pt>
                <c:pt idx="140">
                  <c:v>1.6666666666666496E-3</c:v>
                </c:pt>
                <c:pt idx="141">
                  <c:v>-1.9999999999999962E-2</c:v>
                </c:pt>
                <c:pt idx="142">
                  <c:v>7.4999999999999512E-3</c:v>
                </c:pt>
                <c:pt idx="143">
                  <c:v>-9.1666666666666841E-3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9D-E542-B29F-A72E313225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5799856"/>
        <c:axId val="696171328"/>
      </c:lineChart>
      <c:catAx>
        <c:axId val="69579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171328"/>
        <c:crosses val="autoZero"/>
        <c:auto val="1"/>
        <c:lblAlgn val="ctr"/>
        <c:lblOffset val="100"/>
        <c:noMultiLvlLbl val="0"/>
      </c:catAx>
      <c:valAx>
        <c:axId val="69617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799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Data!$U$1</c:f>
              <c:strCache>
                <c:ptCount val="1"/>
                <c:pt idx="0">
                  <c:v>Slope Change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Data!$U$2:$U$145</c:f>
              <c:numCache>
                <c:formatCode>0.0000</c:formatCode>
                <c:ptCount val="144"/>
                <c:pt idx="0">
                  <c:v>-7.4009324009324047E-4</c:v>
                </c:pt>
                <c:pt idx="1">
                  <c:v>1.1666666666666686E-2</c:v>
                </c:pt>
                <c:pt idx="2">
                  <c:v>-1.0833333333333306E-2</c:v>
                </c:pt>
                <c:pt idx="3">
                  <c:v>-1.0833333333333361E-2</c:v>
                </c:pt>
                <c:pt idx="4">
                  <c:v>-1.6666666666666496E-3</c:v>
                </c:pt>
                <c:pt idx="5">
                  <c:v>7.4999999999999512E-3</c:v>
                </c:pt>
                <c:pt idx="6">
                  <c:v>-1.6666666666666607E-2</c:v>
                </c:pt>
                <c:pt idx="7">
                  <c:v>-4.1666666666667074E-3</c:v>
                </c:pt>
                <c:pt idx="8">
                  <c:v>-1.6666666666666496E-3</c:v>
                </c:pt>
                <c:pt idx="9">
                  <c:v>-1.0000000000000009E-2</c:v>
                </c:pt>
                <c:pt idx="10">
                  <c:v>-4.9999999999999489E-3</c:v>
                </c:pt>
                <c:pt idx="11">
                  <c:v>-5.833333333333357E-3</c:v>
                </c:pt>
                <c:pt idx="12">
                  <c:v>-1.6666666666666663E-2</c:v>
                </c:pt>
                <c:pt idx="13">
                  <c:v>-1.1666666666666659E-2</c:v>
                </c:pt>
                <c:pt idx="14">
                  <c:v>-1.1666666666666659E-2</c:v>
                </c:pt>
                <c:pt idx="15">
                  <c:v>3.3333333333332993E-3</c:v>
                </c:pt>
                <c:pt idx="16">
                  <c:v>1.0833333333333306E-2</c:v>
                </c:pt>
                <c:pt idx="17">
                  <c:v>-9.1666666666666285E-3</c:v>
                </c:pt>
                <c:pt idx="18">
                  <c:v>-8.3333333333333315E-3</c:v>
                </c:pt>
                <c:pt idx="19">
                  <c:v>-2.5000000000000022E-2</c:v>
                </c:pt>
                <c:pt idx="20">
                  <c:v>1.583333333333331E-2</c:v>
                </c:pt>
                <c:pt idx="21">
                  <c:v>1.6666666666666774E-3</c:v>
                </c:pt>
                <c:pt idx="22">
                  <c:v>5.8333333333333293E-3</c:v>
                </c:pt>
                <c:pt idx="23">
                  <c:v>2.5000000000000022E-3</c:v>
                </c:pt>
                <c:pt idx="24">
                  <c:v>5.833333333333357E-3</c:v>
                </c:pt>
                <c:pt idx="25">
                  <c:v>-1.2500000000000011E-2</c:v>
                </c:pt>
                <c:pt idx="26">
                  <c:v>5.0000000000000044E-3</c:v>
                </c:pt>
                <c:pt idx="27">
                  <c:v>3.3333333333332993E-3</c:v>
                </c:pt>
                <c:pt idx="28">
                  <c:v>5.0000000000000322E-3</c:v>
                </c:pt>
                <c:pt idx="29">
                  <c:v>-3.333333333333327E-3</c:v>
                </c:pt>
                <c:pt idx="30">
                  <c:v>0</c:v>
                </c:pt>
                <c:pt idx="31">
                  <c:v>5.833333333333357E-3</c:v>
                </c:pt>
                <c:pt idx="32">
                  <c:v>8.3333333333333037E-3</c:v>
                </c:pt>
                <c:pt idx="33">
                  <c:v>-7.5000000000000067E-3</c:v>
                </c:pt>
                <c:pt idx="34">
                  <c:v>0</c:v>
                </c:pt>
                <c:pt idx="35">
                  <c:v>-1.0000000000000037E-2</c:v>
                </c:pt>
                <c:pt idx="36">
                  <c:v>-6.6666666666666541E-3</c:v>
                </c:pt>
                <c:pt idx="37">
                  <c:v>-1.3333333333333336E-2</c:v>
                </c:pt>
                <c:pt idx="38">
                  <c:v>-2.4999999999999981E-2</c:v>
                </c:pt>
                <c:pt idx="39">
                  <c:v>2.0000000000000004E-2</c:v>
                </c:pt>
                <c:pt idx="40">
                  <c:v>1.2499999999999983E-2</c:v>
                </c:pt>
                <c:pt idx="41">
                  <c:v>2.0000000000000018E-2</c:v>
                </c:pt>
                <c:pt idx="42">
                  <c:v>-5.833333333333357E-3</c:v>
                </c:pt>
                <c:pt idx="43">
                  <c:v>2.4999999999999745E-3</c:v>
                </c:pt>
                <c:pt idx="44">
                  <c:v>-4.9999999999999489E-3</c:v>
                </c:pt>
                <c:pt idx="45">
                  <c:v>-4.1666666666666796E-3</c:v>
                </c:pt>
                <c:pt idx="46">
                  <c:v>3.333333333333327E-3</c:v>
                </c:pt>
                <c:pt idx="47">
                  <c:v>-4.1666666666666519E-3</c:v>
                </c:pt>
                <c:pt idx="48">
                  <c:v>-5.833333333333357E-3</c:v>
                </c:pt>
                <c:pt idx="49">
                  <c:v>6.6666666666666818E-3</c:v>
                </c:pt>
                <c:pt idx="50">
                  <c:v>-5.0000000000000044E-3</c:v>
                </c:pt>
                <c:pt idx="51">
                  <c:v>-1.0833333333333334E-2</c:v>
                </c:pt>
                <c:pt idx="52">
                  <c:v>-8.3333333333335258E-4</c:v>
                </c:pt>
                <c:pt idx="53">
                  <c:v>-8.3333333333333037E-3</c:v>
                </c:pt>
                <c:pt idx="54">
                  <c:v>-4.1666666666666796E-3</c:v>
                </c:pt>
                <c:pt idx="55">
                  <c:v>-1.0833333333333334E-2</c:v>
                </c:pt>
                <c:pt idx="56">
                  <c:v>-3.3333333333333132E-3</c:v>
                </c:pt>
                <c:pt idx="57">
                  <c:v>-2.0000000000000018E-2</c:v>
                </c:pt>
                <c:pt idx="58">
                  <c:v>1.2499999999999983E-2</c:v>
                </c:pt>
                <c:pt idx="59">
                  <c:v>4.1666666666666935E-3</c:v>
                </c:pt>
                <c:pt idx="60">
                  <c:v>-6.666666666666668E-3</c:v>
                </c:pt>
                <c:pt idx="61">
                  <c:v>-1.6666666666666774E-3</c:v>
                </c:pt>
                <c:pt idx="62">
                  <c:v>8.333333333333387E-4</c:v>
                </c:pt>
                <c:pt idx="63">
                  <c:v>1.6666666666666635E-3</c:v>
                </c:pt>
                <c:pt idx="64">
                  <c:v>4.9999999999999906E-3</c:v>
                </c:pt>
                <c:pt idx="65">
                  <c:v>1.7500000000000002E-2</c:v>
                </c:pt>
                <c:pt idx="66">
                  <c:v>-1.6666666666666635E-2</c:v>
                </c:pt>
                <c:pt idx="67">
                  <c:v>-3.5833333333333356E-2</c:v>
                </c:pt>
                <c:pt idx="68">
                  <c:v>2.5000000000000022E-3</c:v>
                </c:pt>
                <c:pt idx="69">
                  <c:v>1.6666666666666566E-3</c:v>
                </c:pt>
                <c:pt idx="70">
                  <c:v>-8.3333333333332482E-4</c:v>
                </c:pt>
                <c:pt idx="71">
                  <c:v>8.3333333333333384E-3</c:v>
                </c:pt>
                <c:pt idx="72">
                  <c:v>-1.5833333333333338E-2</c:v>
                </c:pt>
                <c:pt idx="73">
                  <c:v>1.6666666666666635E-3</c:v>
                </c:pt>
                <c:pt idx="74">
                  <c:v>5.8333333333333431E-3</c:v>
                </c:pt>
                <c:pt idx="75">
                  <c:v>-1.1666666666666672E-2</c:v>
                </c:pt>
                <c:pt idx="76">
                  <c:v>6.666666666666661E-3</c:v>
                </c:pt>
                <c:pt idx="77">
                  <c:v>8.3333333333333384E-3</c:v>
                </c:pt>
                <c:pt idx="78">
                  <c:v>0</c:v>
                </c:pt>
                <c:pt idx="79">
                  <c:v>1.7500000000000002E-2</c:v>
                </c:pt>
                <c:pt idx="80">
                  <c:v>-9.1666666666666702E-3</c:v>
                </c:pt>
                <c:pt idx="81">
                  <c:v>3.333333333333327E-3</c:v>
                </c:pt>
                <c:pt idx="82">
                  <c:v>-1.6666666666666635E-3</c:v>
                </c:pt>
                <c:pt idx="83">
                  <c:v>-2.5000000000000022E-3</c:v>
                </c:pt>
                <c:pt idx="84">
                  <c:v>1.0000000000000009E-2</c:v>
                </c:pt>
                <c:pt idx="85">
                  <c:v>1.999999999999999E-2</c:v>
                </c:pt>
                <c:pt idx="86">
                  <c:v>4.1666666666666657E-3</c:v>
                </c:pt>
                <c:pt idx="87">
                  <c:v>-5.8333333333333293E-3</c:v>
                </c:pt>
                <c:pt idx="88">
                  <c:v>8.333333333333387E-4</c:v>
                </c:pt>
                <c:pt idx="89">
                  <c:v>-8.3333333333333454E-3</c:v>
                </c:pt>
                <c:pt idx="90">
                  <c:v>-1.7499999999999988E-2</c:v>
                </c:pt>
                <c:pt idx="91">
                  <c:v>8.333333333333387E-4</c:v>
                </c:pt>
                <c:pt idx="92">
                  <c:v>8.3333333333333176E-3</c:v>
                </c:pt>
                <c:pt idx="93">
                  <c:v>-4.2499999999999989E-2</c:v>
                </c:pt>
                <c:pt idx="94">
                  <c:v>1.6666666666666635E-3</c:v>
                </c:pt>
                <c:pt idx="95">
                  <c:v>2.5000000000000092E-3</c:v>
                </c:pt>
                <c:pt idx="96">
                  <c:v>-3.3333333333333409E-3</c:v>
                </c:pt>
                <c:pt idx="97">
                  <c:v>1.1666666666666672E-2</c:v>
                </c:pt>
                <c:pt idx="98">
                  <c:v>-1.4999999999999999E-2</c:v>
                </c:pt>
                <c:pt idx="99">
                  <c:v>4.1666666666666796E-3</c:v>
                </c:pt>
                <c:pt idx="100">
                  <c:v>0.03</c:v>
                </c:pt>
                <c:pt idx="101">
                  <c:v>-3.333333333333327E-3</c:v>
                </c:pt>
                <c:pt idx="102">
                  <c:v>6.6666666666666541E-3</c:v>
                </c:pt>
                <c:pt idx="103">
                  <c:v>-4.3333333333333363E-2</c:v>
                </c:pt>
                <c:pt idx="104">
                  <c:v>-6.8333333333333329E-2</c:v>
                </c:pt>
                <c:pt idx="105">
                  <c:v>7.0833333333333304E-2</c:v>
                </c:pt>
                <c:pt idx="106">
                  <c:v>-6.6666666666665986E-3</c:v>
                </c:pt>
                <c:pt idx="107">
                  <c:v>1.4166666666666661E-2</c:v>
                </c:pt>
                <c:pt idx="108">
                  <c:v>9.1666666666666563E-3</c:v>
                </c:pt>
                <c:pt idx="109">
                  <c:v>-1.4166666666666661E-2</c:v>
                </c:pt>
                <c:pt idx="110">
                  <c:v>-6.6666666666667096E-3</c:v>
                </c:pt>
                <c:pt idx="111">
                  <c:v>-1.6666666666666496E-3</c:v>
                </c:pt>
                <c:pt idx="112">
                  <c:v>-1.1666666666666714E-2</c:v>
                </c:pt>
                <c:pt idx="113">
                  <c:v>-6.7499999999999949E-2</c:v>
                </c:pt>
                <c:pt idx="114">
                  <c:v>3.2500000000000029E-2</c:v>
                </c:pt>
                <c:pt idx="115">
                  <c:v>1.8333333333333313E-2</c:v>
                </c:pt>
                <c:pt idx="116">
                  <c:v>3.9166666666666627E-2</c:v>
                </c:pt>
                <c:pt idx="117">
                  <c:v>1.2500000000000067E-2</c:v>
                </c:pt>
                <c:pt idx="118">
                  <c:v>-7.5000000000000067E-3</c:v>
                </c:pt>
                <c:pt idx="119">
                  <c:v>1.6666666666666663E-2</c:v>
                </c:pt>
                <c:pt idx="120">
                  <c:v>5.5511151231257827E-17</c:v>
                </c:pt>
                <c:pt idx="121">
                  <c:v>-2.583333333333343E-2</c:v>
                </c:pt>
                <c:pt idx="122">
                  <c:v>5.0000000000000044E-3</c:v>
                </c:pt>
                <c:pt idx="123">
                  <c:v>-3.3333333333333548E-3</c:v>
                </c:pt>
                <c:pt idx="124">
                  <c:v>-8.3333333333324155E-4</c:v>
                </c:pt>
                <c:pt idx="125">
                  <c:v>6.6666666666665986E-3</c:v>
                </c:pt>
                <c:pt idx="126">
                  <c:v>1.4166666666666661E-2</c:v>
                </c:pt>
                <c:pt idx="127">
                  <c:v>-1.6666666666665941E-3</c:v>
                </c:pt>
                <c:pt idx="128">
                  <c:v>1.4166666666666605E-2</c:v>
                </c:pt>
                <c:pt idx="129">
                  <c:v>-1.1666666666666659E-2</c:v>
                </c:pt>
                <c:pt idx="130">
                  <c:v>5.0000000000000044E-3</c:v>
                </c:pt>
                <c:pt idx="131">
                  <c:v>1.6666666666666663E-2</c:v>
                </c:pt>
                <c:pt idx="132">
                  <c:v>1.0833333333333306E-2</c:v>
                </c:pt>
                <c:pt idx="133">
                  <c:v>8.3333333333329707E-4</c:v>
                </c:pt>
                <c:pt idx="134">
                  <c:v>1.4166666666666716E-2</c:v>
                </c:pt>
                <c:pt idx="135">
                  <c:v>2.6666666666666727E-2</c:v>
                </c:pt>
                <c:pt idx="136">
                  <c:v>-7.5000000000000622E-3</c:v>
                </c:pt>
                <c:pt idx="137">
                  <c:v>9.1666666666666563E-3</c:v>
                </c:pt>
                <c:pt idx="138">
                  <c:v>6.6666666666667096E-3</c:v>
                </c:pt>
                <c:pt idx="139">
                  <c:v>9.1666666666666563E-3</c:v>
                </c:pt>
                <c:pt idx="140">
                  <c:v>-1.1666666666666659E-2</c:v>
                </c:pt>
                <c:pt idx="141">
                  <c:v>-9.1666666666667118E-3</c:v>
                </c:pt>
                <c:pt idx="142">
                  <c:v>1.6666666666667052E-3</c:v>
                </c:pt>
                <c:pt idx="143">
                  <c:v>-2.4999999999999467E-3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A7-974E-98FB-C636AC275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0057104"/>
        <c:axId val="701177744"/>
      </c:lineChart>
      <c:catAx>
        <c:axId val="1380057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177744"/>
        <c:crosses val="autoZero"/>
        <c:auto val="1"/>
        <c:lblAlgn val="ctr"/>
        <c:lblOffset val="100"/>
        <c:noMultiLvlLbl val="0"/>
      </c:catAx>
      <c:valAx>
        <c:axId val="70117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057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Data!$V$1</c:f>
              <c:strCache>
                <c:ptCount val="1"/>
                <c:pt idx="0">
                  <c:v>Butterfly Change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Data!$V$2:$V$145</c:f>
              <c:numCache>
                <c:formatCode>0.0000</c:formatCode>
                <c:ptCount val="144"/>
                <c:pt idx="0">
                  <c:v>-4.6037296037296016E-4</c:v>
                </c:pt>
                <c:pt idx="1">
                  <c:v>0</c:v>
                </c:pt>
                <c:pt idx="2">
                  <c:v>1.7499999999999946E-2</c:v>
                </c:pt>
                <c:pt idx="3">
                  <c:v>-5.833333333333357E-3</c:v>
                </c:pt>
                <c:pt idx="4">
                  <c:v>-3.3333333333332993E-3</c:v>
                </c:pt>
                <c:pt idx="5">
                  <c:v>1.0833333333333334E-2</c:v>
                </c:pt>
                <c:pt idx="6">
                  <c:v>1.6666666666666705E-2</c:v>
                </c:pt>
                <c:pt idx="7">
                  <c:v>-2.9166666666666716E-2</c:v>
                </c:pt>
                <c:pt idx="8">
                  <c:v>3.3333333333332854E-3</c:v>
                </c:pt>
                <c:pt idx="9">
                  <c:v>-8.3333333333332898E-3</c:v>
                </c:pt>
                <c:pt idx="10">
                  <c:v>-6.6666666666666818E-3</c:v>
                </c:pt>
                <c:pt idx="11">
                  <c:v>-9.1666666666666424E-3</c:v>
                </c:pt>
                <c:pt idx="12">
                  <c:v>-5.0000000000000461E-3</c:v>
                </c:pt>
                <c:pt idx="13">
                  <c:v>1.6666666666666774E-3</c:v>
                </c:pt>
                <c:pt idx="14">
                  <c:v>-1.4999999999999958E-2</c:v>
                </c:pt>
                <c:pt idx="15">
                  <c:v>1.6666666666666635E-3</c:v>
                </c:pt>
                <c:pt idx="16">
                  <c:v>-2.4999999999999883E-3</c:v>
                </c:pt>
                <c:pt idx="17">
                  <c:v>-9.1666666666666979E-3</c:v>
                </c:pt>
                <c:pt idx="18">
                  <c:v>-6.6666666666666402E-3</c:v>
                </c:pt>
                <c:pt idx="19">
                  <c:v>-1.8333333333333333E-2</c:v>
                </c:pt>
                <c:pt idx="20">
                  <c:v>1.9166666666666658E-2</c:v>
                </c:pt>
                <c:pt idx="21">
                  <c:v>-3.333333333333334E-3</c:v>
                </c:pt>
                <c:pt idx="22">
                  <c:v>1.249999999999999E-2</c:v>
                </c:pt>
                <c:pt idx="23">
                  <c:v>-8.3333333333331094E-4</c:v>
                </c:pt>
                <c:pt idx="24">
                  <c:v>9.1666666666666979E-3</c:v>
                </c:pt>
                <c:pt idx="25">
                  <c:v>-1.0833333333333403E-2</c:v>
                </c:pt>
                <c:pt idx="26">
                  <c:v>-3.3333333333333409E-3</c:v>
                </c:pt>
                <c:pt idx="27">
                  <c:v>-1.1666666666666603E-2</c:v>
                </c:pt>
                <c:pt idx="28">
                  <c:v>8.3333333333333176E-3</c:v>
                </c:pt>
                <c:pt idx="29">
                  <c:v>-6.6666666666666402E-3</c:v>
                </c:pt>
                <c:pt idx="30">
                  <c:v>3.3333333333332577E-3</c:v>
                </c:pt>
                <c:pt idx="31">
                  <c:v>-2.5000000000000092E-3</c:v>
                </c:pt>
                <c:pt idx="32">
                  <c:v>-1.6666666666666649E-2</c:v>
                </c:pt>
                <c:pt idx="33">
                  <c:v>5.833333333333357E-3</c:v>
                </c:pt>
                <c:pt idx="34">
                  <c:v>9.9999999999999811E-3</c:v>
                </c:pt>
                <c:pt idx="35">
                  <c:v>-4.9999999999999351E-3</c:v>
                </c:pt>
                <c:pt idx="36">
                  <c:v>-1.1666666666666723E-2</c:v>
                </c:pt>
                <c:pt idx="37">
                  <c:v>-1.4999999999999991E-2</c:v>
                </c:pt>
                <c:pt idx="38">
                  <c:v>-8.6736173798840355E-18</c:v>
                </c:pt>
                <c:pt idx="39">
                  <c:v>3.333333333333327E-3</c:v>
                </c:pt>
                <c:pt idx="40">
                  <c:v>2.7500000000000011E-2</c:v>
                </c:pt>
                <c:pt idx="41">
                  <c:v>2.1666666666666657E-2</c:v>
                </c:pt>
                <c:pt idx="42">
                  <c:v>-7.4999999999999789E-3</c:v>
                </c:pt>
                <c:pt idx="43">
                  <c:v>4.1666666666666657E-3</c:v>
                </c:pt>
                <c:pt idx="44">
                  <c:v>-2.1666666666666688E-2</c:v>
                </c:pt>
                <c:pt idx="45">
                  <c:v>-8.3333333333332482E-4</c:v>
                </c:pt>
                <c:pt idx="46">
                  <c:v>3.4694469519536142E-17</c:v>
                </c:pt>
                <c:pt idx="47">
                  <c:v>-4.1666666666666866E-3</c:v>
                </c:pt>
                <c:pt idx="48">
                  <c:v>4.1666666666666657E-3</c:v>
                </c:pt>
                <c:pt idx="49">
                  <c:v>0</c:v>
                </c:pt>
                <c:pt idx="50">
                  <c:v>-6.6666666666666471E-3</c:v>
                </c:pt>
                <c:pt idx="51">
                  <c:v>7.4999999999999685E-3</c:v>
                </c:pt>
                <c:pt idx="52">
                  <c:v>-2.4999999999999883E-3</c:v>
                </c:pt>
                <c:pt idx="53">
                  <c:v>-1.6666666666666843E-3</c:v>
                </c:pt>
                <c:pt idx="54">
                  <c:v>-4.1666666666666519E-3</c:v>
                </c:pt>
                <c:pt idx="55">
                  <c:v>1.0833333333333361E-2</c:v>
                </c:pt>
                <c:pt idx="56">
                  <c:v>1.6666666666666358E-3</c:v>
                </c:pt>
                <c:pt idx="57">
                  <c:v>-8.3333333333333315E-3</c:v>
                </c:pt>
                <c:pt idx="58">
                  <c:v>7.5000000000000067E-3</c:v>
                </c:pt>
                <c:pt idx="59">
                  <c:v>-5.8333333333333223E-3</c:v>
                </c:pt>
                <c:pt idx="60">
                  <c:v>-1.6666666666666843E-3</c:v>
                </c:pt>
                <c:pt idx="61">
                  <c:v>0</c:v>
                </c:pt>
                <c:pt idx="62">
                  <c:v>-4.1666666666666657E-3</c:v>
                </c:pt>
                <c:pt idx="63">
                  <c:v>5.0000000000000183E-3</c:v>
                </c:pt>
                <c:pt idx="64">
                  <c:v>-8.3333333333333454E-3</c:v>
                </c:pt>
                <c:pt idx="65">
                  <c:v>-2.2499999999999978E-2</c:v>
                </c:pt>
                <c:pt idx="66">
                  <c:v>9.9999999999999811E-3</c:v>
                </c:pt>
                <c:pt idx="67">
                  <c:v>-3.7500000000000006E-2</c:v>
                </c:pt>
                <c:pt idx="68">
                  <c:v>1.0833333333333344E-2</c:v>
                </c:pt>
                <c:pt idx="69">
                  <c:v>-1.666666666666667E-3</c:v>
                </c:pt>
                <c:pt idx="70">
                  <c:v>8.333333333333387E-4</c:v>
                </c:pt>
                <c:pt idx="71">
                  <c:v>9.9999999999999672E-3</c:v>
                </c:pt>
                <c:pt idx="72">
                  <c:v>-1.2499999999999976E-2</c:v>
                </c:pt>
                <c:pt idx="73">
                  <c:v>0</c:v>
                </c:pt>
                <c:pt idx="74">
                  <c:v>7.4999999999999789E-3</c:v>
                </c:pt>
                <c:pt idx="75">
                  <c:v>1.0000000000000002E-2</c:v>
                </c:pt>
                <c:pt idx="76">
                  <c:v>-1.6666666666666635E-3</c:v>
                </c:pt>
                <c:pt idx="77">
                  <c:v>0</c:v>
                </c:pt>
                <c:pt idx="78">
                  <c:v>-3.333333333333334E-3</c:v>
                </c:pt>
                <c:pt idx="79">
                  <c:v>9.1666666666666528E-3</c:v>
                </c:pt>
                <c:pt idx="80">
                  <c:v>-4.1666666666666484E-3</c:v>
                </c:pt>
                <c:pt idx="81">
                  <c:v>1.6666666666666601E-3</c:v>
                </c:pt>
                <c:pt idx="82">
                  <c:v>3.333333333333334E-3</c:v>
                </c:pt>
                <c:pt idx="83">
                  <c:v>-2.4999999999999935E-3</c:v>
                </c:pt>
                <c:pt idx="84">
                  <c:v>6.6666666666666619E-3</c:v>
                </c:pt>
                <c:pt idx="85">
                  <c:v>2.3333333333333352E-2</c:v>
                </c:pt>
                <c:pt idx="86">
                  <c:v>5.8333333333333154E-3</c:v>
                </c:pt>
                <c:pt idx="87">
                  <c:v>4.1666666666666588E-3</c:v>
                </c:pt>
                <c:pt idx="88">
                  <c:v>-2.4999999999999883E-3</c:v>
                </c:pt>
                <c:pt idx="89">
                  <c:v>-8.3333333333333454E-3</c:v>
                </c:pt>
                <c:pt idx="90">
                  <c:v>-5.833333333333331E-3</c:v>
                </c:pt>
                <c:pt idx="91">
                  <c:v>-2.500000000000004E-3</c:v>
                </c:pt>
                <c:pt idx="92">
                  <c:v>8.3333333333333558E-3</c:v>
                </c:pt>
                <c:pt idx="93">
                  <c:v>-2.5000000000000092E-3</c:v>
                </c:pt>
                <c:pt idx="94">
                  <c:v>-3.3333333333333409E-3</c:v>
                </c:pt>
                <c:pt idx="95">
                  <c:v>-7.4999999999999997E-3</c:v>
                </c:pt>
                <c:pt idx="96">
                  <c:v>1.6666666666666635E-3</c:v>
                </c:pt>
                <c:pt idx="97">
                  <c:v>3.3333333333333132E-3</c:v>
                </c:pt>
                <c:pt idx="98">
                  <c:v>-9.9999999999999672E-3</c:v>
                </c:pt>
                <c:pt idx="99">
                  <c:v>4.1666666666666796E-3</c:v>
                </c:pt>
                <c:pt idx="100">
                  <c:v>6.6666666666666263E-3</c:v>
                </c:pt>
                <c:pt idx="101">
                  <c:v>-1.3333333333333336E-2</c:v>
                </c:pt>
                <c:pt idx="102">
                  <c:v>-2.4999999999999967E-2</c:v>
                </c:pt>
                <c:pt idx="103">
                  <c:v>-5.0000000000000322E-3</c:v>
                </c:pt>
                <c:pt idx="104">
                  <c:v>2.3333333333333289E-2</c:v>
                </c:pt>
                <c:pt idx="105">
                  <c:v>4.1666666666667629E-3</c:v>
                </c:pt>
                <c:pt idx="106">
                  <c:v>-2.1666666666666723E-2</c:v>
                </c:pt>
                <c:pt idx="107">
                  <c:v>1.0833333333333361E-2</c:v>
                </c:pt>
                <c:pt idx="108">
                  <c:v>-4.1666666666666519E-3</c:v>
                </c:pt>
                <c:pt idx="109">
                  <c:v>-1.4166666666666661E-2</c:v>
                </c:pt>
                <c:pt idx="110">
                  <c:v>-8.3333333333334147E-3</c:v>
                </c:pt>
                <c:pt idx="111">
                  <c:v>-3.3333333333332438E-3</c:v>
                </c:pt>
                <c:pt idx="112">
                  <c:v>-3.3333333333334103E-3</c:v>
                </c:pt>
                <c:pt idx="113">
                  <c:v>-3.0833333333333324E-2</c:v>
                </c:pt>
                <c:pt idx="114">
                  <c:v>1.7500000000000016E-2</c:v>
                </c:pt>
                <c:pt idx="115">
                  <c:v>6.6666666666667096E-3</c:v>
                </c:pt>
                <c:pt idx="116">
                  <c:v>1.24999999999999E-2</c:v>
                </c:pt>
                <c:pt idx="117">
                  <c:v>1.2500000000000067E-2</c:v>
                </c:pt>
                <c:pt idx="118">
                  <c:v>-1.0833333333333306E-2</c:v>
                </c:pt>
                <c:pt idx="119">
                  <c:v>1.6666666666666496E-3</c:v>
                </c:pt>
                <c:pt idx="120">
                  <c:v>-6.6666666666666541E-3</c:v>
                </c:pt>
                <c:pt idx="121">
                  <c:v>8.3333333333340809E-4</c:v>
                </c:pt>
                <c:pt idx="122">
                  <c:v>-3.3333333333334103E-3</c:v>
                </c:pt>
                <c:pt idx="123">
                  <c:v>6.6666666666667651E-3</c:v>
                </c:pt>
                <c:pt idx="124">
                  <c:v>8.3333333333313053E-4</c:v>
                </c:pt>
                <c:pt idx="125">
                  <c:v>1.1102230246251565E-16</c:v>
                </c:pt>
                <c:pt idx="126">
                  <c:v>5.833333333333357E-3</c:v>
                </c:pt>
                <c:pt idx="127">
                  <c:v>5.0000000000000044E-3</c:v>
                </c:pt>
                <c:pt idx="128">
                  <c:v>4.1666666666665964E-3</c:v>
                </c:pt>
                <c:pt idx="129">
                  <c:v>8.3333333333333592E-3</c:v>
                </c:pt>
                <c:pt idx="130">
                  <c:v>-4.9999999999998934E-3</c:v>
                </c:pt>
                <c:pt idx="131">
                  <c:v>9.9999999999999534E-3</c:v>
                </c:pt>
                <c:pt idx="132">
                  <c:v>9.1666666666666008E-3</c:v>
                </c:pt>
                <c:pt idx="133">
                  <c:v>-8.3333333333329707E-4</c:v>
                </c:pt>
                <c:pt idx="134">
                  <c:v>5.8333333333333015E-3</c:v>
                </c:pt>
                <c:pt idx="135">
                  <c:v>1.6666666666667052E-3</c:v>
                </c:pt>
                <c:pt idx="136">
                  <c:v>8.3333333333324155E-4</c:v>
                </c:pt>
                <c:pt idx="137">
                  <c:v>-8.3333333333335258E-4</c:v>
                </c:pt>
                <c:pt idx="138">
                  <c:v>3.3333333333332993E-3</c:v>
                </c:pt>
                <c:pt idx="139">
                  <c:v>2.5000000000000577E-3</c:v>
                </c:pt>
                <c:pt idx="140">
                  <c:v>5.5511151231257827E-17</c:v>
                </c:pt>
                <c:pt idx="141">
                  <c:v>-8.3333333333329707E-4</c:v>
                </c:pt>
                <c:pt idx="142">
                  <c:v>6.6666666666665986E-3</c:v>
                </c:pt>
                <c:pt idx="143">
                  <c:v>2.5000000000000577E-3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53-0342-9293-0283C9611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1772704"/>
        <c:axId val="1421830480"/>
      </c:lineChart>
      <c:catAx>
        <c:axId val="142177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830480"/>
        <c:crosses val="autoZero"/>
        <c:auto val="1"/>
        <c:lblAlgn val="ctr"/>
        <c:lblOffset val="100"/>
        <c:noMultiLvlLbl val="0"/>
      </c:catAx>
      <c:valAx>
        <c:axId val="142183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77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Average SONIA (%)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Data!$R$2:$R$145</c:f>
              <c:numCache>
                <c:formatCode>0.0000</c:formatCode>
                <c:ptCount val="144"/>
                <c:pt idx="0">
                  <c:v>3.5433333333333303E-2</c:v>
                </c:pt>
                <c:pt idx="1">
                  <c:v>3.5841666666666702E-2</c:v>
                </c:pt>
                <c:pt idx="2">
                  <c:v>3.55833333333333E-2</c:v>
                </c:pt>
                <c:pt idx="3">
                  <c:v>3.5825000000000003E-2</c:v>
                </c:pt>
                <c:pt idx="4">
                  <c:v>3.5941666666666698E-2</c:v>
                </c:pt>
                <c:pt idx="5">
                  <c:v>3.58333333333333E-2</c:v>
                </c:pt>
                <c:pt idx="6">
                  <c:v>3.5125000000000003E-2</c:v>
                </c:pt>
                <c:pt idx="7">
                  <c:v>3.5725E-2</c:v>
                </c:pt>
                <c:pt idx="8">
                  <c:v>3.4974999999999999E-2</c:v>
                </c:pt>
                <c:pt idx="9">
                  <c:v>3.4658333333333298E-2</c:v>
                </c:pt>
                <c:pt idx="10">
                  <c:v>3.51666666666667E-2</c:v>
                </c:pt>
                <c:pt idx="11">
                  <c:v>3.5275000000000001E-2</c:v>
                </c:pt>
                <c:pt idx="12">
                  <c:v>3.5424999999999998E-2</c:v>
                </c:pt>
                <c:pt idx="13">
                  <c:v>3.5691666666666698E-2</c:v>
                </c:pt>
                <c:pt idx="14">
                  <c:v>3.5233333333333297E-2</c:v>
                </c:pt>
                <c:pt idx="15">
                  <c:v>3.59916666666667E-2</c:v>
                </c:pt>
                <c:pt idx="16">
                  <c:v>3.5900000000000001E-2</c:v>
                </c:pt>
                <c:pt idx="17">
                  <c:v>3.6041666666666701E-2</c:v>
                </c:pt>
                <c:pt idx="18">
                  <c:v>3.5666666666666701E-2</c:v>
                </c:pt>
                <c:pt idx="19">
                  <c:v>3.6291666666666701E-2</c:v>
                </c:pt>
                <c:pt idx="20">
                  <c:v>3.7591666666666697E-2</c:v>
                </c:pt>
                <c:pt idx="21">
                  <c:v>3.80666666666667E-2</c:v>
                </c:pt>
                <c:pt idx="22">
                  <c:v>3.8116666666666701E-2</c:v>
                </c:pt>
                <c:pt idx="23">
                  <c:v>3.85E-2</c:v>
                </c:pt>
                <c:pt idx="24">
                  <c:v>3.805E-2</c:v>
                </c:pt>
                <c:pt idx="25">
                  <c:v>3.7908333333333301E-2</c:v>
                </c:pt>
                <c:pt idx="26">
                  <c:v>3.8249999999999999E-2</c:v>
                </c:pt>
                <c:pt idx="27">
                  <c:v>3.7866666666666701E-2</c:v>
                </c:pt>
                <c:pt idx="28">
                  <c:v>3.8516666666666699E-2</c:v>
                </c:pt>
                <c:pt idx="29">
                  <c:v>3.8633333333333297E-2</c:v>
                </c:pt>
                <c:pt idx="30">
                  <c:v>3.8124999999999999E-2</c:v>
                </c:pt>
                <c:pt idx="31">
                  <c:v>3.8824999999999998E-2</c:v>
                </c:pt>
                <c:pt idx="32">
                  <c:v>3.8808333333333299E-2</c:v>
                </c:pt>
                <c:pt idx="33">
                  <c:v>3.8716666666666698E-2</c:v>
                </c:pt>
                <c:pt idx="34">
                  <c:v>3.88583333333333E-2</c:v>
                </c:pt>
                <c:pt idx="35">
                  <c:v>3.86083333333333E-2</c:v>
                </c:pt>
                <c:pt idx="36">
                  <c:v>3.83166666666667E-2</c:v>
                </c:pt>
                <c:pt idx="37">
                  <c:v>3.8141666666666699E-2</c:v>
                </c:pt>
                <c:pt idx="38">
                  <c:v>2.0650000000000002E-2</c:v>
                </c:pt>
                <c:pt idx="39">
                  <c:v>1.7749999999999998E-2</c:v>
                </c:pt>
                <c:pt idx="40">
                  <c:v>1.7666666666666699E-2</c:v>
                </c:pt>
                <c:pt idx="41">
                  <c:v>1.7566666666666699E-2</c:v>
                </c:pt>
                <c:pt idx="42">
                  <c:v>1.7708333333333302E-2</c:v>
                </c:pt>
                <c:pt idx="43">
                  <c:v>1.7791666666666699E-2</c:v>
                </c:pt>
                <c:pt idx="44">
                  <c:v>1.755E-2</c:v>
                </c:pt>
                <c:pt idx="45">
                  <c:v>1.7458333333333301E-2</c:v>
                </c:pt>
                <c:pt idx="46">
                  <c:v>1.7616666666666701E-2</c:v>
                </c:pt>
                <c:pt idx="47">
                  <c:v>1.77166666666667E-2</c:v>
                </c:pt>
                <c:pt idx="48">
                  <c:v>1.7675E-2</c:v>
                </c:pt>
                <c:pt idx="49">
                  <c:v>1.77E-2</c:v>
                </c:pt>
                <c:pt idx="50">
                  <c:v>1.7766666666666701E-2</c:v>
                </c:pt>
                <c:pt idx="51">
                  <c:v>1.7691666666666699E-2</c:v>
                </c:pt>
                <c:pt idx="52">
                  <c:v>1.7583333333333302E-2</c:v>
                </c:pt>
                <c:pt idx="53">
                  <c:v>3.7441666666666699E-2</c:v>
                </c:pt>
                <c:pt idx="54">
                  <c:v>3.8491666666666702E-2</c:v>
                </c:pt>
                <c:pt idx="55">
                  <c:v>3.8591666666666698E-2</c:v>
                </c:pt>
                <c:pt idx="56">
                  <c:v>3.8616666666666702E-2</c:v>
                </c:pt>
                <c:pt idx="57">
                  <c:v>3.8641666666666699E-2</c:v>
                </c:pt>
                <c:pt idx="58">
                  <c:v>3.8475000000000002E-2</c:v>
                </c:pt>
                <c:pt idx="59">
                  <c:v>3.7741666666666701E-2</c:v>
                </c:pt>
                <c:pt idx="60">
                  <c:v>3.7558333333333298E-2</c:v>
                </c:pt>
                <c:pt idx="61">
                  <c:v>3.7874999999999999E-2</c:v>
                </c:pt>
                <c:pt idx="62">
                  <c:v>5.7591666666666701E-2</c:v>
                </c:pt>
                <c:pt idx="63">
                  <c:v>5.8433333333333302E-2</c:v>
                </c:pt>
                <c:pt idx="64">
                  <c:v>5.8424999999999998E-2</c:v>
                </c:pt>
                <c:pt idx="65">
                  <c:v>5.8474999999999999E-2</c:v>
                </c:pt>
                <c:pt idx="66">
                  <c:v>5.8549999999999998E-2</c:v>
                </c:pt>
                <c:pt idx="67">
                  <c:v>5.9174999999999998E-2</c:v>
                </c:pt>
                <c:pt idx="68">
                  <c:v>5.9150000000000001E-2</c:v>
                </c:pt>
                <c:pt idx="69">
                  <c:v>5.9233333333333298E-2</c:v>
                </c:pt>
                <c:pt idx="70">
                  <c:v>5.92083333333333E-2</c:v>
                </c:pt>
                <c:pt idx="71">
                  <c:v>5.9174999999999998E-2</c:v>
                </c:pt>
                <c:pt idx="72">
                  <c:v>5.9275000000000001E-2</c:v>
                </c:pt>
                <c:pt idx="73">
                  <c:v>5.9200000000000003E-2</c:v>
                </c:pt>
                <c:pt idx="74">
                  <c:v>2.6599999999999999E-2</c:v>
                </c:pt>
                <c:pt idx="75">
                  <c:v>5.4916666666666699E-3</c:v>
                </c:pt>
                <c:pt idx="76">
                  <c:v>5.61666666666667E-3</c:v>
                </c:pt>
                <c:pt idx="77">
                  <c:v>5.3833333333333303E-3</c:v>
                </c:pt>
                <c:pt idx="78">
                  <c:v>4.9916666666666703E-3</c:v>
                </c:pt>
                <c:pt idx="79">
                  <c:v>4.6833333333333301E-3</c:v>
                </c:pt>
                <c:pt idx="80">
                  <c:v>4.55833333333333E-3</c:v>
                </c:pt>
                <c:pt idx="81">
                  <c:v>4.4833333333333296E-3</c:v>
                </c:pt>
                <c:pt idx="82">
                  <c:v>4.4749999999999998E-3</c:v>
                </c:pt>
                <c:pt idx="83">
                  <c:v>4.1000000000000003E-3</c:v>
                </c:pt>
                <c:pt idx="84">
                  <c:v>4.1166666666666704E-3</c:v>
                </c:pt>
                <c:pt idx="85">
                  <c:v>4.0499999999999998E-3</c:v>
                </c:pt>
                <c:pt idx="86">
                  <c:v>4.0499999999999998E-3</c:v>
                </c:pt>
                <c:pt idx="87">
                  <c:v>4.0499999999999998E-3</c:v>
                </c:pt>
                <c:pt idx="88">
                  <c:v>4.1250000000000002E-3</c:v>
                </c:pt>
                <c:pt idx="89">
                  <c:v>4.15E-3</c:v>
                </c:pt>
                <c:pt idx="90">
                  <c:v>4.2166666666666698E-3</c:v>
                </c:pt>
                <c:pt idx="91">
                  <c:v>4.1999999999999997E-3</c:v>
                </c:pt>
                <c:pt idx="92">
                  <c:v>4.1666666666666701E-3</c:v>
                </c:pt>
                <c:pt idx="93">
                  <c:v>4.1833333333333297E-3</c:v>
                </c:pt>
                <c:pt idx="94">
                  <c:v>3.8999999999999998E-3</c:v>
                </c:pt>
                <c:pt idx="95">
                  <c:v>9.5083333333333304E-3</c:v>
                </c:pt>
                <c:pt idx="96">
                  <c:v>1.6316666666666702E-2</c:v>
                </c:pt>
                <c:pt idx="97">
                  <c:v>3.4991666666666699E-2</c:v>
                </c:pt>
                <c:pt idx="98">
                  <c:v>4.68583333333333E-2</c:v>
                </c:pt>
                <c:pt idx="99">
                  <c:v>5.7549999999999997E-2</c:v>
                </c:pt>
                <c:pt idx="100">
                  <c:v>7.6316666666666699E-2</c:v>
                </c:pt>
                <c:pt idx="101">
                  <c:v>8.9724999999999999E-2</c:v>
                </c:pt>
                <c:pt idx="102">
                  <c:v>9.9233333333333298E-2</c:v>
                </c:pt>
                <c:pt idx="103">
                  <c:v>0.13516666666666699</c:v>
                </c:pt>
                <c:pt idx="104">
                  <c:v>0.154741666666667</c:v>
                </c:pt>
                <c:pt idx="105">
                  <c:v>0.18214166666666701</c:v>
                </c:pt>
                <c:pt idx="106">
                  <c:v>0.23832500000000001</c:v>
                </c:pt>
                <c:pt idx="107">
                  <c:v>0.26482499999999998</c:v>
                </c:pt>
                <c:pt idx="108">
                  <c:v>0.28562500000000002</c:v>
                </c:pt>
                <c:pt idx="109">
                  <c:v>0.32517499999999999</c:v>
                </c:pt>
                <c:pt idx="110">
                  <c:v>0.33359166666666701</c:v>
                </c:pt>
                <c:pt idx="111">
                  <c:v>0.34811666666666702</c:v>
                </c:pt>
                <c:pt idx="112">
                  <c:v>0.36273333333333302</c:v>
                </c:pt>
                <c:pt idx="113">
                  <c:v>0.38226666666666698</c:v>
                </c:pt>
                <c:pt idx="114">
                  <c:v>0.41084999999999999</c:v>
                </c:pt>
                <c:pt idx="115">
                  <c:v>0.43007499999999999</c:v>
                </c:pt>
                <c:pt idx="116">
                  <c:v>0.43211666666666698</c:v>
                </c:pt>
                <c:pt idx="117">
                  <c:v>0.43225833333333302</c:v>
                </c:pt>
                <c:pt idx="118">
                  <c:v>0.43229166666666702</c:v>
                </c:pt>
                <c:pt idx="119">
                  <c:v>0.43225000000000002</c:v>
                </c:pt>
                <c:pt idx="120">
                  <c:v>0.43229166666666702</c:v>
                </c:pt>
                <c:pt idx="121">
                  <c:v>0.43235833333333301</c:v>
                </c:pt>
                <c:pt idx="122">
                  <c:v>0.432425</c:v>
                </c:pt>
                <c:pt idx="123">
                  <c:v>0.43315833333333298</c:v>
                </c:pt>
                <c:pt idx="124">
                  <c:v>0.43333333333333302</c:v>
                </c:pt>
                <c:pt idx="125">
                  <c:v>0.43333333333333302</c:v>
                </c:pt>
                <c:pt idx="126">
                  <c:v>0.43333333333333302</c:v>
                </c:pt>
                <c:pt idx="127">
                  <c:v>0.41249999999999998</c:v>
                </c:pt>
                <c:pt idx="128">
                  <c:v>0.41249999999999998</c:v>
                </c:pt>
                <c:pt idx="129">
                  <c:v>0.41249999999999998</c:v>
                </c:pt>
                <c:pt idx="130">
                  <c:v>0.395633333333333</c:v>
                </c:pt>
                <c:pt idx="131">
                  <c:v>0.391666666666667</c:v>
                </c:pt>
                <c:pt idx="132">
                  <c:v>0.39168333333333299</c:v>
                </c:pt>
                <c:pt idx="133">
                  <c:v>0.37432500000000002</c:v>
                </c:pt>
                <c:pt idx="134">
                  <c:v>0.37129166666666702</c:v>
                </c:pt>
                <c:pt idx="135">
                  <c:v>0.371475</c:v>
                </c:pt>
                <c:pt idx="136">
                  <c:v>0.35503333333333298</c:v>
                </c:pt>
                <c:pt idx="137">
                  <c:v>0.35120000000000001</c:v>
                </c:pt>
                <c:pt idx="138">
                  <c:v>0.35143333333333299</c:v>
                </c:pt>
                <c:pt idx="139">
                  <c:v>0.33476666666666699</c:v>
                </c:pt>
                <c:pt idx="140">
                  <c:v>0.3306</c:v>
                </c:pt>
                <c:pt idx="141">
                  <c:v>0.330683333333333</c:v>
                </c:pt>
                <c:pt idx="142">
                  <c:v>0.33077499999999999</c:v>
                </c:pt>
                <c:pt idx="143">
                  <c:v>0.32324166666666698</c:v>
                </c:pt>
              </c:numCache>
            </c:numRef>
          </c:xVal>
          <c:yVal>
            <c:numRef>
              <c:f>Full!$C$31:$C$174</c:f>
              <c:numCache>
                <c:formatCode>General</c:formatCode>
                <c:ptCount val="144"/>
                <c:pt idx="0">
                  <c:v>-2.0506474953137226</c:v>
                </c:pt>
                <c:pt idx="1">
                  <c:v>1.3703167302411998</c:v>
                </c:pt>
                <c:pt idx="2">
                  <c:v>-1.3937333421305267</c:v>
                </c:pt>
                <c:pt idx="3">
                  <c:v>-0.33617845237697486</c:v>
                </c:pt>
                <c:pt idx="4">
                  <c:v>0.75676132383811234</c:v>
                </c:pt>
                <c:pt idx="5">
                  <c:v>-0.18845143072477413</c:v>
                </c:pt>
                <c:pt idx="6">
                  <c:v>3.9008104698967594E-2</c:v>
                </c:pt>
                <c:pt idx="7">
                  <c:v>-2.057002255871466</c:v>
                </c:pt>
                <c:pt idx="8">
                  <c:v>0.87680397584597514</c:v>
                </c:pt>
                <c:pt idx="9">
                  <c:v>-0.62258017539987165</c:v>
                </c:pt>
                <c:pt idx="10">
                  <c:v>-0.26115203245362506</c:v>
                </c:pt>
                <c:pt idx="11">
                  <c:v>0.47159223818198004</c:v>
                </c:pt>
                <c:pt idx="12">
                  <c:v>-0.77898131863406483</c:v>
                </c:pt>
                <c:pt idx="13">
                  <c:v>0.16683193440335195</c:v>
                </c:pt>
                <c:pt idx="14">
                  <c:v>9.9238630006740269E-2</c:v>
                </c:pt>
                <c:pt idx="15">
                  <c:v>-3.3533773825924484E-2</c:v>
                </c:pt>
                <c:pt idx="16">
                  <c:v>-0.69816886949696588</c:v>
                </c:pt>
                <c:pt idx="17">
                  <c:v>1.6771270220716459</c:v>
                </c:pt>
                <c:pt idx="18">
                  <c:v>-0.41678140906845806</c:v>
                </c:pt>
                <c:pt idx="19">
                  <c:v>-0.56218425341347622</c:v>
                </c:pt>
                <c:pt idx="20">
                  <c:v>0.64836515055554655</c:v>
                </c:pt>
                <c:pt idx="21">
                  <c:v>0.3923239502115457</c:v>
                </c:pt>
                <c:pt idx="22">
                  <c:v>-0.17514843941129507</c:v>
                </c:pt>
                <c:pt idx="23">
                  <c:v>3.305973432361925E-2</c:v>
                </c:pt>
                <c:pt idx="24">
                  <c:v>-1.6016884202507713</c:v>
                </c:pt>
                <c:pt idx="25">
                  <c:v>0.67014776072629934</c:v>
                </c:pt>
                <c:pt idx="26">
                  <c:v>-1.8815579858050553</c:v>
                </c:pt>
                <c:pt idx="27">
                  <c:v>-9.7437454112901833E-2</c:v>
                </c:pt>
                <c:pt idx="28">
                  <c:v>0.68465430288265083</c:v>
                </c:pt>
                <c:pt idx="29">
                  <c:v>0.95146601442371193</c:v>
                </c:pt>
                <c:pt idx="30">
                  <c:v>0.63746971516977657</c:v>
                </c:pt>
                <c:pt idx="31">
                  <c:v>-1.0677723363418763</c:v>
                </c:pt>
                <c:pt idx="32">
                  <c:v>0.19875513818620627</c:v>
                </c:pt>
                <c:pt idx="33">
                  <c:v>-1.0512491711259275</c:v>
                </c:pt>
                <c:pt idx="34">
                  <c:v>-1.2071086141209055</c:v>
                </c:pt>
                <c:pt idx="35">
                  <c:v>0.1058223245808726</c:v>
                </c:pt>
                <c:pt idx="36">
                  <c:v>1.5724504391192915</c:v>
                </c:pt>
                <c:pt idx="37">
                  <c:v>1.6500514324623516E-2</c:v>
                </c:pt>
                <c:pt idx="38">
                  <c:v>-0.82447290675833274</c:v>
                </c:pt>
                <c:pt idx="39">
                  <c:v>0.79740651941556595</c:v>
                </c:pt>
                <c:pt idx="40">
                  <c:v>1.4009700593555841</c:v>
                </c:pt>
                <c:pt idx="41">
                  <c:v>-0.23779400651023253</c:v>
                </c:pt>
                <c:pt idx="42">
                  <c:v>0.73726357279742327</c:v>
                </c:pt>
                <c:pt idx="43">
                  <c:v>-0.36388210708586555</c:v>
                </c:pt>
                <c:pt idx="44">
                  <c:v>1.0048660230609172</c:v>
                </c:pt>
                <c:pt idx="45">
                  <c:v>0.47192138253191335</c:v>
                </c:pt>
                <c:pt idx="46">
                  <c:v>-1.1325197317164153</c:v>
                </c:pt>
                <c:pt idx="47">
                  <c:v>0.93857079847300362</c:v>
                </c:pt>
                <c:pt idx="48">
                  <c:v>-0.49972230335814982</c:v>
                </c:pt>
                <c:pt idx="49">
                  <c:v>0.11869240943700476</c:v>
                </c:pt>
                <c:pt idx="50">
                  <c:v>0.91347824810839828</c:v>
                </c:pt>
                <c:pt idx="51">
                  <c:v>-0.63009423457107905</c:v>
                </c:pt>
                <c:pt idx="52">
                  <c:v>1.1012092680468006</c:v>
                </c:pt>
                <c:pt idx="53">
                  <c:v>-0.1858523248837449</c:v>
                </c:pt>
                <c:pt idx="54">
                  <c:v>1.5865840038383339</c:v>
                </c:pt>
                <c:pt idx="55">
                  <c:v>-0.54866452930119936</c:v>
                </c:pt>
                <c:pt idx="56">
                  <c:v>-0.43700491042338263</c:v>
                </c:pt>
                <c:pt idx="57">
                  <c:v>-1.4469094266570228</c:v>
                </c:pt>
                <c:pt idx="58">
                  <c:v>2.1268222004393182</c:v>
                </c:pt>
                <c:pt idx="59">
                  <c:v>1.7716473454360746</c:v>
                </c:pt>
                <c:pt idx="60">
                  <c:v>0.53872238574261755</c:v>
                </c:pt>
                <c:pt idx="61">
                  <c:v>0.55585071924999196</c:v>
                </c:pt>
                <c:pt idx="62">
                  <c:v>-0.28598680466072135</c:v>
                </c:pt>
                <c:pt idx="63">
                  <c:v>0.29549447178694499</c:v>
                </c:pt>
                <c:pt idx="64">
                  <c:v>-1.7069836044170614</c:v>
                </c:pt>
                <c:pt idx="65">
                  <c:v>0.56482393147375043</c:v>
                </c:pt>
                <c:pt idx="66">
                  <c:v>-2.1703001262684483</c:v>
                </c:pt>
                <c:pt idx="67">
                  <c:v>-1.8794600895730453</c:v>
                </c:pt>
                <c:pt idx="68">
                  <c:v>1.3265955268941545</c:v>
                </c:pt>
                <c:pt idx="69">
                  <c:v>-0.89425554344686797</c:v>
                </c:pt>
                <c:pt idx="70">
                  <c:v>0.86234318146930211</c:v>
                </c:pt>
                <c:pt idx="71">
                  <c:v>2.1939426717158539E-2</c:v>
                </c:pt>
                <c:pt idx="72">
                  <c:v>-1.0447484336887245</c:v>
                </c:pt>
                <c:pt idx="73">
                  <c:v>-3.141461336106528</c:v>
                </c:pt>
                <c:pt idx="74">
                  <c:v>0.67745554579631673</c:v>
                </c:pt>
                <c:pt idx="75">
                  <c:v>-1.0684983952109164</c:v>
                </c:pt>
                <c:pt idx="76">
                  <c:v>0.3034943905380465</c:v>
                </c:pt>
                <c:pt idx="77">
                  <c:v>0.20705983518992399</c:v>
                </c:pt>
                <c:pt idx="78">
                  <c:v>-2.9666623603739901</c:v>
                </c:pt>
                <c:pt idx="79">
                  <c:v>0.97747221340384227</c:v>
                </c:pt>
                <c:pt idx="80">
                  <c:v>-0.15426065243499626</c:v>
                </c:pt>
                <c:pt idx="81">
                  <c:v>-2.3632891010624189</c:v>
                </c:pt>
                <c:pt idx="82">
                  <c:v>2.4488878460555528</c:v>
                </c:pt>
                <c:pt idx="83">
                  <c:v>0.40894604346250274</c:v>
                </c:pt>
                <c:pt idx="84">
                  <c:v>-0.56712734985147972</c:v>
                </c:pt>
                <c:pt idx="85">
                  <c:v>0.74279894113758138</c:v>
                </c:pt>
                <c:pt idx="86">
                  <c:v>1.4822823123257449</c:v>
                </c:pt>
                <c:pt idx="87">
                  <c:v>1.5238737947218861</c:v>
                </c:pt>
                <c:pt idx="88">
                  <c:v>-0.40888602577943933</c:v>
                </c:pt>
                <c:pt idx="89">
                  <c:v>0.15880539149222228</c:v>
                </c:pt>
                <c:pt idx="90">
                  <c:v>-7.6618115044995605E-2</c:v>
                </c:pt>
                <c:pt idx="91">
                  <c:v>0.93290147884992913</c:v>
                </c:pt>
                <c:pt idx="92">
                  <c:v>-0.64197988513284687</c:v>
                </c:pt>
                <c:pt idx="93">
                  <c:v>1.0297686213020607</c:v>
                </c:pt>
                <c:pt idx="94">
                  <c:v>2.3255546432203344E-2</c:v>
                </c:pt>
                <c:pt idx="95">
                  <c:v>0.33066422066722434</c:v>
                </c:pt>
                <c:pt idx="96">
                  <c:v>-0.37912820588575635</c:v>
                </c:pt>
                <c:pt idx="97">
                  <c:v>-0.12982694097144343</c:v>
                </c:pt>
                <c:pt idx="98">
                  <c:v>1.6000279283007512</c:v>
                </c:pt>
                <c:pt idx="99">
                  <c:v>0.7228204308305286</c:v>
                </c:pt>
                <c:pt idx="100">
                  <c:v>-1.0636408171255467</c:v>
                </c:pt>
                <c:pt idx="101">
                  <c:v>0.22817250121960297</c:v>
                </c:pt>
                <c:pt idx="102">
                  <c:v>-0.85826336405634951</c:v>
                </c:pt>
                <c:pt idx="103">
                  <c:v>2.4526025297791891</c:v>
                </c:pt>
                <c:pt idx="104">
                  <c:v>-1.0021341428499642</c:v>
                </c:pt>
                <c:pt idx="105">
                  <c:v>-0.62266065214134958</c:v>
                </c:pt>
                <c:pt idx="106">
                  <c:v>7.8110800749667586E-2</c:v>
                </c:pt>
                <c:pt idx="107">
                  <c:v>-0.8079288031491344</c:v>
                </c:pt>
                <c:pt idx="108">
                  <c:v>0.46469839081656961</c:v>
                </c:pt>
                <c:pt idx="109">
                  <c:v>1.0118847819274286</c:v>
                </c:pt>
                <c:pt idx="110">
                  <c:v>-1.2696204998364846</c:v>
                </c:pt>
                <c:pt idx="111">
                  <c:v>0.55960752313991635</c:v>
                </c:pt>
                <c:pt idx="112">
                  <c:v>-0.45756223008547581</c:v>
                </c:pt>
                <c:pt idx="113">
                  <c:v>0.1554464024049298</c:v>
                </c:pt>
                <c:pt idx="114">
                  <c:v>0.21713458201397162</c:v>
                </c:pt>
                <c:pt idx="115">
                  <c:v>-1.0061271808535652</c:v>
                </c:pt>
                <c:pt idx="116">
                  <c:v>0.28941467081786854</c:v>
                </c:pt>
                <c:pt idx="117">
                  <c:v>-1.6058239802192158</c:v>
                </c:pt>
                <c:pt idx="118">
                  <c:v>-0.20524637681188551</c:v>
                </c:pt>
                <c:pt idx="119">
                  <c:v>0.19367588395825042</c:v>
                </c:pt>
                <c:pt idx="120">
                  <c:v>0.27770118043713155</c:v>
                </c:pt>
                <c:pt idx="121">
                  <c:v>0.66971806091279529</c:v>
                </c:pt>
                <c:pt idx="122">
                  <c:v>1.2737389881343124</c:v>
                </c:pt>
                <c:pt idx="123">
                  <c:v>7.8919172914396096E-2</c:v>
                </c:pt>
                <c:pt idx="124">
                  <c:v>3.4833907979606948E-2</c:v>
                </c:pt>
                <c:pt idx="125">
                  <c:v>0.42631890317202159</c:v>
                </c:pt>
                <c:pt idx="126">
                  <c:v>-0.48802509705765995</c:v>
                </c:pt>
                <c:pt idx="127">
                  <c:v>-0.77689930578799249</c:v>
                </c:pt>
                <c:pt idx="128">
                  <c:v>-0.94140976769841467</c:v>
                </c:pt>
                <c:pt idx="129">
                  <c:v>0.33713907535112264</c:v>
                </c:pt>
                <c:pt idx="130">
                  <c:v>0.94770342099911753</c:v>
                </c:pt>
                <c:pt idx="131">
                  <c:v>-0.95048034261556835</c:v>
                </c:pt>
                <c:pt idx="132">
                  <c:v>1.4867731060927676</c:v>
                </c:pt>
                <c:pt idx="133">
                  <c:v>-1.3918436542814407</c:v>
                </c:pt>
                <c:pt idx="134">
                  <c:v>-1.8196525659492448</c:v>
                </c:pt>
                <c:pt idx="135">
                  <c:v>-1.1753443005484361</c:v>
                </c:pt>
                <c:pt idx="136">
                  <c:v>1.7155692045272846</c:v>
                </c:pt>
                <c:pt idx="137">
                  <c:v>0.23259242825670579</c:v>
                </c:pt>
                <c:pt idx="138">
                  <c:v>1.7242025016699278</c:v>
                </c:pt>
                <c:pt idx="139">
                  <c:v>-6.1460198539159391E-2</c:v>
                </c:pt>
                <c:pt idx="140">
                  <c:v>0.79515494633112804</c:v>
                </c:pt>
                <c:pt idx="141">
                  <c:v>1.6109532756743601</c:v>
                </c:pt>
                <c:pt idx="142">
                  <c:v>-0.14416541646587094</c:v>
                </c:pt>
                <c:pt idx="143">
                  <c:v>-2.0441880726268624E-2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D99-0649-AC3C-8AD7E00EE3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1151984"/>
        <c:axId val="1045356592"/>
      </c:scatterChart>
      <c:valAx>
        <c:axId val="10411519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Average SONIA (%)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1045356592"/>
        <c:crosses val="autoZero"/>
        <c:crossBetween val="midCat"/>
      </c:valAx>
      <c:valAx>
        <c:axId val="10453565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41151984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Full!$E$31:$E$174</c:f>
              <c:numCache>
                <c:formatCode>General</c:formatCode>
                <c:ptCount val="144"/>
                <c:pt idx="0">
                  <c:v>0.34722222222222221</c:v>
                </c:pt>
                <c:pt idx="1">
                  <c:v>1.0416666666666665</c:v>
                </c:pt>
                <c:pt idx="2">
                  <c:v>1.7361111111111112</c:v>
                </c:pt>
                <c:pt idx="3">
                  <c:v>2.4305555555555554</c:v>
                </c:pt>
                <c:pt idx="4">
                  <c:v>3.125</c:v>
                </c:pt>
                <c:pt idx="5">
                  <c:v>3.8194444444444446</c:v>
                </c:pt>
                <c:pt idx="6">
                  <c:v>4.5138888888888884</c:v>
                </c:pt>
                <c:pt idx="7">
                  <c:v>5.208333333333333</c:v>
                </c:pt>
                <c:pt idx="8">
                  <c:v>5.9027777777777777</c:v>
                </c:pt>
                <c:pt idx="9">
                  <c:v>6.5972222222222223</c:v>
                </c:pt>
                <c:pt idx="10">
                  <c:v>7.291666666666667</c:v>
                </c:pt>
                <c:pt idx="11">
                  <c:v>7.9861111111111107</c:v>
                </c:pt>
                <c:pt idx="12">
                  <c:v>8.6805555555555536</c:v>
                </c:pt>
                <c:pt idx="13">
                  <c:v>9.3749999999999982</c:v>
                </c:pt>
                <c:pt idx="14">
                  <c:v>10.069444444444443</c:v>
                </c:pt>
                <c:pt idx="15">
                  <c:v>10.763888888888888</c:v>
                </c:pt>
                <c:pt idx="16">
                  <c:v>11.458333333333332</c:v>
                </c:pt>
                <c:pt idx="17">
                  <c:v>12.152777777777777</c:v>
                </c:pt>
                <c:pt idx="18">
                  <c:v>12.847222222222221</c:v>
                </c:pt>
                <c:pt idx="19">
                  <c:v>13.541666666666666</c:v>
                </c:pt>
                <c:pt idx="20">
                  <c:v>14.236111111111111</c:v>
                </c:pt>
                <c:pt idx="21">
                  <c:v>14.930555555555554</c:v>
                </c:pt>
                <c:pt idx="22">
                  <c:v>15.624999999999998</c:v>
                </c:pt>
                <c:pt idx="23">
                  <c:v>16.319444444444443</c:v>
                </c:pt>
                <c:pt idx="24">
                  <c:v>17.013888888888886</c:v>
                </c:pt>
                <c:pt idx="25">
                  <c:v>17.708333333333332</c:v>
                </c:pt>
                <c:pt idx="26">
                  <c:v>18.402777777777775</c:v>
                </c:pt>
                <c:pt idx="27">
                  <c:v>19.097222222222221</c:v>
                </c:pt>
                <c:pt idx="28">
                  <c:v>19.791666666666664</c:v>
                </c:pt>
                <c:pt idx="29">
                  <c:v>20.486111111111111</c:v>
                </c:pt>
                <c:pt idx="30">
                  <c:v>21.180555555555554</c:v>
                </c:pt>
                <c:pt idx="31">
                  <c:v>21.875</c:v>
                </c:pt>
                <c:pt idx="32">
                  <c:v>22.569444444444443</c:v>
                </c:pt>
                <c:pt idx="33">
                  <c:v>23.263888888888886</c:v>
                </c:pt>
                <c:pt idx="34">
                  <c:v>23.958333333333332</c:v>
                </c:pt>
                <c:pt idx="35">
                  <c:v>24.652777777777775</c:v>
                </c:pt>
                <c:pt idx="36">
                  <c:v>25.347222222222221</c:v>
                </c:pt>
                <c:pt idx="37">
                  <c:v>26.041666666666664</c:v>
                </c:pt>
                <c:pt idx="38">
                  <c:v>26.736111111111111</c:v>
                </c:pt>
                <c:pt idx="39">
                  <c:v>27.430555555555554</c:v>
                </c:pt>
                <c:pt idx="40">
                  <c:v>28.125</c:v>
                </c:pt>
                <c:pt idx="41">
                  <c:v>28.819444444444443</c:v>
                </c:pt>
                <c:pt idx="42">
                  <c:v>29.513888888888886</c:v>
                </c:pt>
                <c:pt idx="43">
                  <c:v>30.208333333333332</c:v>
                </c:pt>
                <c:pt idx="44">
                  <c:v>30.902777777777775</c:v>
                </c:pt>
                <c:pt idx="45">
                  <c:v>31.597222222222221</c:v>
                </c:pt>
                <c:pt idx="46">
                  <c:v>32.291666666666664</c:v>
                </c:pt>
                <c:pt idx="47">
                  <c:v>32.986111111111107</c:v>
                </c:pt>
                <c:pt idx="48">
                  <c:v>33.68055555555555</c:v>
                </c:pt>
                <c:pt idx="49">
                  <c:v>34.375</c:v>
                </c:pt>
                <c:pt idx="50">
                  <c:v>35.069444444444443</c:v>
                </c:pt>
                <c:pt idx="51">
                  <c:v>35.763888888888886</c:v>
                </c:pt>
                <c:pt idx="52">
                  <c:v>36.458333333333329</c:v>
                </c:pt>
                <c:pt idx="53">
                  <c:v>37.152777777777779</c:v>
                </c:pt>
                <c:pt idx="54">
                  <c:v>37.847222222222221</c:v>
                </c:pt>
                <c:pt idx="55">
                  <c:v>38.541666666666664</c:v>
                </c:pt>
                <c:pt idx="56">
                  <c:v>39.236111111111107</c:v>
                </c:pt>
                <c:pt idx="57">
                  <c:v>39.93055555555555</c:v>
                </c:pt>
                <c:pt idx="58">
                  <c:v>40.625</c:v>
                </c:pt>
                <c:pt idx="59">
                  <c:v>41.319444444444443</c:v>
                </c:pt>
                <c:pt idx="60">
                  <c:v>42.013888888888886</c:v>
                </c:pt>
                <c:pt idx="61">
                  <c:v>42.708333333333329</c:v>
                </c:pt>
                <c:pt idx="62">
                  <c:v>43.402777777777779</c:v>
                </c:pt>
                <c:pt idx="63">
                  <c:v>44.097222222222221</c:v>
                </c:pt>
                <c:pt idx="64">
                  <c:v>44.791666666666664</c:v>
                </c:pt>
                <c:pt idx="65">
                  <c:v>45.486111111111107</c:v>
                </c:pt>
                <c:pt idx="66">
                  <c:v>46.18055555555555</c:v>
                </c:pt>
                <c:pt idx="67">
                  <c:v>46.875</c:v>
                </c:pt>
                <c:pt idx="68">
                  <c:v>47.569444444444443</c:v>
                </c:pt>
                <c:pt idx="69">
                  <c:v>48.263888888888886</c:v>
                </c:pt>
                <c:pt idx="70">
                  <c:v>48.958333333333329</c:v>
                </c:pt>
                <c:pt idx="71">
                  <c:v>49.652777777777779</c:v>
                </c:pt>
                <c:pt idx="72">
                  <c:v>50.347222222222221</c:v>
                </c:pt>
                <c:pt idx="73">
                  <c:v>51.041666666666664</c:v>
                </c:pt>
                <c:pt idx="74">
                  <c:v>51.736111111111107</c:v>
                </c:pt>
                <c:pt idx="75">
                  <c:v>52.43055555555555</c:v>
                </c:pt>
                <c:pt idx="76">
                  <c:v>53.125</c:v>
                </c:pt>
                <c:pt idx="77">
                  <c:v>53.819444444444443</c:v>
                </c:pt>
                <c:pt idx="78">
                  <c:v>54.513888888888886</c:v>
                </c:pt>
                <c:pt idx="79">
                  <c:v>55.208333333333329</c:v>
                </c:pt>
                <c:pt idx="80">
                  <c:v>55.902777777777779</c:v>
                </c:pt>
                <c:pt idx="81">
                  <c:v>56.597222222222221</c:v>
                </c:pt>
                <c:pt idx="82">
                  <c:v>57.291666666666664</c:v>
                </c:pt>
                <c:pt idx="83">
                  <c:v>57.986111111111107</c:v>
                </c:pt>
                <c:pt idx="84">
                  <c:v>58.68055555555555</c:v>
                </c:pt>
                <c:pt idx="85">
                  <c:v>59.375</c:v>
                </c:pt>
                <c:pt idx="86">
                  <c:v>60.069444444444443</c:v>
                </c:pt>
                <c:pt idx="87">
                  <c:v>60.763888888888886</c:v>
                </c:pt>
                <c:pt idx="88">
                  <c:v>61.458333333333329</c:v>
                </c:pt>
                <c:pt idx="89">
                  <c:v>62.152777777777771</c:v>
                </c:pt>
                <c:pt idx="90">
                  <c:v>62.847222222222221</c:v>
                </c:pt>
                <c:pt idx="91">
                  <c:v>63.541666666666664</c:v>
                </c:pt>
                <c:pt idx="92">
                  <c:v>64.236111111111114</c:v>
                </c:pt>
                <c:pt idx="93">
                  <c:v>64.930555555555557</c:v>
                </c:pt>
                <c:pt idx="94">
                  <c:v>65.625</c:v>
                </c:pt>
                <c:pt idx="95">
                  <c:v>66.319444444444443</c:v>
                </c:pt>
                <c:pt idx="96">
                  <c:v>67.013888888888886</c:v>
                </c:pt>
                <c:pt idx="97">
                  <c:v>67.708333333333343</c:v>
                </c:pt>
                <c:pt idx="98">
                  <c:v>68.402777777777786</c:v>
                </c:pt>
                <c:pt idx="99">
                  <c:v>69.097222222222229</c:v>
                </c:pt>
                <c:pt idx="100">
                  <c:v>69.791666666666671</c:v>
                </c:pt>
                <c:pt idx="101">
                  <c:v>70.486111111111114</c:v>
                </c:pt>
                <c:pt idx="102">
                  <c:v>71.180555555555557</c:v>
                </c:pt>
                <c:pt idx="103">
                  <c:v>71.875</c:v>
                </c:pt>
                <c:pt idx="104">
                  <c:v>72.569444444444443</c:v>
                </c:pt>
                <c:pt idx="105">
                  <c:v>73.263888888888886</c:v>
                </c:pt>
                <c:pt idx="106">
                  <c:v>73.958333333333343</c:v>
                </c:pt>
                <c:pt idx="107">
                  <c:v>74.652777777777786</c:v>
                </c:pt>
                <c:pt idx="108">
                  <c:v>75.347222222222229</c:v>
                </c:pt>
                <c:pt idx="109">
                  <c:v>76.041666666666671</c:v>
                </c:pt>
                <c:pt idx="110">
                  <c:v>76.736111111111114</c:v>
                </c:pt>
                <c:pt idx="111">
                  <c:v>77.430555555555557</c:v>
                </c:pt>
                <c:pt idx="112">
                  <c:v>78.125</c:v>
                </c:pt>
                <c:pt idx="113">
                  <c:v>78.819444444444443</c:v>
                </c:pt>
                <c:pt idx="114">
                  <c:v>79.513888888888886</c:v>
                </c:pt>
                <c:pt idx="115">
                  <c:v>80.208333333333343</c:v>
                </c:pt>
                <c:pt idx="116">
                  <c:v>80.902777777777786</c:v>
                </c:pt>
                <c:pt idx="117">
                  <c:v>81.597222222222229</c:v>
                </c:pt>
                <c:pt idx="118">
                  <c:v>82.291666666666671</c:v>
                </c:pt>
                <c:pt idx="119">
                  <c:v>82.986111111111114</c:v>
                </c:pt>
                <c:pt idx="120">
                  <c:v>83.680555555555557</c:v>
                </c:pt>
                <c:pt idx="121">
                  <c:v>84.375</c:v>
                </c:pt>
                <c:pt idx="122">
                  <c:v>85.069444444444443</c:v>
                </c:pt>
                <c:pt idx="123">
                  <c:v>85.763888888888886</c:v>
                </c:pt>
                <c:pt idx="124">
                  <c:v>86.458333333333343</c:v>
                </c:pt>
                <c:pt idx="125">
                  <c:v>87.152777777777786</c:v>
                </c:pt>
                <c:pt idx="126">
                  <c:v>87.847222222222229</c:v>
                </c:pt>
                <c:pt idx="127">
                  <c:v>88.541666666666671</c:v>
                </c:pt>
                <c:pt idx="128">
                  <c:v>89.236111111111114</c:v>
                </c:pt>
                <c:pt idx="129">
                  <c:v>89.930555555555557</c:v>
                </c:pt>
                <c:pt idx="130">
                  <c:v>90.625</c:v>
                </c:pt>
                <c:pt idx="131">
                  <c:v>91.319444444444443</c:v>
                </c:pt>
                <c:pt idx="132">
                  <c:v>92.013888888888886</c:v>
                </c:pt>
                <c:pt idx="133">
                  <c:v>92.708333333333343</c:v>
                </c:pt>
                <c:pt idx="134">
                  <c:v>93.402777777777786</c:v>
                </c:pt>
                <c:pt idx="135">
                  <c:v>94.097222222222229</c:v>
                </c:pt>
                <c:pt idx="136">
                  <c:v>94.791666666666671</c:v>
                </c:pt>
                <c:pt idx="137">
                  <c:v>95.486111111111114</c:v>
                </c:pt>
                <c:pt idx="138">
                  <c:v>96.180555555555557</c:v>
                </c:pt>
                <c:pt idx="139">
                  <c:v>96.875</c:v>
                </c:pt>
                <c:pt idx="140">
                  <c:v>97.569444444444443</c:v>
                </c:pt>
                <c:pt idx="141">
                  <c:v>98.263888888888886</c:v>
                </c:pt>
                <c:pt idx="142">
                  <c:v>98.958333333333343</c:v>
                </c:pt>
                <c:pt idx="143">
                  <c:v>99.652777777777786</c:v>
                </c:pt>
              </c:numCache>
            </c:numRef>
          </c:xVal>
          <c:yVal>
            <c:numRef>
              <c:f>Full!$F$31:$F$174</c:f>
              <c:numCache>
                <c:formatCode>General</c:formatCode>
                <c:ptCount val="144"/>
                <c:pt idx="0">
                  <c:v>-7.0047284893671877</c:v>
                </c:pt>
                <c:pt idx="1">
                  <c:v>-4.6868598995851904</c:v>
                </c:pt>
                <c:pt idx="2">
                  <c:v>-4.1526948243374111</c:v>
                </c:pt>
                <c:pt idx="3">
                  <c:v>-3.6875242113072275</c:v>
                </c:pt>
                <c:pt idx="4">
                  <c:v>-3.3442885744124804</c:v>
                </c:pt>
                <c:pt idx="5">
                  <c:v>-3.1231512210139143</c:v>
                </c:pt>
                <c:pt idx="6">
                  <c:v>-2.9682787226250409</c:v>
                </c:pt>
                <c:pt idx="7">
                  <c:v>-2.5680570998352561</c:v>
                </c:pt>
                <c:pt idx="8">
                  <c:v>-2.5280472836281653</c:v>
                </c:pt>
                <c:pt idx="9">
                  <c:v>-2.5046976641667626</c:v>
                </c:pt>
                <c:pt idx="10">
                  <c:v>-2.2568118607420633</c:v>
                </c:pt>
                <c:pt idx="11">
                  <c:v>-1.9001782009329338</c:v>
                </c:pt>
                <c:pt idx="12">
                  <c:v>-1.8423176925388944</c:v>
                </c:pt>
                <c:pt idx="13">
                  <c:v>-1.8267949190726551</c:v>
                </c:pt>
                <c:pt idx="14">
                  <c:v>-1.7163787658669345</c:v>
                </c:pt>
                <c:pt idx="15">
                  <c:v>-1.7024670003016547</c:v>
                </c:pt>
                <c:pt idx="16">
                  <c:v>-1.4912303020014905</c:v>
                </c:pt>
                <c:pt idx="17">
                  <c:v>-1.4816122688402813</c:v>
                </c:pt>
                <c:pt idx="18">
                  <c:v>-1.3850399013585131</c:v>
                </c:pt>
                <c:pt idx="19">
                  <c:v>-1.3845334693391671</c:v>
                </c:pt>
                <c:pt idx="20">
                  <c:v>-1.3312319193447704</c:v>
                </c:pt>
                <c:pt idx="21">
                  <c:v>-1.2793531068196276</c:v>
                </c:pt>
                <c:pt idx="22">
                  <c:v>-1.1425691586862545</c:v>
                </c:pt>
                <c:pt idx="23">
                  <c:v>-1.1072210028407516</c:v>
                </c:pt>
                <c:pt idx="24">
                  <c:v>-1.0801430002995103</c:v>
                </c:pt>
                <c:pt idx="25">
                  <c:v>-0.94912629185626851</c:v>
                </c:pt>
                <c:pt idx="26">
                  <c:v>-0.93339874585644023</c:v>
                </c:pt>
                <c:pt idx="27">
                  <c:v>-0.8739297602339734</c:v>
                </c:pt>
                <c:pt idx="28">
                  <c:v>-0.85098504001589137</c:v>
                </c:pt>
                <c:pt idx="29">
                  <c:v>-0.84486748191592764</c:v>
                </c:pt>
                <c:pt idx="30">
                  <c:v>-0.83998798555617005</c:v>
                </c:pt>
                <c:pt idx="31">
                  <c:v>-0.82038765576752415</c:v>
                </c:pt>
                <c:pt idx="32">
                  <c:v>-0.73047275946122014</c:v>
                </c:pt>
                <c:pt idx="33">
                  <c:v>-0.72114034769675106</c:v>
                </c:pt>
                <c:pt idx="34">
                  <c:v>-0.70844610563042631</c:v>
                </c:pt>
                <c:pt idx="35">
                  <c:v>-0.63980558944311527</c:v>
                </c:pt>
                <c:pt idx="36">
                  <c:v>-0.63321922178810008</c:v>
                </c:pt>
                <c:pt idx="37">
                  <c:v>-0.62523746935851443</c:v>
                </c:pt>
                <c:pt idx="38">
                  <c:v>-0.60205936122706527</c:v>
                </c:pt>
                <c:pt idx="39">
                  <c:v>-0.49649597275839152</c:v>
                </c:pt>
                <c:pt idx="40">
                  <c:v>-0.45287219230992509</c:v>
                </c:pt>
                <c:pt idx="41">
                  <c:v>-0.44945692130845749</c:v>
                </c:pt>
                <c:pt idx="42">
                  <c:v>-0.42414010254649709</c:v>
                </c:pt>
                <c:pt idx="43">
                  <c:v>-0.40587403799491967</c:v>
                </c:pt>
                <c:pt idx="44">
                  <c:v>-0.38364685529762182</c:v>
                </c:pt>
                <c:pt idx="45">
                  <c:v>-0.34952011853591453</c:v>
                </c:pt>
                <c:pt idx="46">
                  <c:v>-0.32059917407416511</c:v>
                </c:pt>
                <c:pt idx="47">
                  <c:v>-0.25809067214290327</c:v>
                </c:pt>
                <c:pt idx="48">
                  <c:v>-0.23417506109101072</c:v>
                </c:pt>
                <c:pt idx="49">
                  <c:v>-0.18651939975316809</c:v>
                </c:pt>
                <c:pt idx="50">
                  <c:v>-0.16023377056929605</c:v>
                </c:pt>
                <c:pt idx="51">
                  <c:v>-0.15960421366991845</c:v>
                </c:pt>
                <c:pt idx="52">
                  <c:v>-0.12574664360828455</c:v>
                </c:pt>
                <c:pt idx="53">
                  <c:v>-3.7635693365227305E-2</c:v>
                </c:pt>
                <c:pt idx="54">
                  <c:v>-2.8872892422191813E-2</c:v>
                </c:pt>
                <c:pt idx="55">
                  <c:v>-2.1093949631446327E-2</c:v>
                </c:pt>
                <c:pt idx="56">
                  <c:v>2.1744398396726858E-3</c:v>
                </c:pt>
                <c:pt idx="57">
                  <c:v>1.3361896540353232E-2</c:v>
                </c:pt>
                <c:pt idx="58">
                  <c:v>1.5244628300109645E-2</c:v>
                </c:pt>
                <c:pt idx="59">
                  <c:v>4.5162099813618559E-2</c:v>
                </c:pt>
                <c:pt idx="60">
                  <c:v>5.5182858323510636E-2</c:v>
                </c:pt>
                <c:pt idx="61">
                  <c:v>6.2862567183433013E-2</c:v>
                </c:pt>
                <c:pt idx="62">
                  <c:v>6.4450144874432388E-2</c:v>
                </c:pt>
                <c:pt idx="63">
                  <c:v>0.17050584189129772</c:v>
                </c:pt>
                <c:pt idx="64">
                  <c:v>0.20128346879376346</c:v>
                </c:pt>
                <c:pt idx="65">
                  <c:v>0.25176219913533959</c:v>
                </c:pt>
                <c:pt idx="66">
                  <c:v>0.27937046819359035</c:v>
                </c:pt>
                <c:pt idx="67">
                  <c:v>0.29248739326307094</c:v>
                </c:pt>
                <c:pt idx="68">
                  <c:v>0.32195109833132546</c:v>
                </c:pt>
                <c:pt idx="69">
                  <c:v>0.3416951439283733</c:v>
                </c:pt>
                <c:pt idx="70">
                  <c:v>0.3941440510082177</c:v>
                </c:pt>
                <c:pt idx="71">
                  <c:v>0.39463790345239053</c:v>
                </c:pt>
                <c:pt idx="72">
                  <c:v>0.44664249623499269</c:v>
                </c:pt>
                <c:pt idx="73">
                  <c:v>0.44906329589973976</c:v>
                </c:pt>
                <c:pt idx="74">
                  <c:v>0.51269214936388086</c:v>
                </c:pt>
                <c:pt idx="75">
                  <c:v>0.54311279831289316</c:v>
                </c:pt>
                <c:pt idx="76">
                  <c:v>0.64991632276644051</c:v>
                </c:pt>
                <c:pt idx="77">
                  <c:v>0.74520035393408268</c:v>
                </c:pt>
                <c:pt idx="78">
                  <c:v>0.76476526172699799</c:v>
                </c:pt>
                <c:pt idx="79">
                  <c:v>0.76715041455256716</c:v>
                </c:pt>
                <c:pt idx="80">
                  <c:v>0.77913542886387466</c:v>
                </c:pt>
                <c:pt idx="81">
                  <c:v>0.79790760681101336</c:v>
                </c:pt>
                <c:pt idx="82">
                  <c:v>0.79930043255834871</c:v>
                </c:pt>
                <c:pt idx="83">
                  <c:v>0.80909571022157933</c:v>
                </c:pt>
                <c:pt idx="84">
                  <c:v>0.8173714702258239</c:v>
                </c:pt>
                <c:pt idx="85">
                  <c:v>0.8220675256694463</c:v>
                </c:pt>
                <c:pt idx="86">
                  <c:v>0.94080499762717185</c:v>
                </c:pt>
                <c:pt idx="87">
                  <c:v>0.98384974618307341</c:v>
                </c:pt>
                <c:pt idx="88">
                  <c:v>1.084910181769061</c:v>
                </c:pt>
                <c:pt idx="89">
                  <c:v>1.088562294937061</c:v>
                </c:pt>
                <c:pt idx="90">
                  <c:v>1.1252408849651883</c:v>
                </c:pt>
                <c:pt idx="91">
                  <c:v>1.1573512190828252</c:v>
                </c:pt>
                <c:pt idx="92">
                  <c:v>1.1607317321410837</c:v>
                </c:pt>
                <c:pt idx="93">
                  <c:v>1.1935119946777377</c:v>
                </c:pt>
                <c:pt idx="94">
                  <c:v>1.2933080083597004</c:v>
                </c:pt>
                <c:pt idx="95">
                  <c:v>1.3006576888791135</c:v>
                </c:pt>
                <c:pt idx="96">
                  <c:v>1.3072997744824202</c:v>
                </c:pt>
                <c:pt idx="97">
                  <c:v>1.3201728926043841</c:v>
                </c:pt>
                <c:pt idx="98">
                  <c:v>1.3282751471537555</c:v>
                </c:pt>
                <c:pt idx="99">
                  <c:v>1.3592930931331151</c:v>
                </c:pt>
                <c:pt idx="100">
                  <c:v>1.3893836371301047</c:v>
                </c:pt>
                <c:pt idx="101">
                  <c:v>1.4570599695124704</c:v>
                </c:pt>
                <c:pt idx="102">
                  <c:v>1.4746501612318974</c:v>
                </c:pt>
                <c:pt idx="103">
                  <c:v>1.4799167353491935</c:v>
                </c:pt>
                <c:pt idx="104">
                  <c:v>1.5120608050198472</c:v>
                </c:pt>
                <c:pt idx="105">
                  <c:v>1.5632378548125487</c:v>
                </c:pt>
                <c:pt idx="106">
                  <c:v>1.5752476292840976</c:v>
                </c:pt>
                <c:pt idx="107">
                  <c:v>1.7130121087748451</c:v>
                </c:pt>
                <c:pt idx="108">
                  <c:v>1.8101887790863302</c:v>
                </c:pt>
                <c:pt idx="109">
                  <c:v>1.8519535193189707</c:v>
                </c:pt>
                <c:pt idx="110">
                  <c:v>1.9551601207275044</c:v>
                </c:pt>
                <c:pt idx="111">
                  <c:v>1.9636320377819911</c:v>
                </c:pt>
                <c:pt idx="112">
                  <c:v>1.9965489332311821</c:v>
                </c:pt>
                <c:pt idx="113">
                  <c:v>2.1127325139720563</c:v>
                </c:pt>
                <c:pt idx="114">
                  <c:v>2.1320616401803507</c:v>
                </c:pt>
                <c:pt idx="115">
                  <c:v>2.1528110708148573</c:v>
                </c:pt>
                <c:pt idx="116">
                  <c:v>2.1554149374730458</c:v>
                </c:pt>
                <c:pt idx="117">
                  <c:v>2.1937669383125291</c:v>
                </c:pt>
                <c:pt idx="118">
                  <c:v>2.2441569439350513</c:v>
                </c:pt>
                <c:pt idx="119">
                  <c:v>2.3109716137805942</c:v>
                </c:pt>
                <c:pt idx="120">
                  <c:v>2.3644571963769208</c:v>
                </c:pt>
                <c:pt idx="121">
                  <c:v>2.3878145236429944</c:v>
                </c:pt>
                <c:pt idx="122">
                  <c:v>2.4047017706743326</c:v>
                </c:pt>
                <c:pt idx="123">
                  <c:v>2.4711222871909655</c:v>
                </c:pt>
                <c:pt idx="124">
                  <c:v>2.5118747000438195</c:v>
                </c:pt>
                <c:pt idx="125">
                  <c:v>2.5198681337412903</c:v>
                </c:pt>
                <c:pt idx="126">
                  <c:v>2.5257042870557784</c:v>
                </c:pt>
                <c:pt idx="127">
                  <c:v>2.5343167951715437</c:v>
                </c:pt>
                <c:pt idx="128">
                  <c:v>2.6303236664701828</c:v>
                </c:pt>
                <c:pt idx="129">
                  <c:v>2.6535892327475388</c:v>
                </c:pt>
                <c:pt idx="130">
                  <c:v>2.664630651168546</c:v>
                </c:pt>
                <c:pt idx="131">
                  <c:v>2.683391280512204</c:v>
                </c:pt>
                <c:pt idx="132">
                  <c:v>2.7070180675265525</c:v>
                </c:pt>
                <c:pt idx="133">
                  <c:v>2.8438546235537174</c:v>
                </c:pt>
                <c:pt idx="134">
                  <c:v>2.8609360739223297</c:v>
                </c:pt>
                <c:pt idx="135">
                  <c:v>3.0698713827378343</c:v>
                </c:pt>
                <c:pt idx="136">
                  <c:v>3.1095108983661892</c:v>
                </c:pt>
                <c:pt idx="137">
                  <c:v>3.1666873562985165</c:v>
                </c:pt>
                <c:pt idx="138">
                  <c:v>3.3950819422879635</c:v>
                </c:pt>
                <c:pt idx="139">
                  <c:v>3.4388141552305238</c:v>
                </c:pt>
                <c:pt idx="140">
                  <c:v>3.580071379617352</c:v>
                </c:pt>
                <c:pt idx="141">
                  <c:v>3.8214888861569447</c:v>
                </c:pt>
                <c:pt idx="142">
                  <c:v>4.5018822436456931</c:v>
                </c:pt>
                <c:pt idx="143">
                  <c:v>5.5867022964527608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98D-7E44-BA70-F24AFF9C67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6868368"/>
        <c:axId val="1039399632"/>
      </c:scatterChart>
      <c:valAx>
        <c:axId val="10368683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39399632"/>
        <c:crosses val="autoZero"/>
        <c:crossBetween val="midCat"/>
      </c:valAx>
      <c:valAx>
        <c:axId val="10393996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Asset Returns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36868368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Average SONIA (%)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Data!$R$2:$R$145</c:f>
              <c:numCache>
                <c:formatCode>0.0000</c:formatCode>
                <c:ptCount val="144"/>
                <c:pt idx="0">
                  <c:v>3.5433333333333303E-2</c:v>
                </c:pt>
                <c:pt idx="1">
                  <c:v>3.5841666666666702E-2</c:v>
                </c:pt>
                <c:pt idx="2">
                  <c:v>3.55833333333333E-2</c:v>
                </c:pt>
                <c:pt idx="3">
                  <c:v>3.5825000000000003E-2</c:v>
                </c:pt>
                <c:pt idx="4">
                  <c:v>3.5941666666666698E-2</c:v>
                </c:pt>
                <c:pt idx="5">
                  <c:v>3.58333333333333E-2</c:v>
                </c:pt>
                <c:pt idx="6">
                  <c:v>3.5125000000000003E-2</c:v>
                </c:pt>
                <c:pt idx="7">
                  <c:v>3.5725E-2</c:v>
                </c:pt>
                <c:pt idx="8">
                  <c:v>3.4974999999999999E-2</c:v>
                </c:pt>
                <c:pt idx="9">
                  <c:v>3.4658333333333298E-2</c:v>
                </c:pt>
                <c:pt idx="10">
                  <c:v>3.51666666666667E-2</c:v>
                </c:pt>
                <c:pt idx="11">
                  <c:v>3.5275000000000001E-2</c:v>
                </c:pt>
                <c:pt idx="12">
                  <c:v>3.5424999999999998E-2</c:v>
                </c:pt>
                <c:pt idx="13">
                  <c:v>3.5691666666666698E-2</c:v>
                </c:pt>
                <c:pt idx="14">
                  <c:v>3.5233333333333297E-2</c:v>
                </c:pt>
                <c:pt idx="15">
                  <c:v>3.59916666666667E-2</c:v>
                </c:pt>
                <c:pt idx="16">
                  <c:v>3.5900000000000001E-2</c:v>
                </c:pt>
                <c:pt idx="17">
                  <c:v>3.6041666666666701E-2</c:v>
                </c:pt>
                <c:pt idx="18">
                  <c:v>3.5666666666666701E-2</c:v>
                </c:pt>
                <c:pt idx="19">
                  <c:v>3.6291666666666701E-2</c:v>
                </c:pt>
                <c:pt idx="20">
                  <c:v>3.7591666666666697E-2</c:v>
                </c:pt>
                <c:pt idx="21">
                  <c:v>3.80666666666667E-2</c:v>
                </c:pt>
                <c:pt idx="22">
                  <c:v>3.8116666666666701E-2</c:v>
                </c:pt>
                <c:pt idx="23">
                  <c:v>3.85E-2</c:v>
                </c:pt>
                <c:pt idx="24">
                  <c:v>3.805E-2</c:v>
                </c:pt>
                <c:pt idx="25">
                  <c:v>3.7908333333333301E-2</c:v>
                </c:pt>
                <c:pt idx="26">
                  <c:v>3.8249999999999999E-2</c:v>
                </c:pt>
                <c:pt idx="27">
                  <c:v>3.7866666666666701E-2</c:v>
                </c:pt>
                <c:pt idx="28">
                  <c:v>3.8516666666666699E-2</c:v>
                </c:pt>
                <c:pt idx="29">
                  <c:v>3.8633333333333297E-2</c:v>
                </c:pt>
                <c:pt idx="30">
                  <c:v>3.8124999999999999E-2</c:v>
                </c:pt>
                <c:pt idx="31">
                  <c:v>3.8824999999999998E-2</c:v>
                </c:pt>
                <c:pt idx="32">
                  <c:v>3.8808333333333299E-2</c:v>
                </c:pt>
                <c:pt idx="33">
                  <c:v>3.8716666666666698E-2</c:v>
                </c:pt>
                <c:pt idx="34">
                  <c:v>3.88583333333333E-2</c:v>
                </c:pt>
                <c:pt idx="35">
                  <c:v>3.86083333333333E-2</c:v>
                </c:pt>
                <c:pt idx="36">
                  <c:v>3.83166666666667E-2</c:v>
                </c:pt>
                <c:pt idx="37">
                  <c:v>3.8141666666666699E-2</c:v>
                </c:pt>
                <c:pt idx="38">
                  <c:v>2.0650000000000002E-2</c:v>
                </c:pt>
                <c:pt idx="39">
                  <c:v>1.7749999999999998E-2</c:v>
                </c:pt>
                <c:pt idx="40">
                  <c:v>1.7666666666666699E-2</c:v>
                </c:pt>
                <c:pt idx="41">
                  <c:v>1.7566666666666699E-2</c:v>
                </c:pt>
                <c:pt idx="42">
                  <c:v>1.7708333333333302E-2</c:v>
                </c:pt>
                <c:pt idx="43">
                  <c:v>1.7791666666666699E-2</c:v>
                </c:pt>
                <c:pt idx="44">
                  <c:v>1.755E-2</c:v>
                </c:pt>
                <c:pt idx="45">
                  <c:v>1.7458333333333301E-2</c:v>
                </c:pt>
                <c:pt idx="46">
                  <c:v>1.7616666666666701E-2</c:v>
                </c:pt>
                <c:pt idx="47">
                  <c:v>1.77166666666667E-2</c:v>
                </c:pt>
                <c:pt idx="48">
                  <c:v>1.7675E-2</c:v>
                </c:pt>
                <c:pt idx="49">
                  <c:v>1.77E-2</c:v>
                </c:pt>
                <c:pt idx="50">
                  <c:v>1.7766666666666701E-2</c:v>
                </c:pt>
                <c:pt idx="51">
                  <c:v>1.7691666666666699E-2</c:v>
                </c:pt>
                <c:pt idx="52">
                  <c:v>1.7583333333333302E-2</c:v>
                </c:pt>
                <c:pt idx="53">
                  <c:v>3.7441666666666699E-2</c:v>
                </c:pt>
                <c:pt idx="54">
                  <c:v>3.8491666666666702E-2</c:v>
                </c:pt>
                <c:pt idx="55">
                  <c:v>3.8591666666666698E-2</c:v>
                </c:pt>
                <c:pt idx="56">
                  <c:v>3.8616666666666702E-2</c:v>
                </c:pt>
                <c:pt idx="57">
                  <c:v>3.8641666666666699E-2</c:v>
                </c:pt>
                <c:pt idx="58">
                  <c:v>3.8475000000000002E-2</c:v>
                </c:pt>
                <c:pt idx="59">
                  <c:v>3.7741666666666701E-2</c:v>
                </c:pt>
                <c:pt idx="60">
                  <c:v>3.7558333333333298E-2</c:v>
                </c:pt>
                <c:pt idx="61">
                  <c:v>3.7874999999999999E-2</c:v>
                </c:pt>
                <c:pt idx="62">
                  <c:v>5.7591666666666701E-2</c:v>
                </c:pt>
                <c:pt idx="63">
                  <c:v>5.8433333333333302E-2</c:v>
                </c:pt>
                <c:pt idx="64">
                  <c:v>5.8424999999999998E-2</c:v>
                </c:pt>
                <c:pt idx="65">
                  <c:v>5.8474999999999999E-2</c:v>
                </c:pt>
                <c:pt idx="66">
                  <c:v>5.8549999999999998E-2</c:v>
                </c:pt>
                <c:pt idx="67">
                  <c:v>5.9174999999999998E-2</c:v>
                </c:pt>
                <c:pt idx="68">
                  <c:v>5.9150000000000001E-2</c:v>
                </c:pt>
                <c:pt idx="69">
                  <c:v>5.9233333333333298E-2</c:v>
                </c:pt>
                <c:pt idx="70">
                  <c:v>5.92083333333333E-2</c:v>
                </c:pt>
                <c:pt idx="71">
                  <c:v>5.9174999999999998E-2</c:v>
                </c:pt>
                <c:pt idx="72">
                  <c:v>5.9275000000000001E-2</c:v>
                </c:pt>
                <c:pt idx="73">
                  <c:v>5.9200000000000003E-2</c:v>
                </c:pt>
                <c:pt idx="74">
                  <c:v>2.6599999999999999E-2</c:v>
                </c:pt>
                <c:pt idx="75">
                  <c:v>5.4916666666666699E-3</c:v>
                </c:pt>
                <c:pt idx="76">
                  <c:v>5.61666666666667E-3</c:v>
                </c:pt>
                <c:pt idx="77">
                  <c:v>5.3833333333333303E-3</c:v>
                </c:pt>
                <c:pt idx="78">
                  <c:v>4.9916666666666703E-3</c:v>
                </c:pt>
                <c:pt idx="79">
                  <c:v>4.6833333333333301E-3</c:v>
                </c:pt>
                <c:pt idx="80">
                  <c:v>4.55833333333333E-3</c:v>
                </c:pt>
                <c:pt idx="81">
                  <c:v>4.4833333333333296E-3</c:v>
                </c:pt>
                <c:pt idx="82">
                  <c:v>4.4749999999999998E-3</c:v>
                </c:pt>
                <c:pt idx="83">
                  <c:v>4.1000000000000003E-3</c:v>
                </c:pt>
                <c:pt idx="84">
                  <c:v>4.1166666666666704E-3</c:v>
                </c:pt>
                <c:pt idx="85">
                  <c:v>4.0499999999999998E-3</c:v>
                </c:pt>
                <c:pt idx="86">
                  <c:v>4.0499999999999998E-3</c:v>
                </c:pt>
                <c:pt idx="87">
                  <c:v>4.0499999999999998E-3</c:v>
                </c:pt>
                <c:pt idx="88">
                  <c:v>4.1250000000000002E-3</c:v>
                </c:pt>
                <c:pt idx="89">
                  <c:v>4.15E-3</c:v>
                </c:pt>
                <c:pt idx="90">
                  <c:v>4.2166666666666698E-3</c:v>
                </c:pt>
                <c:pt idx="91">
                  <c:v>4.1999999999999997E-3</c:v>
                </c:pt>
                <c:pt idx="92">
                  <c:v>4.1666666666666701E-3</c:v>
                </c:pt>
                <c:pt idx="93">
                  <c:v>4.1833333333333297E-3</c:v>
                </c:pt>
                <c:pt idx="94">
                  <c:v>3.8999999999999998E-3</c:v>
                </c:pt>
                <c:pt idx="95">
                  <c:v>9.5083333333333304E-3</c:v>
                </c:pt>
                <c:pt idx="96">
                  <c:v>1.6316666666666702E-2</c:v>
                </c:pt>
                <c:pt idx="97">
                  <c:v>3.4991666666666699E-2</c:v>
                </c:pt>
                <c:pt idx="98">
                  <c:v>4.68583333333333E-2</c:v>
                </c:pt>
                <c:pt idx="99">
                  <c:v>5.7549999999999997E-2</c:v>
                </c:pt>
                <c:pt idx="100">
                  <c:v>7.6316666666666699E-2</c:v>
                </c:pt>
                <c:pt idx="101">
                  <c:v>8.9724999999999999E-2</c:v>
                </c:pt>
                <c:pt idx="102">
                  <c:v>9.9233333333333298E-2</c:v>
                </c:pt>
                <c:pt idx="103">
                  <c:v>0.13516666666666699</c:v>
                </c:pt>
                <c:pt idx="104">
                  <c:v>0.154741666666667</c:v>
                </c:pt>
                <c:pt idx="105">
                  <c:v>0.18214166666666701</c:v>
                </c:pt>
                <c:pt idx="106">
                  <c:v>0.23832500000000001</c:v>
                </c:pt>
                <c:pt idx="107">
                  <c:v>0.26482499999999998</c:v>
                </c:pt>
                <c:pt idx="108">
                  <c:v>0.28562500000000002</c:v>
                </c:pt>
                <c:pt idx="109">
                  <c:v>0.32517499999999999</c:v>
                </c:pt>
                <c:pt idx="110">
                  <c:v>0.33359166666666701</c:v>
                </c:pt>
                <c:pt idx="111">
                  <c:v>0.34811666666666702</c:v>
                </c:pt>
                <c:pt idx="112">
                  <c:v>0.36273333333333302</c:v>
                </c:pt>
                <c:pt idx="113">
                  <c:v>0.38226666666666698</c:v>
                </c:pt>
                <c:pt idx="114">
                  <c:v>0.41084999999999999</c:v>
                </c:pt>
                <c:pt idx="115">
                  <c:v>0.43007499999999999</c:v>
                </c:pt>
                <c:pt idx="116">
                  <c:v>0.43211666666666698</c:v>
                </c:pt>
                <c:pt idx="117">
                  <c:v>0.43225833333333302</c:v>
                </c:pt>
                <c:pt idx="118">
                  <c:v>0.43229166666666702</c:v>
                </c:pt>
                <c:pt idx="119">
                  <c:v>0.43225000000000002</c:v>
                </c:pt>
                <c:pt idx="120">
                  <c:v>0.43229166666666702</c:v>
                </c:pt>
                <c:pt idx="121">
                  <c:v>0.43235833333333301</c:v>
                </c:pt>
                <c:pt idx="122">
                  <c:v>0.432425</c:v>
                </c:pt>
                <c:pt idx="123">
                  <c:v>0.43315833333333298</c:v>
                </c:pt>
                <c:pt idx="124">
                  <c:v>0.43333333333333302</c:v>
                </c:pt>
                <c:pt idx="125">
                  <c:v>0.43333333333333302</c:v>
                </c:pt>
                <c:pt idx="126">
                  <c:v>0.43333333333333302</c:v>
                </c:pt>
                <c:pt idx="127">
                  <c:v>0.41249999999999998</c:v>
                </c:pt>
                <c:pt idx="128">
                  <c:v>0.41249999999999998</c:v>
                </c:pt>
                <c:pt idx="129">
                  <c:v>0.41249999999999998</c:v>
                </c:pt>
                <c:pt idx="130">
                  <c:v>0.395633333333333</c:v>
                </c:pt>
                <c:pt idx="131">
                  <c:v>0.391666666666667</c:v>
                </c:pt>
                <c:pt idx="132">
                  <c:v>0.39168333333333299</c:v>
                </c:pt>
                <c:pt idx="133">
                  <c:v>0.37432500000000002</c:v>
                </c:pt>
                <c:pt idx="134">
                  <c:v>0.37129166666666702</c:v>
                </c:pt>
                <c:pt idx="135">
                  <c:v>0.371475</c:v>
                </c:pt>
                <c:pt idx="136">
                  <c:v>0.35503333333333298</c:v>
                </c:pt>
                <c:pt idx="137">
                  <c:v>0.35120000000000001</c:v>
                </c:pt>
                <c:pt idx="138">
                  <c:v>0.35143333333333299</c:v>
                </c:pt>
                <c:pt idx="139">
                  <c:v>0.33476666666666699</c:v>
                </c:pt>
                <c:pt idx="140">
                  <c:v>0.3306</c:v>
                </c:pt>
                <c:pt idx="141">
                  <c:v>0.330683333333333</c:v>
                </c:pt>
                <c:pt idx="142">
                  <c:v>0.33077499999999999</c:v>
                </c:pt>
                <c:pt idx="143">
                  <c:v>0.32324166666666698</c:v>
                </c:pt>
              </c:numCache>
            </c:numRef>
          </c:xVal>
          <c:yVal>
            <c:numRef>
              <c:f>'SONIA, Credit, ERP'!$C$28:$C$171</c:f>
              <c:numCache>
                <c:formatCode>General</c:formatCode>
                <c:ptCount val="144"/>
                <c:pt idx="0">
                  <c:v>-2.3040787301429955</c:v>
                </c:pt>
                <c:pt idx="1">
                  <c:v>1.12697121795919</c:v>
                </c:pt>
                <c:pt idx="2">
                  <c:v>-1.598228815768366</c:v>
                </c:pt>
                <c:pt idx="3">
                  <c:v>-0.49470287669496282</c:v>
                </c:pt>
                <c:pt idx="4">
                  <c:v>0.61029691503774286</c:v>
                </c:pt>
                <c:pt idx="5">
                  <c:v>-0.37109070351577828</c:v>
                </c:pt>
                <c:pt idx="6">
                  <c:v>-5.1267673604246333E-2</c:v>
                </c:pt>
                <c:pt idx="7">
                  <c:v>-2.1682514308565541</c:v>
                </c:pt>
                <c:pt idx="8">
                  <c:v>0.76954369127894062</c:v>
                </c:pt>
                <c:pt idx="9">
                  <c:v>-0.72309291074362991</c:v>
                </c:pt>
                <c:pt idx="10">
                  <c:v>-0.34529909866176467</c:v>
                </c:pt>
                <c:pt idx="11">
                  <c:v>0.38843212419988205</c:v>
                </c:pt>
                <c:pt idx="12">
                  <c:v>-0.8235318546621897</c:v>
                </c:pt>
                <c:pt idx="13">
                  <c:v>0.16276755225764863</c:v>
                </c:pt>
                <c:pt idx="14">
                  <c:v>0.13701003913460807</c:v>
                </c:pt>
                <c:pt idx="15">
                  <c:v>-3.9426960015802481E-2</c:v>
                </c:pt>
                <c:pt idx="16">
                  <c:v>-0.72698261736437231</c:v>
                </c:pt>
                <c:pt idx="17">
                  <c:v>1.6655040424272363</c:v>
                </c:pt>
                <c:pt idx="18">
                  <c:v>-0.42944871291030434</c:v>
                </c:pt>
                <c:pt idx="19">
                  <c:v>-0.48046651480512503</c:v>
                </c:pt>
                <c:pt idx="20">
                  <c:v>0.65094336442217049</c:v>
                </c:pt>
                <c:pt idx="21">
                  <c:v>0.40145959337407155</c:v>
                </c:pt>
                <c:pt idx="22">
                  <c:v>-0.17973682746686104</c:v>
                </c:pt>
                <c:pt idx="23">
                  <c:v>3.0430383657489402E-2</c:v>
                </c:pt>
                <c:pt idx="24">
                  <c:v>-1.6423082856791722</c:v>
                </c:pt>
                <c:pt idx="25">
                  <c:v>0.69886319593570634</c:v>
                </c:pt>
                <c:pt idx="26">
                  <c:v>-1.9110620453418525</c:v>
                </c:pt>
                <c:pt idx="27">
                  <c:v>-0.1464583120157843</c:v>
                </c:pt>
                <c:pt idx="28">
                  <c:v>0.65675200753587104</c:v>
                </c:pt>
                <c:pt idx="29">
                  <c:v>0.91437579128480184</c:v>
                </c:pt>
                <c:pt idx="30">
                  <c:v>0.5675037930746567</c:v>
                </c:pt>
                <c:pt idx="31">
                  <c:v>-1.1514980379020903</c:v>
                </c:pt>
                <c:pt idx="32">
                  <c:v>5.2853757143717262E-2</c:v>
                </c:pt>
                <c:pt idx="33">
                  <c:v>-1.1222774413117187</c:v>
                </c:pt>
                <c:pt idx="34">
                  <c:v>-1.2834274153884015</c:v>
                </c:pt>
                <c:pt idx="35">
                  <c:v>4.4871503074163099E-2</c:v>
                </c:pt>
                <c:pt idx="36">
                  <c:v>1.5340101690439736</c:v>
                </c:pt>
                <c:pt idx="37">
                  <c:v>6.4013960276900761E-3</c:v>
                </c:pt>
                <c:pt idx="38">
                  <c:v>-0.77409682897737908</c:v>
                </c:pt>
                <c:pt idx="39">
                  <c:v>0.73896394017795264</c:v>
                </c:pt>
                <c:pt idx="40">
                  <c:v>1.3390019437216383</c:v>
                </c:pt>
                <c:pt idx="41">
                  <c:v>-0.32302813080255255</c:v>
                </c:pt>
                <c:pt idx="42">
                  <c:v>0.68332748749382244</c:v>
                </c:pt>
                <c:pt idx="43">
                  <c:v>-0.46339933449176979</c:v>
                </c:pt>
                <c:pt idx="44">
                  <c:v>0.90888529216229985</c:v>
                </c:pt>
                <c:pt idx="45">
                  <c:v>0.34859128604004885</c:v>
                </c:pt>
                <c:pt idx="46">
                  <c:v>-1.2661430574198378</c:v>
                </c:pt>
                <c:pt idx="47">
                  <c:v>0.81480616400239103</c:v>
                </c:pt>
                <c:pt idx="48">
                  <c:v>-0.6276209094452212</c:v>
                </c:pt>
                <c:pt idx="49">
                  <c:v>-2.5577157356463709E-2</c:v>
                </c:pt>
                <c:pt idx="50">
                  <c:v>0.76788081497493577</c:v>
                </c:pt>
                <c:pt idx="51">
                  <c:v>-0.73942997096957774</c:v>
                </c:pt>
                <c:pt idx="52">
                  <c:v>1.002846793417983</c:v>
                </c:pt>
                <c:pt idx="53">
                  <c:v>-0.24703037811988554</c:v>
                </c:pt>
                <c:pt idx="54">
                  <c:v>1.5343579257204443</c:v>
                </c:pt>
                <c:pt idx="55">
                  <c:v>-0.56818265826684511</c:v>
                </c:pt>
                <c:pt idx="56">
                  <c:v>-0.44725062257998283</c:v>
                </c:pt>
                <c:pt idx="57">
                  <c:v>-1.3964762072498993</c:v>
                </c:pt>
                <c:pt idx="58">
                  <c:v>2.1368505792846815</c:v>
                </c:pt>
                <c:pt idx="59">
                  <c:v>1.7442289511223654</c:v>
                </c:pt>
                <c:pt idx="60">
                  <c:v>0.51998605061237935</c:v>
                </c:pt>
                <c:pt idx="61">
                  <c:v>0.5455128277807052</c:v>
                </c:pt>
                <c:pt idx="62">
                  <c:v>-0.29230981712992704</c:v>
                </c:pt>
                <c:pt idx="63">
                  <c:v>0.28027664398985191</c:v>
                </c:pt>
                <c:pt idx="64">
                  <c:v>-1.7784662969843728</c:v>
                </c:pt>
                <c:pt idx="65">
                  <c:v>0.37696678795862226</c:v>
                </c:pt>
                <c:pt idx="66">
                  <c:v>-2.2612149462470921</c:v>
                </c:pt>
                <c:pt idx="67">
                  <c:v>-1.8969519909492132</c:v>
                </c:pt>
                <c:pt idx="68">
                  <c:v>1.3164996183197191</c:v>
                </c:pt>
                <c:pt idx="69">
                  <c:v>-0.89176436436749151</c:v>
                </c:pt>
                <c:pt idx="70">
                  <c:v>0.8995727388622422</c:v>
                </c:pt>
                <c:pt idx="71">
                  <c:v>5.0204738474845523E-2</c:v>
                </c:pt>
                <c:pt idx="72">
                  <c:v>-0.97245403989721957</c:v>
                </c:pt>
                <c:pt idx="73">
                  <c:v>-3.1144944832212866</c:v>
                </c:pt>
                <c:pt idx="74">
                  <c:v>0.69239168980678922</c:v>
                </c:pt>
                <c:pt idx="75">
                  <c:v>-0.80070579366562722</c:v>
                </c:pt>
                <c:pt idx="76">
                  <c:v>0.49215282638077618</c:v>
                </c:pt>
                <c:pt idx="77">
                  <c:v>0.34855906665302205</c:v>
                </c:pt>
                <c:pt idx="78">
                  <c:v>-2.8189722378372997</c:v>
                </c:pt>
                <c:pt idx="79">
                  <c:v>1.0495966708796216</c:v>
                </c:pt>
                <c:pt idx="80">
                  <c:v>-5.7099899739621596E-2</c:v>
                </c:pt>
                <c:pt idx="81">
                  <c:v>-2.2699626745153916</c:v>
                </c:pt>
                <c:pt idx="82">
                  <c:v>2.5829470758920272</c:v>
                </c:pt>
                <c:pt idx="83">
                  <c:v>0.52543214661765281</c:v>
                </c:pt>
                <c:pt idx="84">
                  <c:v>-0.49486226861715671</c:v>
                </c:pt>
                <c:pt idx="85">
                  <c:v>0.78143857527003735</c:v>
                </c:pt>
                <c:pt idx="86">
                  <c:v>1.5445511789513389</c:v>
                </c:pt>
                <c:pt idx="87">
                  <c:v>1.6159332137173026</c:v>
                </c:pt>
                <c:pt idx="88">
                  <c:v>-0.32267435008812606</c:v>
                </c:pt>
                <c:pt idx="89">
                  <c:v>0.26268574042138904</c:v>
                </c:pt>
                <c:pt idx="90">
                  <c:v>7.8095789947050687E-2</c:v>
                </c:pt>
                <c:pt idx="91">
                  <c:v>1.0705969650682652</c:v>
                </c:pt>
                <c:pt idx="92">
                  <c:v>-0.53683122747341672</c:v>
                </c:pt>
                <c:pt idx="93">
                  <c:v>1.29513915884429</c:v>
                </c:pt>
                <c:pt idx="94">
                  <c:v>0.26984911636134379</c:v>
                </c:pt>
                <c:pt idx="95">
                  <c:v>0.56378678360272816</c:v>
                </c:pt>
                <c:pt idx="96">
                  <c:v>-0.15786769510596654</c:v>
                </c:pt>
                <c:pt idx="97">
                  <c:v>7.725522901105486E-2</c:v>
                </c:pt>
                <c:pt idx="98">
                  <c:v>1.8611470411735382</c:v>
                </c:pt>
                <c:pt idx="99">
                  <c:v>0.93652070525768183</c:v>
                </c:pt>
                <c:pt idx="100">
                  <c:v>-0.9402748525503517</c:v>
                </c:pt>
                <c:pt idx="101">
                  <c:v>0.27007777668278754</c:v>
                </c:pt>
                <c:pt idx="102">
                  <c:v>-0.82471866822148332</c:v>
                </c:pt>
                <c:pt idx="103">
                  <c:v>2.468184396214312</c:v>
                </c:pt>
                <c:pt idx="104">
                  <c:v>-0.70908751707182427</c:v>
                </c:pt>
                <c:pt idx="105">
                  <c:v>-0.49156408715808242</c:v>
                </c:pt>
                <c:pt idx="106">
                  <c:v>0.16872211473785237</c:v>
                </c:pt>
                <c:pt idx="107">
                  <c:v>-0.79166820563247509</c:v>
                </c:pt>
                <c:pt idx="108">
                  <c:v>0.48864283100797445</c:v>
                </c:pt>
                <c:pt idx="109">
                  <c:v>1.0142463313409293</c:v>
                </c:pt>
                <c:pt idx="110">
                  <c:v>-1.2182468100426185</c:v>
                </c:pt>
                <c:pt idx="111">
                  <c:v>0.59638842967704087</c:v>
                </c:pt>
                <c:pt idx="112">
                  <c:v>-0.41763448142883774</c:v>
                </c:pt>
                <c:pt idx="113">
                  <c:v>0.40415930211347995</c:v>
                </c:pt>
                <c:pt idx="114">
                  <c:v>0.42553802126635976</c:v>
                </c:pt>
                <c:pt idx="115">
                  <c:v>-0.87109213865504198</c:v>
                </c:pt>
                <c:pt idx="116">
                  <c:v>0.31586964266257678</c:v>
                </c:pt>
                <c:pt idx="117">
                  <c:v>-1.5931868470382224</c:v>
                </c:pt>
                <c:pt idx="118">
                  <c:v>-0.14212495582311391</c:v>
                </c:pt>
                <c:pt idx="119">
                  <c:v>0.20707921964453169</c:v>
                </c:pt>
                <c:pt idx="120">
                  <c:v>0.22912817432363994</c:v>
                </c:pt>
                <c:pt idx="121">
                  <c:v>0.71461885302043515</c:v>
                </c:pt>
                <c:pt idx="122">
                  <c:v>1.3132944346945266</c:v>
                </c:pt>
                <c:pt idx="123">
                  <c:v>0.11380702022790545</c:v>
                </c:pt>
                <c:pt idx="124">
                  <c:v>9.9503652257135755E-2</c:v>
                </c:pt>
                <c:pt idx="125">
                  <c:v>0.46585178884535838</c:v>
                </c:pt>
                <c:pt idx="126">
                  <c:v>-0.48143483710445711</c:v>
                </c:pt>
                <c:pt idx="127">
                  <c:v>-0.77920334155043292</c:v>
                </c:pt>
                <c:pt idx="128">
                  <c:v>-0.96318131016109143</c:v>
                </c:pt>
                <c:pt idx="129">
                  <c:v>0.3846172565298186</c:v>
                </c:pt>
                <c:pt idx="130">
                  <c:v>0.99861661824818837</c:v>
                </c:pt>
                <c:pt idx="131">
                  <c:v>-0.94663208154473244</c:v>
                </c:pt>
                <c:pt idx="132">
                  <c:v>1.4978226979871523</c:v>
                </c:pt>
                <c:pt idx="133">
                  <c:v>-1.4060482192240866</c:v>
                </c:pt>
                <c:pt idx="134">
                  <c:v>-1.8922965346114187</c:v>
                </c:pt>
                <c:pt idx="135">
                  <c:v>-1.3049915708994015</c:v>
                </c:pt>
                <c:pt idx="136">
                  <c:v>1.5872335100632942</c:v>
                </c:pt>
                <c:pt idx="137">
                  <c:v>7.5836981121712554E-2</c:v>
                </c:pt>
                <c:pt idx="138">
                  <c:v>1.5391140669608396</c:v>
                </c:pt>
                <c:pt idx="139">
                  <c:v>-0.29620838314104081</c:v>
                </c:pt>
                <c:pt idx="140">
                  <c:v>0.62095779489322589</c:v>
                </c:pt>
                <c:pt idx="141">
                  <c:v>1.4871562526741584</c:v>
                </c:pt>
                <c:pt idx="142">
                  <c:v>-0.25420245847849926</c:v>
                </c:pt>
                <c:pt idx="143">
                  <c:v>-0.10099535532979464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36C-804F-86A7-80CCB2480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8856288"/>
        <c:axId val="1058858624"/>
      </c:scatterChart>
      <c:valAx>
        <c:axId val="1058856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Average SONIA (%)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1058858624"/>
        <c:crosses val="autoZero"/>
        <c:crossBetween val="midCat"/>
      </c:valAx>
      <c:valAx>
        <c:axId val="10588586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58856288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'SONIA, Credit, ERP'!$E$28:$E$171</c:f>
              <c:numCache>
                <c:formatCode>General</c:formatCode>
                <c:ptCount val="144"/>
                <c:pt idx="0">
                  <c:v>0.34722222222222221</c:v>
                </c:pt>
                <c:pt idx="1">
                  <c:v>1.0416666666666665</c:v>
                </c:pt>
                <c:pt idx="2">
                  <c:v>1.7361111111111112</c:v>
                </c:pt>
                <c:pt idx="3">
                  <c:v>2.4305555555555554</c:v>
                </c:pt>
                <c:pt idx="4">
                  <c:v>3.125</c:v>
                </c:pt>
                <c:pt idx="5">
                  <c:v>3.8194444444444446</c:v>
                </c:pt>
                <c:pt idx="6">
                  <c:v>4.5138888888888884</c:v>
                </c:pt>
                <c:pt idx="7">
                  <c:v>5.208333333333333</c:v>
                </c:pt>
                <c:pt idx="8">
                  <c:v>5.9027777777777777</c:v>
                </c:pt>
                <c:pt idx="9">
                  <c:v>6.5972222222222223</c:v>
                </c:pt>
                <c:pt idx="10">
                  <c:v>7.291666666666667</c:v>
                </c:pt>
                <c:pt idx="11">
                  <c:v>7.9861111111111107</c:v>
                </c:pt>
                <c:pt idx="12">
                  <c:v>8.6805555555555536</c:v>
                </c:pt>
                <c:pt idx="13">
                  <c:v>9.3749999999999982</c:v>
                </c:pt>
                <c:pt idx="14">
                  <c:v>10.069444444444443</c:v>
                </c:pt>
                <c:pt idx="15">
                  <c:v>10.763888888888888</c:v>
                </c:pt>
                <c:pt idx="16">
                  <c:v>11.458333333333332</c:v>
                </c:pt>
                <c:pt idx="17">
                  <c:v>12.152777777777777</c:v>
                </c:pt>
                <c:pt idx="18">
                  <c:v>12.847222222222221</c:v>
                </c:pt>
                <c:pt idx="19">
                  <c:v>13.541666666666666</c:v>
                </c:pt>
                <c:pt idx="20">
                  <c:v>14.236111111111111</c:v>
                </c:pt>
                <c:pt idx="21">
                  <c:v>14.930555555555554</c:v>
                </c:pt>
                <c:pt idx="22">
                  <c:v>15.624999999999998</c:v>
                </c:pt>
                <c:pt idx="23">
                  <c:v>16.319444444444443</c:v>
                </c:pt>
                <c:pt idx="24">
                  <c:v>17.013888888888886</c:v>
                </c:pt>
                <c:pt idx="25">
                  <c:v>17.708333333333332</c:v>
                </c:pt>
                <c:pt idx="26">
                  <c:v>18.402777777777775</c:v>
                </c:pt>
                <c:pt idx="27">
                  <c:v>19.097222222222221</c:v>
                </c:pt>
                <c:pt idx="28">
                  <c:v>19.791666666666664</c:v>
                </c:pt>
                <c:pt idx="29">
                  <c:v>20.486111111111111</c:v>
                </c:pt>
                <c:pt idx="30">
                  <c:v>21.180555555555554</c:v>
                </c:pt>
                <c:pt idx="31">
                  <c:v>21.875</c:v>
                </c:pt>
                <c:pt idx="32">
                  <c:v>22.569444444444443</c:v>
                </c:pt>
                <c:pt idx="33">
                  <c:v>23.263888888888886</c:v>
                </c:pt>
                <c:pt idx="34">
                  <c:v>23.958333333333332</c:v>
                </c:pt>
                <c:pt idx="35">
                  <c:v>24.652777777777775</c:v>
                </c:pt>
                <c:pt idx="36">
                  <c:v>25.347222222222221</c:v>
                </c:pt>
                <c:pt idx="37">
                  <c:v>26.041666666666664</c:v>
                </c:pt>
                <c:pt idx="38">
                  <c:v>26.736111111111111</c:v>
                </c:pt>
                <c:pt idx="39">
                  <c:v>27.430555555555554</c:v>
                </c:pt>
                <c:pt idx="40">
                  <c:v>28.125</c:v>
                </c:pt>
                <c:pt idx="41">
                  <c:v>28.819444444444443</c:v>
                </c:pt>
                <c:pt idx="42">
                  <c:v>29.513888888888886</c:v>
                </c:pt>
                <c:pt idx="43">
                  <c:v>30.208333333333332</c:v>
                </c:pt>
                <c:pt idx="44">
                  <c:v>30.902777777777775</c:v>
                </c:pt>
                <c:pt idx="45">
                  <c:v>31.597222222222221</c:v>
                </c:pt>
                <c:pt idx="46">
                  <c:v>32.291666666666664</c:v>
                </c:pt>
                <c:pt idx="47">
                  <c:v>32.986111111111107</c:v>
                </c:pt>
                <c:pt idx="48">
                  <c:v>33.68055555555555</c:v>
                </c:pt>
                <c:pt idx="49">
                  <c:v>34.375</c:v>
                </c:pt>
                <c:pt idx="50">
                  <c:v>35.069444444444443</c:v>
                </c:pt>
                <c:pt idx="51">
                  <c:v>35.763888888888886</c:v>
                </c:pt>
                <c:pt idx="52">
                  <c:v>36.458333333333329</c:v>
                </c:pt>
                <c:pt idx="53">
                  <c:v>37.152777777777779</c:v>
                </c:pt>
                <c:pt idx="54">
                  <c:v>37.847222222222221</c:v>
                </c:pt>
                <c:pt idx="55">
                  <c:v>38.541666666666664</c:v>
                </c:pt>
                <c:pt idx="56">
                  <c:v>39.236111111111107</c:v>
                </c:pt>
                <c:pt idx="57">
                  <c:v>39.93055555555555</c:v>
                </c:pt>
                <c:pt idx="58">
                  <c:v>40.625</c:v>
                </c:pt>
                <c:pt idx="59">
                  <c:v>41.319444444444443</c:v>
                </c:pt>
                <c:pt idx="60">
                  <c:v>42.013888888888886</c:v>
                </c:pt>
                <c:pt idx="61">
                  <c:v>42.708333333333329</c:v>
                </c:pt>
                <c:pt idx="62">
                  <c:v>43.402777777777779</c:v>
                </c:pt>
                <c:pt idx="63">
                  <c:v>44.097222222222221</c:v>
                </c:pt>
                <c:pt idx="64">
                  <c:v>44.791666666666664</c:v>
                </c:pt>
                <c:pt idx="65">
                  <c:v>45.486111111111107</c:v>
                </c:pt>
                <c:pt idx="66">
                  <c:v>46.18055555555555</c:v>
                </c:pt>
                <c:pt idx="67">
                  <c:v>46.875</c:v>
                </c:pt>
                <c:pt idx="68">
                  <c:v>47.569444444444443</c:v>
                </c:pt>
                <c:pt idx="69">
                  <c:v>48.263888888888886</c:v>
                </c:pt>
                <c:pt idx="70">
                  <c:v>48.958333333333329</c:v>
                </c:pt>
                <c:pt idx="71">
                  <c:v>49.652777777777779</c:v>
                </c:pt>
                <c:pt idx="72">
                  <c:v>50.347222222222221</c:v>
                </c:pt>
                <c:pt idx="73">
                  <c:v>51.041666666666664</c:v>
                </c:pt>
                <c:pt idx="74">
                  <c:v>51.736111111111107</c:v>
                </c:pt>
                <c:pt idx="75">
                  <c:v>52.43055555555555</c:v>
                </c:pt>
                <c:pt idx="76">
                  <c:v>53.125</c:v>
                </c:pt>
                <c:pt idx="77">
                  <c:v>53.819444444444443</c:v>
                </c:pt>
                <c:pt idx="78">
                  <c:v>54.513888888888886</c:v>
                </c:pt>
                <c:pt idx="79">
                  <c:v>55.208333333333329</c:v>
                </c:pt>
                <c:pt idx="80">
                  <c:v>55.902777777777779</c:v>
                </c:pt>
                <c:pt idx="81">
                  <c:v>56.597222222222221</c:v>
                </c:pt>
                <c:pt idx="82">
                  <c:v>57.291666666666664</c:v>
                </c:pt>
                <c:pt idx="83">
                  <c:v>57.986111111111107</c:v>
                </c:pt>
                <c:pt idx="84">
                  <c:v>58.68055555555555</c:v>
                </c:pt>
                <c:pt idx="85">
                  <c:v>59.375</c:v>
                </c:pt>
                <c:pt idx="86">
                  <c:v>60.069444444444443</c:v>
                </c:pt>
                <c:pt idx="87">
                  <c:v>60.763888888888886</c:v>
                </c:pt>
                <c:pt idx="88">
                  <c:v>61.458333333333329</c:v>
                </c:pt>
                <c:pt idx="89">
                  <c:v>62.152777777777771</c:v>
                </c:pt>
                <c:pt idx="90">
                  <c:v>62.847222222222221</c:v>
                </c:pt>
                <c:pt idx="91">
                  <c:v>63.541666666666664</c:v>
                </c:pt>
                <c:pt idx="92">
                  <c:v>64.236111111111114</c:v>
                </c:pt>
                <c:pt idx="93">
                  <c:v>64.930555555555557</c:v>
                </c:pt>
                <c:pt idx="94">
                  <c:v>65.625</c:v>
                </c:pt>
                <c:pt idx="95">
                  <c:v>66.319444444444443</c:v>
                </c:pt>
                <c:pt idx="96">
                  <c:v>67.013888888888886</c:v>
                </c:pt>
                <c:pt idx="97">
                  <c:v>67.708333333333343</c:v>
                </c:pt>
                <c:pt idx="98">
                  <c:v>68.402777777777786</c:v>
                </c:pt>
                <c:pt idx="99">
                  <c:v>69.097222222222229</c:v>
                </c:pt>
                <c:pt idx="100">
                  <c:v>69.791666666666671</c:v>
                </c:pt>
                <c:pt idx="101">
                  <c:v>70.486111111111114</c:v>
                </c:pt>
                <c:pt idx="102">
                  <c:v>71.180555555555557</c:v>
                </c:pt>
                <c:pt idx="103">
                  <c:v>71.875</c:v>
                </c:pt>
                <c:pt idx="104">
                  <c:v>72.569444444444443</c:v>
                </c:pt>
                <c:pt idx="105">
                  <c:v>73.263888888888886</c:v>
                </c:pt>
                <c:pt idx="106">
                  <c:v>73.958333333333343</c:v>
                </c:pt>
                <c:pt idx="107">
                  <c:v>74.652777777777786</c:v>
                </c:pt>
                <c:pt idx="108">
                  <c:v>75.347222222222229</c:v>
                </c:pt>
                <c:pt idx="109">
                  <c:v>76.041666666666671</c:v>
                </c:pt>
                <c:pt idx="110">
                  <c:v>76.736111111111114</c:v>
                </c:pt>
                <c:pt idx="111">
                  <c:v>77.430555555555557</c:v>
                </c:pt>
                <c:pt idx="112">
                  <c:v>78.125</c:v>
                </c:pt>
                <c:pt idx="113">
                  <c:v>78.819444444444443</c:v>
                </c:pt>
                <c:pt idx="114">
                  <c:v>79.513888888888886</c:v>
                </c:pt>
                <c:pt idx="115">
                  <c:v>80.208333333333343</c:v>
                </c:pt>
                <c:pt idx="116">
                  <c:v>80.902777777777786</c:v>
                </c:pt>
                <c:pt idx="117">
                  <c:v>81.597222222222229</c:v>
                </c:pt>
                <c:pt idx="118">
                  <c:v>82.291666666666671</c:v>
                </c:pt>
                <c:pt idx="119">
                  <c:v>82.986111111111114</c:v>
                </c:pt>
                <c:pt idx="120">
                  <c:v>83.680555555555557</c:v>
                </c:pt>
                <c:pt idx="121">
                  <c:v>84.375</c:v>
                </c:pt>
                <c:pt idx="122">
                  <c:v>85.069444444444443</c:v>
                </c:pt>
                <c:pt idx="123">
                  <c:v>85.763888888888886</c:v>
                </c:pt>
                <c:pt idx="124">
                  <c:v>86.458333333333343</c:v>
                </c:pt>
                <c:pt idx="125">
                  <c:v>87.152777777777786</c:v>
                </c:pt>
                <c:pt idx="126">
                  <c:v>87.847222222222229</c:v>
                </c:pt>
                <c:pt idx="127">
                  <c:v>88.541666666666671</c:v>
                </c:pt>
                <c:pt idx="128">
                  <c:v>89.236111111111114</c:v>
                </c:pt>
                <c:pt idx="129">
                  <c:v>89.930555555555557</c:v>
                </c:pt>
                <c:pt idx="130">
                  <c:v>90.625</c:v>
                </c:pt>
                <c:pt idx="131">
                  <c:v>91.319444444444443</c:v>
                </c:pt>
                <c:pt idx="132">
                  <c:v>92.013888888888886</c:v>
                </c:pt>
                <c:pt idx="133">
                  <c:v>92.708333333333343</c:v>
                </c:pt>
                <c:pt idx="134">
                  <c:v>93.402777777777786</c:v>
                </c:pt>
                <c:pt idx="135">
                  <c:v>94.097222222222229</c:v>
                </c:pt>
                <c:pt idx="136">
                  <c:v>94.791666666666671</c:v>
                </c:pt>
                <c:pt idx="137">
                  <c:v>95.486111111111114</c:v>
                </c:pt>
                <c:pt idx="138">
                  <c:v>96.180555555555557</c:v>
                </c:pt>
                <c:pt idx="139">
                  <c:v>96.875</c:v>
                </c:pt>
                <c:pt idx="140">
                  <c:v>97.569444444444443</c:v>
                </c:pt>
                <c:pt idx="141">
                  <c:v>98.263888888888886</c:v>
                </c:pt>
                <c:pt idx="142">
                  <c:v>98.958333333333343</c:v>
                </c:pt>
                <c:pt idx="143">
                  <c:v>99.652777777777786</c:v>
                </c:pt>
              </c:numCache>
            </c:numRef>
          </c:xVal>
          <c:yVal>
            <c:numRef>
              <c:f>'SONIA, Credit, ERP'!$F$28:$F$171</c:f>
              <c:numCache>
                <c:formatCode>General</c:formatCode>
                <c:ptCount val="144"/>
                <c:pt idx="0">
                  <c:v>-7.0047284893671877</c:v>
                </c:pt>
                <c:pt idx="1">
                  <c:v>-4.6868598995851904</c:v>
                </c:pt>
                <c:pt idx="2">
                  <c:v>-4.1526948243374111</c:v>
                </c:pt>
                <c:pt idx="3">
                  <c:v>-3.6875242113072275</c:v>
                </c:pt>
                <c:pt idx="4">
                  <c:v>-3.3442885744124804</c:v>
                </c:pt>
                <c:pt idx="5">
                  <c:v>-3.1231512210139143</c:v>
                </c:pt>
                <c:pt idx="6">
                  <c:v>-2.9682787226250409</c:v>
                </c:pt>
                <c:pt idx="7">
                  <c:v>-2.5680570998352561</c:v>
                </c:pt>
                <c:pt idx="8">
                  <c:v>-2.5280472836281653</c:v>
                </c:pt>
                <c:pt idx="9">
                  <c:v>-2.5046976641667626</c:v>
                </c:pt>
                <c:pt idx="10">
                  <c:v>-2.2568118607420633</c:v>
                </c:pt>
                <c:pt idx="11">
                  <c:v>-1.9001782009329338</c:v>
                </c:pt>
                <c:pt idx="12">
                  <c:v>-1.8423176925388944</c:v>
                </c:pt>
                <c:pt idx="13">
                  <c:v>-1.8267949190726551</c:v>
                </c:pt>
                <c:pt idx="14">
                  <c:v>-1.7163787658669345</c:v>
                </c:pt>
                <c:pt idx="15">
                  <c:v>-1.7024670003016547</c:v>
                </c:pt>
                <c:pt idx="16">
                  <c:v>-1.4912303020014905</c:v>
                </c:pt>
                <c:pt idx="17">
                  <c:v>-1.4816122688402813</c:v>
                </c:pt>
                <c:pt idx="18">
                  <c:v>-1.3850399013585131</c:v>
                </c:pt>
                <c:pt idx="19">
                  <c:v>-1.3845334693391671</c:v>
                </c:pt>
                <c:pt idx="20">
                  <c:v>-1.3312319193447704</c:v>
                </c:pt>
                <c:pt idx="21">
                  <c:v>-1.2793531068196276</c:v>
                </c:pt>
                <c:pt idx="22">
                  <c:v>-1.1425691586862545</c:v>
                </c:pt>
                <c:pt idx="23">
                  <c:v>-1.1072210028407516</c:v>
                </c:pt>
                <c:pt idx="24">
                  <c:v>-1.0801430002995103</c:v>
                </c:pt>
                <c:pt idx="25">
                  <c:v>-0.94912629185626851</c:v>
                </c:pt>
                <c:pt idx="26">
                  <c:v>-0.93339874585644023</c:v>
                </c:pt>
                <c:pt idx="27">
                  <c:v>-0.8739297602339734</c:v>
                </c:pt>
                <c:pt idx="28">
                  <c:v>-0.85098504001589137</c:v>
                </c:pt>
                <c:pt idx="29">
                  <c:v>-0.84486748191592764</c:v>
                </c:pt>
                <c:pt idx="30">
                  <c:v>-0.83998798555617005</c:v>
                </c:pt>
                <c:pt idx="31">
                  <c:v>-0.82038765576752415</c:v>
                </c:pt>
                <c:pt idx="32">
                  <c:v>-0.73047275946122014</c:v>
                </c:pt>
                <c:pt idx="33">
                  <c:v>-0.72114034769675106</c:v>
                </c:pt>
                <c:pt idx="34">
                  <c:v>-0.70844610563042631</c:v>
                </c:pt>
                <c:pt idx="35">
                  <c:v>-0.63980558944311527</c:v>
                </c:pt>
                <c:pt idx="36">
                  <c:v>-0.63321922178810008</c:v>
                </c:pt>
                <c:pt idx="37">
                  <c:v>-0.62523746935851443</c:v>
                </c:pt>
                <c:pt idx="38">
                  <c:v>-0.60205936122706527</c:v>
                </c:pt>
                <c:pt idx="39">
                  <c:v>-0.49649597275839152</c:v>
                </c:pt>
                <c:pt idx="40">
                  <c:v>-0.45287219230992509</c:v>
                </c:pt>
                <c:pt idx="41">
                  <c:v>-0.44945692130845749</c:v>
                </c:pt>
                <c:pt idx="42">
                  <c:v>-0.42414010254649709</c:v>
                </c:pt>
                <c:pt idx="43">
                  <c:v>-0.40587403799491967</c:v>
                </c:pt>
                <c:pt idx="44">
                  <c:v>-0.38364685529762182</c:v>
                </c:pt>
                <c:pt idx="45">
                  <c:v>-0.34952011853591453</c:v>
                </c:pt>
                <c:pt idx="46">
                  <c:v>-0.32059917407416511</c:v>
                </c:pt>
                <c:pt idx="47">
                  <c:v>-0.25809067214290327</c:v>
                </c:pt>
                <c:pt idx="48">
                  <c:v>-0.23417506109101072</c:v>
                </c:pt>
                <c:pt idx="49">
                  <c:v>-0.18651939975316809</c:v>
                </c:pt>
                <c:pt idx="50">
                  <c:v>-0.16023377056929605</c:v>
                </c:pt>
                <c:pt idx="51">
                  <c:v>-0.15960421366991845</c:v>
                </c:pt>
                <c:pt idx="52">
                  <c:v>-0.12574664360828455</c:v>
                </c:pt>
                <c:pt idx="53">
                  <c:v>-3.7635693365227305E-2</c:v>
                </c:pt>
                <c:pt idx="54">
                  <c:v>-2.8872892422191813E-2</c:v>
                </c:pt>
                <c:pt idx="55">
                  <c:v>-2.1093949631446327E-2</c:v>
                </c:pt>
                <c:pt idx="56">
                  <c:v>2.1744398396726858E-3</c:v>
                </c:pt>
                <c:pt idx="57">
                  <c:v>1.3361896540353232E-2</c:v>
                </c:pt>
                <c:pt idx="58">
                  <c:v>1.5244628300109645E-2</c:v>
                </c:pt>
                <c:pt idx="59">
                  <c:v>4.5162099813618559E-2</c:v>
                </c:pt>
                <c:pt idx="60">
                  <c:v>5.5182858323510636E-2</c:v>
                </c:pt>
                <c:pt idx="61">
                  <c:v>6.2862567183433013E-2</c:v>
                </c:pt>
                <c:pt idx="62">
                  <c:v>6.4450144874432388E-2</c:v>
                </c:pt>
                <c:pt idx="63">
                  <c:v>0.17050584189129772</c:v>
                </c:pt>
                <c:pt idx="64">
                  <c:v>0.20128346879376346</c:v>
                </c:pt>
                <c:pt idx="65">
                  <c:v>0.25176219913533959</c:v>
                </c:pt>
                <c:pt idx="66">
                  <c:v>0.27937046819359035</c:v>
                </c:pt>
                <c:pt idx="67">
                  <c:v>0.29248739326307094</c:v>
                </c:pt>
                <c:pt idx="68">
                  <c:v>0.32195109833132546</c:v>
                </c:pt>
                <c:pt idx="69">
                  <c:v>0.3416951439283733</c:v>
                </c:pt>
                <c:pt idx="70">
                  <c:v>0.3941440510082177</c:v>
                </c:pt>
                <c:pt idx="71">
                  <c:v>0.39463790345239053</c:v>
                </c:pt>
                <c:pt idx="72">
                  <c:v>0.44664249623499269</c:v>
                </c:pt>
                <c:pt idx="73">
                  <c:v>0.44906329589973976</c:v>
                </c:pt>
                <c:pt idx="74">
                  <c:v>0.51269214936388086</c:v>
                </c:pt>
                <c:pt idx="75">
                  <c:v>0.54311279831289316</c:v>
                </c:pt>
                <c:pt idx="76">
                  <c:v>0.64991632276644051</c:v>
                </c:pt>
                <c:pt idx="77">
                  <c:v>0.74520035393408268</c:v>
                </c:pt>
                <c:pt idx="78">
                  <c:v>0.76476526172699799</c:v>
                </c:pt>
                <c:pt idx="79">
                  <c:v>0.76715041455256716</c:v>
                </c:pt>
                <c:pt idx="80">
                  <c:v>0.77913542886387466</c:v>
                </c:pt>
                <c:pt idx="81">
                  <c:v>0.79790760681101336</c:v>
                </c:pt>
                <c:pt idx="82">
                  <c:v>0.79930043255834871</c:v>
                </c:pt>
                <c:pt idx="83">
                  <c:v>0.80909571022157933</c:v>
                </c:pt>
                <c:pt idx="84">
                  <c:v>0.8173714702258239</c:v>
                </c:pt>
                <c:pt idx="85">
                  <c:v>0.8220675256694463</c:v>
                </c:pt>
                <c:pt idx="86">
                  <c:v>0.94080499762717185</c:v>
                </c:pt>
                <c:pt idx="87">
                  <c:v>0.98384974618307341</c:v>
                </c:pt>
                <c:pt idx="88">
                  <c:v>1.084910181769061</c:v>
                </c:pt>
                <c:pt idx="89">
                  <c:v>1.088562294937061</c:v>
                </c:pt>
                <c:pt idx="90">
                  <c:v>1.1252408849651883</c:v>
                </c:pt>
                <c:pt idx="91">
                  <c:v>1.1573512190828252</c:v>
                </c:pt>
                <c:pt idx="92">
                  <c:v>1.1607317321410837</c:v>
                </c:pt>
                <c:pt idx="93">
                  <c:v>1.1935119946777377</c:v>
                </c:pt>
                <c:pt idx="94">
                  <c:v>1.2933080083597004</c:v>
                </c:pt>
                <c:pt idx="95">
                  <c:v>1.3006576888791135</c:v>
                </c:pt>
                <c:pt idx="96">
                  <c:v>1.3072997744824202</c:v>
                </c:pt>
                <c:pt idx="97">
                  <c:v>1.3201728926043841</c:v>
                </c:pt>
                <c:pt idx="98">
                  <c:v>1.3282751471537555</c:v>
                </c:pt>
                <c:pt idx="99">
                  <c:v>1.3592930931331151</c:v>
                </c:pt>
                <c:pt idx="100">
                  <c:v>1.3893836371301047</c:v>
                </c:pt>
                <c:pt idx="101">
                  <c:v>1.4570599695124704</c:v>
                </c:pt>
                <c:pt idx="102">
                  <c:v>1.4746501612318974</c:v>
                </c:pt>
                <c:pt idx="103">
                  <c:v>1.4799167353491935</c:v>
                </c:pt>
                <c:pt idx="104">
                  <c:v>1.5120608050198472</c:v>
                </c:pt>
                <c:pt idx="105">
                  <c:v>1.5632378548125487</c:v>
                </c:pt>
                <c:pt idx="106">
                  <c:v>1.5752476292840976</c:v>
                </c:pt>
                <c:pt idx="107">
                  <c:v>1.7130121087748451</c:v>
                </c:pt>
                <c:pt idx="108">
                  <c:v>1.8101887790863302</c:v>
                </c:pt>
                <c:pt idx="109">
                  <c:v>1.8519535193189707</c:v>
                </c:pt>
                <c:pt idx="110">
                  <c:v>1.9551601207275044</c:v>
                </c:pt>
                <c:pt idx="111">
                  <c:v>1.9636320377819911</c:v>
                </c:pt>
                <c:pt idx="112">
                  <c:v>1.9965489332311821</c:v>
                </c:pt>
                <c:pt idx="113">
                  <c:v>2.1127325139720563</c:v>
                </c:pt>
                <c:pt idx="114">
                  <c:v>2.1320616401803507</c:v>
                </c:pt>
                <c:pt idx="115">
                  <c:v>2.1528110708148573</c:v>
                </c:pt>
                <c:pt idx="116">
                  <c:v>2.1554149374730458</c:v>
                </c:pt>
                <c:pt idx="117">
                  <c:v>2.1937669383125291</c:v>
                </c:pt>
                <c:pt idx="118">
                  <c:v>2.2441569439350513</c:v>
                </c:pt>
                <c:pt idx="119">
                  <c:v>2.3109716137805942</c:v>
                </c:pt>
                <c:pt idx="120">
                  <c:v>2.3644571963769208</c:v>
                </c:pt>
                <c:pt idx="121">
                  <c:v>2.3878145236429944</c:v>
                </c:pt>
                <c:pt idx="122">
                  <c:v>2.4047017706743326</c:v>
                </c:pt>
                <c:pt idx="123">
                  <c:v>2.4711222871909655</c:v>
                </c:pt>
                <c:pt idx="124">
                  <c:v>2.5118747000438195</c:v>
                </c:pt>
                <c:pt idx="125">
                  <c:v>2.5198681337412903</c:v>
                </c:pt>
                <c:pt idx="126">
                  <c:v>2.5257042870557784</c:v>
                </c:pt>
                <c:pt idx="127">
                  <c:v>2.5343167951715437</c:v>
                </c:pt>
                <c:pt idx="128">
                  <c:v>2.6303236664701828</c:v>
                </c:pt>
                <c:pt idx="129">
                  <c:v>2.6535892327475388</c:v>
                </c:pt>
                <c:pt idx="130">
                  <c:v>2.664630651168546</c:v>
                </c:pt>
                <c:pt idx="131">
                  <c:v>2.683391280512204</c:v>
                </c:pt>
                <c:pt idx="132">
                  <c:v>2.7070180675265525</c:v>
                </c:pt>
                <c:pt idx="133">
                  <c:v>2.8438546235537174</c:v>
                </c:pt>
                <c:pt idx="134">
                  <c:v>2.8609360739223297</c:v>
                </c:pt>
                <c:pt idx="135">
                  <c:v>3.0698713827378343</c:v>
                </c:pt>
                <c:pt idx="136">
                  <c:v>3.1095108983661892</c:v>
                </c:pt>
                <c:pt idx="137">
                  <c:v>3.1666873562985165</c:v>
                </c:pt>
                <c:pt idx="138">
                  <c:v>3.3950819422879635</c:v>
                </c:pt>
                <c:pt idx="139">
                  <c:v>3.4388141552305238</c:v>
                </c:pt>
                <c:pt idx="140">
                  <c:v>3.580071379617352</c:v>
                </c:pt>
                <c:pt idx="141">
                  <c:v>3.8214888861569447</c:v>
                </c:pt>
                <c:pt idx="142">
                  <c:v>4.5018822436456931</c:v>
                </c:pt>
                <c:pt idx="143">
                  <c:v>5.5867022964527608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82-B040-B03E-3E96C4298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4213312"/>
        <c:axId val="1054215584"/>
      </c:scatterChart>
      <c:valAx>
        <c:axId val="10542133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54215584"/>
        <c:crosses val="autoZero"/>
        <c:crossBetween val="midCat"/>
      </c:valAx>
      <c:valAx>
        <c:axId val="10542155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Asset Returns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54213312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Average SONIA (%)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Data!$R$2:$R$145</c:f>
              <c:numCache>
                <c:formatCode>0.0000</c:formatCode>
                <c:ptCount val="144"/>
                <c:pt idx="0">
                  <c:v>3.5433333333333303E-2</c:v>
                </c:pt>
                <c:pt idx="1">
                  <c:v>3.5841666666666702E-2</c:v>
                </c:pt>
                <c:pt idx="2">
                  <c:v>3.55833333333333E-2</c:v>
                </c:pt>
                <c:pt idx="3">
                  <c:v>3.5825000000000003E-2</c:v>
                </c:pt>
                <c:pt idx="4">
                  <c:v>3.5941666666666698E-2</c:v>
                </c:pt>
                <c:pt idx="5">
                  <c:v>3.58333333333333E-2</c:v>
                </c:pt>
                <c:pt idx="6">
                  <c:v>3.5125000000000003E-2</c:v>
                </c:pt>
                <c:pt idx="7">
                  <c:v>3.5725E-2</c:v>
                </c:pt>
                <c:pt idx="8">
                  <c:v>3.4974999999999999E-2</c:v>
                </c:pt>
                <c:pt idx="9">
                  <c:v>3.4658333333333298E-2</c:v>
                </c:pt>
                <c:pt idx="10">
                  <c:v>3.51666666666667E-2</c:v>
                </c:pt>
                <c:pt idx="11">
                  <c:v>3.5275000000000001E-2</c:v>
                </c:pt>
                <c:pt idx="12">
                  <c:v>3.5424999999999998E-2</c:v>
                </c:pt>
                <c:pt idx="13">
                  <c:v>3.5691666666666698E-2</c:v>
                </c:pt>
                <c:pt idx="14">
                  <c:v>3.5233333333333297E-2</c:v>
                </c:pt>
                <c:pt idx="15">
                  <c:v>3.59916666666667E-2</c:v>
                </c:pt>
                <c:pt idx="16">
                  <c:v>3.5900000000000001E-2</c:v>
                </c:pt>
                <c:pt idx="17">
                  <c:v>3.6041666666666701E-2</c:v>
                </c:pt>
                <c:pt idx="18">
                  <c:v>3.5666666666666701E-2</c:v>
                </c:pt>
                <c:pt idx="19">
                  <c:v>3.6291666666666701E-2</c:v>
                </c:pt>
                <c:pt idx="20">
                  <c:v>3.7591666666666697E-2</c:v>
                </c:pt>
                <c:pt idx="21">
                  <c:v>3.80666666666667E-2</c:v>
                </c:pt>
                <c:pt idx="22">
                  <c:v>3.8116666666666701E-2</c:v>
                </c:pt>
                <c:pt idx="23">
                  <c:v>3.85E-2</c:v>
                </c:pt>
                <c:pt idx="24">
                  <c:v>3.805E-2</c:v>
                </c:pt>
                <c:pt idx="25">
                  <c:v>3.7908333333333301E-2</c:v>
                </c:pt>
                <c:pt idx="26">
                  <c:v>3.8249999999999999E-2</c:v>
                </c:pt>
                <c:pt idx="27">
                  <c:v>3.7866666666666701E-2</c:v>
                </c:pt>
                <c:pt idx="28">
                  <c:v>3.8516666666666699E-2</c:v>
                </c:pt>
                <c:pt idx="29">
                  <c:v>3.8633333333333297E-2</c:v>
                </c:pt>
                <c:pt idx="30">
                  <c:v>3.8124999999999999E-2</c:v>
                </c:pt>
                <c:pt idx="31">
                  <c:v>3.8824999999999998E-2</c:v>
                </c:pt>
                <c:pt idx="32">
                  <c:v>3.8808333333333299E-2</c:v>
                </c:pt>
                <c:pt idx="33">
                  <c:v>3.8716666666666698E-2</c:v>
                </c:pt>
                <c:pt idx="34">
                  <c:v>3.88583333333333E-2</c:v>
                </c:pt>
                <c:pt idx="35">
                  <c:v>3.86083333333333E-2</c:v>
                </c:pt>
                <c:pt idx="36">
                  <c:v>3.83166666666667E-2</c:v>
                </c:pt>
                <c:pt idx="37">
                  <c:v>3.8141666666666699E-2</c:v>
                </c:pt>
                <c:pt idx="38">
                  <c:v>2.0650000000000002E-2</c:v>
                </c:pt>
                <c:pt idx="39">
                  <c:v>1.7749999999999998E-2</c:v>
                </c:pt>
                <c:pt idx="40">
                  <c:v>1.7666666666666699E-2</c:v>
                </c:pt>
                <c:pt idx="41">
                  <c:v>1.7566666666666699E-2</c:v>
                </c:pt>
                <c:pt idx="42">
                  <c:v>1.7708333333333302E-2</c:v>
                </c:pt>
                <c:pt idx="43">
                  <c:v>1.7791666666666699E-2</c:v>
                </c:pt>
                <c:pt idx="44">
                  <c:v>1.755E-2</c:v>
                </c:pt>
                <c:pt idx="45">
                  <c:v>1.7458333333333301E-2</c:v>
                </c:pt>
                <c:pt idx="46">
                  <c:v>1.7616666666666701E-2</c:v>
                </c:pt>
                <c:pt idx="47">
                  <c:v>1.77166666666667E-2</c:v>
                </c:pt>
                <c:pt idx="48">
                  <c:v>1.7675E-2</c:v>
                </c:pt>
                <c:pt idx="49">
                  <c:v>1.77E-2</c:v>
                </c:pt>
                <c:pt idx="50">
                  <c:v>1.7766666666666701E-2</c:v>
                </c:pt>
                <c:pt idx="51">
                  <c:v>1.7691666666666699E-2</c:v>
                </c:pt>
                <c:pt idx="52">
                  <c:v>1.7583333333333302E-2</c:v>
                </c:pt>
                <c:pt idx="53">
                  <c:v>3.7441666666666699E-2</c:v>
                </c:pt>
                <c:pt idx="54">
                  <c:v>3.8491666666666702E-2</c:v>
                </c:pt>
                <c:pt idx="55">
                  <c:v>3.8591666666666698E-2</c:v>
                </c:pt>
                <c:pt idx="56">
                  <c:v>3.8616666666666702E-2</c:v>
                </c:pt>
                <c:pt idx="57">
                  <c:v>3.8641666666666699E-2</c:v>
                </c:pt>
                <c:pt idx="58">
                  <c:v>3.8475000000000002E-2</c:v>
                </c:pt>
                <c:pt idx="59">
                  <c:v>3.7741666666666701E-2</c:v>
                </c:pt>
                <c:pt idx="60">
                  <c:v>3.7558333333333298E-2</c:v>
                </c:pt>
                <c:pt idx="61">
                  <c:v>3.7874999999999999E-2</c:v>
                </c:pt>
                <c:pt idx="62">
                  <c:v>5.7591666666666701E-2</c:v>
                </c:pt>
                <c:pt idx="63">
                  <c:v>5.8433333333333302E-2</c:v>
                </c:pt>
                <c:pt idx="64">
                  <c:v>5.8424999999999998E-2</c:v>
                </c:pt>
                <c:pt idx="65">
                  <c:v>5.8474999999999999E-2</c:v>
                </c:pt>
                <c:pt idx="66">
                  <c:v>5.8549999999999998E-2</c:v>
                </c:pt>
                <c:pt idx="67">
                  <c:v>5.9174999999999998E-2</c:v>
                </c:pt>
                <c:pt idx="68">
                  <c:v>5.9150000000000001E-2</c:v>
                </c:pt>
                <c:pt idx="69">
                  <c:v>5.9233333333333298E-2</c:v>
                </c:pt>
                <c:pt idx="70">
                  <c:v>5.92083333333333E-2</c:v>
                </c:pt>
                <c:pt idx="71">
                  <c:v>5.9174999999999998E-2</c:v>
                </c:pt>
                <c:pt idx="72">
                  <c:v>5.9275000000000001E-2</c:v>
                </c:pt>
                <c:pt idx="73">
                  <c:v>5.9200000000000003E-2</c:v>
                </c:pt>
                <c:pt idx="74">
                  <c:v>2.6599999999999999E-2</c:v>
                </c:pt>
                <c:pt idx="75">
                  <c:v>5.4916666666666699E-3</c:v>
                </c:pt>
                <c:pt idx="76">
                  <c:v>5.61666666666667E-3</c:v>
                </c:pt>
                <c:pt idx="77">
                  <c:v>5.3833333333333303E-3</c:v>
                </c:pt>
                <c:pt idx="78">
                  <c:v>4.9916666666666703E-3</c:v>
                </c:pt>
                <c:pt idx="79">
                  <c:v>4.6833333333333301E-3</c:v>
                </c:pt>
                <c:pt idx="80">
                  <c:v>4.55833333333333E-3</c:v>
                </c:pt>
                <c:pt idx="81">
                  <c:v>4.4833333333333296E-3</c:v>
                </c:pt>
                <c:pt idx="82">
                  <c:v>4.4749999999999998E-3</c:v>
                </c:pt>
                <c:pt idx="83">
                  <c:v>4.1000000000000003E-3</c:v>
                </c:pt>
                <c:pt idx="84">
                  <c:v>4.1166666666666704E-3</c:v>
                </c:pt>
                <c:pt idx="85">
                  <c:v>4.0499999999999998E-3</c:v>
                </c:pt>
                <c:pt idx="86">
                  <c:v>4.0499999999999998E-3</c:v>
                </c:pt>
                <c:pt idx="87">
                  <c:v>4.0499999999999998E-3</c:v>
                </c:pt>
                <c:pt idx="88">
                  <c:v>4.1250000000000002E-3</c:v>
                </c:pt>
                <c:pt idx="89">
                  <c:v>4.15E-3</c:v>
                </c:pt>
                <c:pt idx="90">
                  <c:v>4.2166666666666698E-3</c:v>
                </c:pt>
                <c:pt idx="91">
                  <c:v>4.1999999999999997E-3</c:v>
                </c:pt>
                <c:pt idx="92">
                  <c:v>4.1666666666666701E-3</c:v>
                </c:pt>
                <c:pt idx="93">
                  <c:v>4.1833333333333297E-3</c:v>
                </c:pt>
                <c:pt idx="94">
                  <c:v>3.8999999999999998E-3</c:v>
                </c:pt>
                <c:pt idx="95">
                  <c:v>9.5083333333333304E-3</c:v>
                </c:pt>
                <c:pt idx="96">
                  <c:v>1.6316666666666702E-2</c:v>
                </c:pt>
                <c:pt idx="97">
                  <c:v>3.4991666666666699E-2</c:v>
                </c:pt>
                <c:pt idx="98">
                  <c:v>4.68583333333333E-2</c:v>
                </c:pt>
                <c:pt idx="99">
                  <c:v>5.7549999999999997E-2</c:v>
                </c:pt>
                <c:pt idx="100">
                  <c:v>7.6316666666666699E-2</c:v>
                </c:pt>
                <c:pt idx="101">
                  <c:v>8.9724999999999999E-2</c:v>
                </c:pt>
                <c:pt idx="102">
                  <c:v>9.9233333333333298E-2</c:v>
                </c:pt>
                <c:pt idx="103">
                  <c:v>0.13516666666666699</c:v>
                </c:pt>
                <c:pt idx="104">
                  <c:v>0.154741666666667</c:v>
                </c:pt>
                <c:pt idx="105">
                  <c:v>0.18214166666666701</c:v>
                </c:pt>
                <c:pt idx="106">
                  <c:v>0.23832500000000001</c:v>
                </c:pt>
                <c:pt idx="107">
                  <c:v>0.26482499999999998</c:v>
                </c:pt>
                <c:pt idx="108">
                  <c:v>0.28562500000000002</c:v>
                </c:pt>
                <c:pt idx="109">
                  <c:v>0.32517499999999999</c:v>
                </c:pt>
                <c:pt idx="110">
                  <c:v>0.33359166666666701</c:v>
                </c:pt>
                <c:pt idx="111">
                  <c:v>0.34811666666666702</c:v>
                </c:pt>
                <c:pt idx="112">
                  <c:v>0.36273333333333302</c:v>
                </c:pt>
                <c:pt idx="113">
                  <c:v>0.38226666666666698</c:v>
                </c:pt>
                <c:pt idx="114">
                  <c:v>0.41084999999999999</c:v>
                </c:pt>
                <c:pt idx="115">
                  <c:v>0.43007499999999999</c:v>
                </c:pt>
                <c:pt idx="116">
                  <c:v>0.43211666666666698</c:v>
                </c:pt>
                <c:pt idx="117">
                  <c:v>0.43225833333333302</c:v>
                </c:pt>
                <c:pt idx="118">
                  <c:v>0.43229166666666702</c:v>
                </c:pt>
                <c:pt idx="119">
                  <c:v>0.43225000000000002</c:v>
                </c:pt>
                <c:pt idx="120">
                  <c:v>0.43229166666666702</c:v>
                </c:pt>
                <c:pt idx="121">
                  <c:v>0.43235833333333301</c:v>
                </c:pt>
                <c:pt idx="122">
                  <c:v>0.432425</c:v>
                </c:pt>
                <c:pt idx="123">
                  <c:v>0.43315833333333298</c:v>
                </c:pt>
                <c:pt idx="124">
                  <c:v>0.43333333333333302</c:v>
                </c:pt>
                <c:pt idx="125">
                  <c:v>0.43333333333333302</c:v>
                </c:pt>
                <c:pt idx="126">
                  <c:v>0.43333333333333302</c:v>
                </c:pt>
                <c:pt idx="127">
                  <c:v>0.41249999999999998</c:v>
                </c:pt>
                <c:pt idx="128">
                  <c:v>0.41249999999999998</c:v>
                </c:pt>
                <c:pt idx="129">
                  <c:v>0.41249999999999998</c:v>
                </c:pt>
                <c:pt idx="130">
                  <c:v>0.395633333333333</c:v>
                </c:pt>
                <c:pt idx="131">
                  <c:v>0.391666666666667</c:v>
                </c:pt>
                <c:pt idx="132">
                  <c:v>0.39168333333333299</c:v>
                </c:pt>
                <c:pt idx="133">
                  <c:v>0.37432500000000002</c:v>
                </c:pt>
                <c:pt idx="134">
                  <c:v>0.37129166666666702</c:v>
                </c:pt>
                <c:pt idx="135">
                  <c:v>0.371475</c:v>
                </c:pt>
                <c:pt idx="136">
                  <c:v>0.35503333333333298</c:v>
                </c:pt>
                <c:pt idx="137">
                  <c:v>0.35120000000000001</c:v>
                </c:pt>
                <c:pt idx="138">
                  <c:v>0.35143333333333299</c:v>
                </c:pt>
                <c:pt idx="139">
                  <c:v>0.33476666666666699</c:v>
                </c:pt>
                <c:pt idx="140">
                  <c:v>0.3306</c:v>
                </c:pt>
                <c:pt idx="141">
                  <c:v>0.330683333333333</c:v>
                </c:pt>
                <c:pt idx="142">
                  <c:v>0.33077499999999999</c:v>
                </c:pt>
                <c:pt idx="143">
                  <c:v>0.32324166666666698</c:v>
                </c:pt>
              </c:numCache>
            </c:numRef>
          </c:xVal>
          <c:yVal>
            <c:numRef>
              <c:f>'SONIA, Credit, ERP, Inflation'!$C$29:$C$172</c:f>
              <c:numCache>
                <c:formatCode>General</c:formatCode>
                <c:ptCount val="144"/>
                <c:pt idx="0">
                  <c:v>-1.9925444467259021</c:v>
                </c:pt>
                <c:pt idx="1">
                  <c:v>1.1867191260914929</c:v>
                </c:pt>
                <c:pt idx="2">
                  <c:v>-1.5048909326122315</c:v>
                </c:pt>
                <c:pt idx="3">
                  <c:v>-0.44114756139202393</c:v>
                </c:pt>
                <c:pt idx="4">
                  <c:v>0.61146246183807662</c:v>
                </c:pt>
                <c:pt idx="5">
                  <c:v>-0.26594587581657697</c:v>
                </c:pt>
                <c:pt idx="6">
                  <c:v>1.4316165646912071E-3</c:v>
                </c:pt>
                <c:pt idx="7">
                  <c:v>-2.1330629850210041</c:v>
                </c:pt>
                <c:pt idx="8">
                  <c:v>0.82271428798079649</c:v>
                </c:pt>
                <c:pt idx="9">
                  <c:v>-0.6779963222937464</c:v>
                </c:pt>
                <c:pt idx="10">
                  <c:v>-0.36276941849440714</c:v>
                </c:pt>
                <c:pt idx="11">
                  <c:v>0.41550908462883418</c:v>
                </c:pt>
                <c:pt idx="12">
                  <c:v>-0.75709635523845242</c:v>
                </c:pt>
                <c:pt idx="13">
                  <c:v>0.2094402365094723</c:v>
                </c:pt>
                <c:pt idx="14">
                  <c:v>0.10732679735038753</c:v>
                </c:pt>
                <c:pt idx="15">
                  <c:v>6.1965398221332957E-2</c:v>
                </c:pt>
                <c:pt idx="16">
                  <c:v>-0.5717042919526425</c:v>
                </c:pt>
                <c:pt idx="17">
                  <c:v>1.7845918523506161</c:v>
                </c:pt>
                <c:pt idx="18">
                  <c:v>-0.2906943394253596</c:v>
                </c:pt>
                <c:pt idx="19">
                  <c:v>-0.33797962982057195</c:v>
                </c:pt>
                <c:pt idx="20">
                  <c:v>0.97247922700367861</c:v>
                </c:pt>
                <c:pt idx="21">
                  <c:v>0.54939513038726862</c:v>
                </c:pt>
                <c:pt idx="22">
                  <c:v>-2.1695771476619718E-3</c:v>
                </c:pt>
                <c:pt idx="23">
                  <c:v>0.17197382104231218</c:v>
                </c:pt>
                <c:pt idx="24">
                  <c:v>-1.430009343194399</c:v>
                </c:pt>
                <c:pt idx="25">
                  <c:v>0.82824830166434804</c:v>
                </c:pt>
                <c:pt idx="26">
                  <c:v>-1.6074634158506851</c:v>
                </c:pt>
                <c:pt idx="27">
                  <c:v>6.2355082285432517E-2</c:v>
                </c:pt>
                <c:pt idx="28">
                  <c:v>0.89540256257812323</c:v>
                </c:pt>
                <c:pt idx="29">
                  <c:v>1.0708137370414852</c:v>
                </c:pt>
                <c:pt idx="30">
                  <c:v>0.85580804059833548</c:v>
                </c:pt>
                <c:pt idx="31">
                  <c:v>-0.90420230624244502</c:v>
                </c:pt>
                <c:pt idx="32">
                  <c:v>0.43650684863204181</c:v>
                </c:pt>
                <c:pt idx="33">
                  <c:v>-0.97624767976261406</c:v>
                </c:pt>
                <c:pt idx="34">
                  <c:v>-1.0957414556344922</c:v>
                </c:pt>
                <c:pt idx="35">
                  <c:v>0.25751816598903998</c:v>
                </c:pt>
                <c:pt idx="36">
                  <c:v>1.6184909944247159</c:v>
                </c:pt>
                <c:pt idx="37">
                  <c:v>1.8238350041686502E-2</c:v>
                </c:pt>
                <c:pt idx="38">
                  <c:v>-0.78281892816585841</c:v>
                </c:pt>
                <c:pt idx="39">
                  <c:v>0.87897520675071417</c:v>
                </c:pt>
                <c:pt idx="40">
                  <c:v>1.394488585643382</c:v>
                </c:pt>
                <c:pt idx="41">
                  <c:v>-0.29126569627644561</c:v>
                </c:pt>
                <c:pt idx="42">
                  <c:v>0.58873372249703548</c:v>
                </c:pt>
                <c:pt idx="43">
                  <c:v>-0.52665404278616779</c:v>
                </c:pt>
                <c:pt idx="44">
                  <c:v>0.83583694749362247</c:v>
                </c:pt>
                <c:pt idx="45">
                  <c:v>0.26063836172029958</c:v>
                </c:pt>
                <c:pt idx="46">
                  <c:v>-1.3015808499864867</c:v>
                </c:pt>
                <c:pt idx="47">
                  <c:v>0.77947368175852216</c:v>
                </c:pt>
                <c:pt idx="48">
                  <c:v>-0.56787536358585289</c:v>
                </c:pt>
                <c:pt idx="49">
                  <c:v>1.3152563361130909E-2</c:v>
                </c:pt>
                <c:pt idx="50">
                  <c:v>0.78654653304258637</c:v>
                </c:pt>
                <c:pt idx="51">
                  <c:v>-0.66511895523810938</c:v>
                </c:pt>
                <c:pt idx="52">
                  <c:v>1.0475023786777538</c:v>
                </c:pt>
                <c:pt idx="53">
                  <c:v>-0.17449618520716065</c:v>
                </c:pt>
                <c:pt idx="54">
                  <c:v>1.5827972962524688</c:v>
                </c:pt>
                <c:pt idx="55">
                  <c:v>-0.47646892339081881</c:v>
                </c:pt>
                <c:pt idx="56">
                  <c:v>-0.31053915511368568</c:v>
                </c:pt>
                <c:pt idx="57">
                  <c:v>-1.3882463286612623</c:v>
                </c:pt>
                <c:pt idx="58">
                  <c:v>2.2017748243386137</c:v>
                </c:pt>
                <c:pt idx="59">
                  <c:v>1.7983325749535273</c:v>
                </c:pt>
                <c:pt idx="60">
                  <c:v>0.60007784525331309</c:v>
                </c:pt>
                <c:pt idx="61">
                  <c:v>0.62491454689451431</c:v>
                </c:pt>
                <c:pt idx="62">
                  <c:v>-0.24286917567597455</c:v>
                </c:pt>
                <c:pt idx="63">
                  <c:v>0.29297794683324135</c:v>
                </c:pt>
                <c:pt idx="64">
                  <c:v>-1.7168028343399961</c:v>
                </c:pt>
                <c:pt idx="65">
                  <c:v>0.46631969507294158</c:v>
                </c:pt>
                <c:pt idx="66">
                  <c:v>-2.2954267087767164</c:v>
                </c:pt>
                <c:pt idx="67">
                  <c:v>-1.9957473280673255</c:v>
                </c:pt>
                <c:pt idx="68">
                  <c:v>1.2181147119623148</c:v>
                </c:pt>
                <c:pt idx="69">
                  <c:v>-0.83529580890117872</c:v>
                </c:pt>
                <c:pt idx="70">
                  <c:v>0.97943545422543088</c:v>
                </c:pt>
                <c:pt idx="71">
                  <c:v>0.11986156948758886</c:v>
                </c:pt>
                <c:pt idx="72">
                  <c:v>-0.98175400355082476</c:v>
                </c:pt>
                <c:pt idx="73">
                  <c:v>-2.9640882720984685</c:v>
                </c:pt>
                <c:pt idx="74">
                  <c:v>0.93775127434763661</c:v>
                </c:pt>
                <c:pt idx="75">
                  <c:v>-0.80008949629131987</c:v>
                </c:pt>
                <c:pt idx="76">
                  <c:v>0.53382137526188389</c:v>
                </c:pt>
                <c:pt idx="77">
                  <c:v>0.43310200636009677</c:v>
                </c:pt>
                <c:pt idx="78">
                  <c:v>-2.8094313737034273</c:v>
                </c:pt>
                <c:pt idx="79">
                  <c:v>1.0557644128037795</c:v>
                </c:pt>
                <c:pt idx="80">
                  <c:v>-7.0352737268206733E-2</c:v>
                </c:pt>
                <c:pt idx="81">
                  <c:v>-2.3013841541916937</c:v>
                </c:pt>
                <c:pt idx="82">
                  <c:v>2.5114563386391069</c:v>
                </c:pt>
                <c:pt idx="83">
                  <c:v>0.50128441281362801</c:v>
                </c:pt>
                <c:pt idx="84">
                  <c:v>-0.51417643645712974</c:v>
                </c:pt>
                <c:pt idx="85">
                  <c:v>0.76666382670752331</c:v>
                </c:pt>
                <c:pt idx="86">
                  <c:v>1.3713753535277431</c:v>
                </c:pt>
                <c:pt idx="87">
                  <c:v>1.4815014463278458</c:v>
                </c:pt>
                <c:pt idx="88">
                  <c:v>-0.52991065658092573</c:v>
                </c:pt>
                <c:pt idx="89">
                  <c:v>0.14568368567445922</c:v>
                </c:pt>
                <c:pt idx="90">
                  <c:v>-0.12135187159412597</c:v>
                </c:pt>
                <c:pt idx="91">
                  <c:v>0.88877841109305589</c:v>
                </c:pt>
                <c:pt idx="92">
                  <c:v>-0.82441313868462163</c:v>
                </c:pt>
                <c:pt idx="93">
                  <c:v>0.83338356201686548</c:v>
                </c:pt>
                <c:pt idx="94">
                  <c:v>-0.30168078720399338</c:v>
                </c:pt>
                <c:pt idx="95">
                  <c:v>0.2160113452119572</c:v>
                </c:pt>
                <c:pt idx="96">
                  <c:v>-0.5564818750122662</c:v>
                </c:pt>
                <c:pt idx="97">
                  <c:v>-0.4605483590563384</c:v>
                </c:pt>
                <c:pt idx="98">
                  <c:v>1.1483501761017547</c:v>
                </c:pt>
                <c:pt idx="99">
                  <c:v>0.32325644025939626</c:v>
                </c:pt>
                <c:pt idx="100">
                  <c:v>-1.5118061897016672</c:v>
                </c:pt>
                <c:pt idx="101">
                  <c:v>0.13957261250818842</c:v>
                </c:pt>
                <c:pt idx="102">
                  <c:v>-1.1601831329166474</c:v>
                </c:pt>
                <c:pt idx="103">
                  <c:v>2.1059939909267191</c:v>
                </c:pt>
                <c:pt idx="104">
                  <c:v>-0.81812201951041308</c:v>
                </c:pt>
                <c:pt idx="105">
                  <c:v>-0.8335294981791006</c:v>
                </c:pt>
                <c:pt idx="106">
                  <c:v>-6.8627923428917992E-2</c:v>
                </c:pt>
                <c:pt idx="107">
                  <c:v>-0.68273837782416669</c:v>
                </c:pt>
                <c:pt idx="108">
                  <c:v>0.69052446726470196</c:v>
                </c:pt>
                <c:pt idx="109">
                  <c:v>1.2398098832951312</c:v>
                </c:pt>
                <c:pt idx="110">
                  <c:v>-1.1880492974149399</c:v>
                </c:pt>
                <c:pt idx="111">
                  <c:v>0.73646772363501023</c:v>
                </c:pt>
                <c:pt idx="112">
                  <c:v>-0.25043586771739323</c:v>
                </c:pt>
                <c:pt idx="113">
                  <c:v>0.48815376557875512</c:v>
                </c:pt>
                <c:pt idx="114">
                  <c:v>0.50450441759696463</c:v>
                </c:pt>
                <c:pt idx="115">
                  <c:v>-0.74354578567530283</c:v>
                </c:pt>
                <c:pt idx="116">
                  <c:v>0.31781359077387183</c:v>
                </c:pt>
                <c:pt idx="117">
                  <c:v>-1.5611463923012905</c:v>
                </c:pt>
                <c:pt idx="118">
                  <c:v>-0.1602682058023519</c:v>
                </c:pt>
                <c:pt idx="119">
                  <c:v>0.17259109813163498</c:v>
                </c:pt>
                <c:pt idx="120">
                  <c:v>0.27587823410287304</c:v>
                </c:pt>
                <c:pt idx="121">
                  <c:v>0.74270867531606255</c:v>
                </c:pt>
                <c:pt idx="122">
                  <c:v>1.1939134145442269</c:v>
                </c:pt>
                <c:pt idx="123">
                  <c:v>6.75709347708775E-3</c:v>
                </c:pt>
                <c:pt idx="124">
                  <c:v>-6.9657305019104943E-2</c:v>
                </c:pt>
                <c:pt idx="125">
                  <c:v>0.38900476261361161</c:v>
                </c:pt>
                <c:pt idx="126">
                  <c:v>-0.54719324087032495</c:v>
                </c:pt>
                <c:pt idx="127">
                  <c:v>-0.76865180178242198</c:v>
                </c:pt>
                <c:pt idx="128">
                  <c:v>-0.95384356874060205</c:v>
                </c:pt>
                <c:pt idx="129">
                  <c:v>0.33841030137367556</c:v>
                </c:pt>
                <c:pt idx="130">
                  <c:v>0.85330905224185249</c:v>
                </c:pt>
                <c:pt idx="131">
                  <c:v>-1.026029796344512</c:v>
                </c:pt>
                <c:pt idx="132">
                  <c:v>1.3157657305186341</c:v>
                </c:pt>
                <c:pt idx="133">
                  <c:v>-1.5089751883581493</c:v>
                </c:pt>
                <c:pt idx="134">
                  <c:v>-2.0005128164229311</c:v>
                </c:pt>
                <c:pt idx="135">
                  <c:v>-1.3595091463956352</c:v>
                </c:pt>
                <c:pt idx="136">
                  <c:v>1.5775093407148464</c:v>
                </c:pt>
                <c:pt idx="137">
                  <c:v>0.13519394320635758</c:v>
                </c:pt>
                <c:pt idx="138">
                  <c:v>1.6014251775177362</c:v>
                </c:pt>
                <c:pt idx="139">
                  <c:v>-0.18213345635866773</c:v>
                </c:pt>
                <c:pt idx="140">
                  <c:v>0.68396804090231389</c:v>
                </c:pt>
                <c:pt idx="141">
                  <c:v>1.5926578279037091</c:v>
                </c:pt>
                <c:pt idx="142">
                  <c:v>-0.13737167914446996</c:v>
                </c:pt>
                <c:pt idx="143">
                  <c:v>3.2403291666778022E-2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B36-B448-85E1-84ABC08894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6395392"/>
        <c:axId val="1054114320"/>
      </c:scatterChart>
      <c:valAx>
        <c:axId val="10463953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Average SONIA (%)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1054114320"/>
        <c:crosses val="autoZero"/>
        <c:crossBetween val="midCat"/>
      </c:valAx>
      <c:valAx>
        <c:axId val="10541143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46395392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'SONIA, Credit, ERP, Inflation'!$E$29:$E$172</c:f>
              <c:numCache>
                <c:formatCode>General</c:formatCode>
                <c:ptCount val="144"/>
                <c:pt idx="0">
                  <c:v>0.34722222222222221</c:v>
                </c:pt>
                <c:pt idx="1">
                  <c:v>1.0416666666666665</c:v>
                </c:pt>
                <c:pt idx="2">
                  <c:v>1.7361111111111112</c:v>
                </c:pt>
                <c:pt idx="3">
                  <c:v>2.4305555555555554</c:v>
                </c:pt>
                <c:pt idx="4">
                  <c:v>3.125</c:v>
                </c:pt>
                <c:pt idx="5">
                  <c:v>3.8194444444444446</c:v>
                </c:pt>
                <c:pt idx="6">
                  <c:v>4.5138888888888884</c:v>
                </c:pt>
                <c:pt idx="7">
                  <c:v>5.208333333333333</c:v>
                </c:pt>
                <c:pt idx="8">
                  <c:v>5.9027777777777777</c:v>
                </c:pt>
                <c:pt idx="9">
                  <c:v>6.5972222222222223</c:v>
                </c:pt>
                <c:pt idx="10">
                  <c:v>7.291666666666667</c:v>
                </c:pt>
                <c:pt idx="11">
                  <c:v>7.9861111111111107</c:v>
                </c:pt>
                <c:pt idx="12">
                  <c:v>8.6805555555555536</c:v>
                </c:pt>
                <c:pt idx="13">
                  <c:v>9.3749999999999982</c:v>
                </c:pt>
                <c:pt idx="14">
                  <c:v>10.069444444444443</c:v>
                </c:pt>
                <c:pt idx="15">
                  <c:v>10.763888888888888</c:v>
                </c:pt>
                <c:pt idx="16">
                  <c:v>11.458333333333332</c:v>
                </c:pt>
                <c:pt idx="17">
                  <c:v>12.152777777777777</c:v>
                </c:pt>
                <c:pt idx="18">
                  <c:v>12.847222222222221</c:v>
                </c:pt>
                <c:pt idx="19">
                  <c:v>13.541666666666666</c:v>
                </c:pt>
                <c:pt idx="20">
                  <c:v>14.236111111111111</c:v>
                </c:pt>
                <c:pt idx="21">
                  <c:v>14.930555555555554</c:v>
                </c:pt>
                <c:pt idx="22">
                  <c:v>15.624999999999998</c:v>
                </c:pt>
                <c:pt idx="23">
                  <c:v>16.319444444444443</c:v>
                </c:pt>
                <c:pt idx="24">
                  <c:v>17.013888888888886</c:v>
                </c:pt>
                <c:pt idx="25">
                  <c:v>17.708333333333332</c:v>
                </c:pt>
                <c:pt idx="26">
                  <c:v>18.402777777777775</c:v>
                </c:pt>
                <c:pt idx="27">
                  <c:v>19.097222222222221</c:v>
                </c:pt>
                <c:pt idx="28">
                  <c:v>19.791666666666664</c:v>
                </c:pt>
                <c:pt idx="29">
                  <c:v>20.486111111111111</c:v>
                </c:pt>
                <c:pt idx="30">
                  <c:v>21.180555555555554</c:v>
                </c:pt>
                <c:pt idx="31">
                  <c:v>21.875</c:v>
                </c:pt>
                <c:pt idx="32">
                  <c:v>22.569444444444443</c:v>
                </c:pt>
                <c:pt idx="33">
                  <c:v>23.263888888888886</c:v>
                </c:pt>
                <c:pt idx="34">
                  <c:v>23.958333333333332</c:v>
                </c:pt>
                <c:pt idx="35">
                  <c:v>24.652777777777775</c:v>
                </c:pt>
                <c:pt idx="36">
                  <c:v>25.347222222222221</c:v>
                </c:pt>
                <c:pt idx="37">
                  <c:v>26.041666666666664</c:v>
                </c:pt>
                <c:pt idx="38">
                  <c:v>26.736111111111111</c:v>
                </c:pt>
                <c:pt idx="39">
                  <c:v>27.430555555555554</c:v>
                </c:pt>
                <c:pt idx="40">
                  <c:v>28.125</c:v>
                </c:pt>
                <c:pt idx="41">
                  <c:v>28.819444444444443</c:v>
                </c:pt>
                <c:pt idx="42">
                  <c:v>29.513888888888886</c:v>
                </c:pt>
                <c:pt idx="43">
                  <c:v>30.208333333333332</c:v>
                </c:pt>
                <c:pt idx="44">
                  <c:v>30.902777777777775</c:v>
                </c:pt>
                <c:pt idx="45">
                  <c:v>31.597222222222221</c:v>
                </c:pt>
                <c:pt idx="46">
                  <c:v>32.291666666666664</c:v>
                </c:pt>
                <c:pt idx="47">
                  <c:v>32.986111111111107</c:v>
                </c:pt>
                <c:pt idx="48">
                  <c:v>33.68055555555555</c:v>
                </c:pt>
                <c:pt idx="49">
                  <c:v>34.375</c:v>
                </c:pt>
                <c:pt idx="50">
                  <c:v>35.069444444444443</c:v>
                </c:pt>
                <c:pt idx="51">
                  <c:v>35.763888888888886</c:v>
                </c:pt>
                <c:pt idx="52">
                  <c:v>36.458333333333329</c:v>
                </c:pt>
                <c:pt idx="53">
                  <c:v>37.152777777777779</c:v>
                </c:pt>
                <c:pt idx="54">
                  <c:v>37.847222222222221</c:v>
                </c:pt>
                <c:pt idx="55">
                  <c:v>38.541666666666664</c:v>
                </c:pt>
                <c:pt idx="56">
                  <c:v>39.236111111111107</c:v>
                </c:pt>
                <c:pt idx="57">
                  <c:v>39.93055555555555</c:v>
                </c:pt>
                <c:pt idx="58">
                  <c:v>40.625</c:v>
                </c:pt>
                <c:pt idx="59">
                  <c:v>41.319444444444443</c:v>
                </c:pt>
                <c:pt idx="60">
                  <c:v>42.013888888888886</c:v>
                </c:pt>
                <c:pt idx="61">
                  <c:v>42.708333333333329</c:v>
                </c:pt>
                <c:pt idx="62">
                  <c:v>43.402777777777779</c:v>
                </c:pt>
                <c:pt idx="63">
                  <c:v>44.097222222222221</c:v>
                </c:pt>
                <c:pt idx="64">
                  <c:v>44.791666666666664</c:v>
                </c:pt>
                <c:pt idx="65">
                  <c:v>45.486111111111107</c:v>
                </c:pt>
                <c:pt idx="66">
                  <c:v>46.18055555555555</c:v>
                </c:pt>
                <c:pt idx="67">
                  <c:v>46.875</c:v>
                </c:pt>
                <c:pt idx="68">
                  <c:v>47.569444444444443</c:v>
                </c:pt>
                <c:pt idx="69">
                  <c:v>48.263888888888886</c:v>
                </c:pt>
                <c:pt idx="70">
                  <c:v>48.958333333333329</c:v>
                </c:pt>
                <c:pt idx="71">
                  <c:v>49.652777777777779</c:v>
                </c:pt>
                <c:pt idx="72">
                  <c:v>50.347222222222221</c:v>
                </c:pt>
                <c:pt idx="73">
                  <c:v>51.041666666666664</c:v>
                </c:pt>
                <c:pt idx="74">
                  <c:v>51.736111111111107</c:v>
                </c:pt>
                <c:pt idx="75">
                  <c:v>52.43055555555555</c:v>
                </c:pt>
                <c:pt idx="76">
                  <c:v>53.125</c:v>
                </c:pt>
                <c:pt idx="77">
                  <c:v>53.819444444444443</c:v>
                </c:pt>
                <c:pt idx="78">
                  <c:v>54.513888888888886</c:v>
                </c:pt>
                <c:pt idx="79">
                  <c:v>55.208333333333329</c:v>
                </c:pt>
                <c:pt idx="80">
                  <c:v>55.902777777777779</c:v>
                </c:pt>
                <c:pt idx="81">
                  <c:v>56.597222222222221</c:v>
                </c:pt>
                <c:pt idx="82">
                  <c:v>57.291666666666664</c:v>
                </c:pt>
                <c:pt idx="83">
                  <c:v>57.986111111111107</c:v>
                </c:pt>
                <c:pt idx="84">
                  <c:v>58.68055555555555</c:v>
                </c:pt>
                <c:pt idx="85">
                  <c:v>59.375</c:v>
                </c:pt>
                <c:pt idx="86">
                  <c:v>60.069444444444443</c:v>
                </c:pt>
                <c:pt idx="87">
                  <c:v>60.763888888888886</c:v>
                </c:pt>
                <c:pt idx="88">
                  <c:v>61.458333333333329</c:v>
                </c:pt>
                <c:pt idx="89">
                  <c:v>62.152777777777771</c:v>
                </c:pt>
                <c:pt idx="90">
                  <c:v>62.847222222222221</c:v>
                </c:pt>
                <c:pt idx="91">
                  <c:v>63.541666666666664</c:v>
                </c:pt>
                <c:pt idx="92">
                  <c:v>64.236111111111114</c:v>
                </c:pt>
                <c:pt idx="93">
                  <c:v>64.930555555555557</c:v>
                </c:pt>
                <c:pt idx="94">
                  <c:v>65.625</c:v>
                </c:pt>
                <c:pt idx="95">
                  <c:v>66.319444444444443</c:v>
                </c:pt>
                <c:pt idx="96">
                  <c:v>67.013888888888886</c:v>
                </c:pt>
                <c:pt idx="97">
                  <c:v>67.708333333333343</c:v>
                </c:pt>
                <c:pt idx="98">
                  <c:v>68.402777777777786</c:v>
                </c:pt>
                <c:pt idx="99">
                  <c:v>69.097222222222229</c:v>
                </c:pt>
                <c:pt idx="100">
                  <c:v>69.791666666666671</c:v>
                </c:pt>
                <c:pt idx="101">
                  <c:v>70.486111111111114</c:v>
                </c:pt>
                <c:pt idx="102">
                  <c:v>71.180555555555557</c:v>
                </c:pt>
                <c:pt idx="103">
                  <c:v>71.875</c:v>
                </c:pt>
                <c:pt idx="104">
                  <c:v>72.569444444444443</c:v>
                </c:pt>
                <c:pt idx="105">
                  <c:v>73.263888888888886</c:v>
                </c:pt>
                <c:pt idx="106">
                  <c:v>73.958333333333343</c:v>
                </c:pt>
                <c:pt idx="107">
                  <c:v>74.652777777777786</c:v>
                </c:pt>
                <c:pt idx="108">
                  <c:v>75.347222222222229</c:v>
                </c:pt>
                <c:pt idx="109">
                  <c:v>76.041666666666671</c:v>
                </c:pt>
                <c:pt idx="110">
                  <c:v>76.736111111111114</c:v>
                </c:pt>
                <c:pt idx="111">
                  <c:v>77.430555555555557</c:v>
                </c:pt>
                <c:pt idx="112">
                  <c:v>78.125</c:v>
                </c:pt>
                <c:pt idx="113">
                  <c:v>78.819444444444443</c:v>
                </c:pt>
                <c:pt idx="114">
                  <c:v>79.513888888888886</c:v>
                </c:pt>
                <c:pt idx="115">
                  <c:v>80.208333333333343</c:v>
                </c:pt>
                <c:pt idx="116">
                  <c:v>80.902777777777786</c:v>
                </c:pt>
                <c:pt idx="117">
                  <c:v>81.597222222222229</c:v>
                </c:pt>
                <c:pt idx="118">
                  <c:v>82.291666666666671</c:v>
                </c:pt>
                <c:pt idx="119">
                  <c:v>82.986111111111114</c:v>
                </c:pt>
                <c:pt idx="120">
                  <c:v>83.680555555555557</c:v>
                </c:pt>
                <c:pt idx="121">
                  <c:v>84.375</c:v>
                </c:pt>
                <c:pt idx="122">
                  <c:v>85.069444444444443</c:v>
                </c:pt>
                <c:pt idx="123">
                  <c:v>85.763888888888886</c:v>
                </c:pt>
                <c:pt idx="124">
                  <c:v>86.458333333333343</c:v>
                </c:pt>
                <c:pt idx="125">
                  <c:v>87.152777777777786</c:v>
                </c:pt>
                <c:pt idx="126">
                  <c:v>87.847222222222229</c:v>
                </c:pt>
                <c:pt idx="127">
                  <c:v>88.541666666666671</c:v>
                </c:pt>
                <c:pt idx="128">
                  <c:v>89.236111111111114</c:v>
                </c:pt>
                <c:pt idx="129">
                  <c:v>89.930555555555557</c:v>
                </c:pt>
                <c:pt idx="130">
                  <c:v>90.625</c:v>
                </c:pt>
                <c:pt idx="131">
                  <c:v>91.319444444444443</c:v>
                </c:pt>
                <c:pt idx="132">
                  <c:v>92.013888888888886</c:v>
                </c:pt>
                <c:pt idx="133">
                  <c:v>92.708333333333343</c:v>
                </c:pt>
                <c:pt idx="134">
                  <c:v>93.402777777777786</c:v>
                </c:pt>
                <c:pt idx="135">
                  <c:v>94.097222222222229</c:v>
                </c:pt>
                <c:pt idx="136">
                  <c:v>94.791666666666671</c:v>
                </c:pt>
                <c:pt idx="137">
                  <c:v>95.486111111111114</c:v>
                </c:pt>
                <c:pt idx="138">
                  <c:v>96.180555555555557</c:v>
                </c:pt>
                <c:pt idx="139">
                  <c:v>96.875</c:v>
                </c:pt>
                <c:pt idx="140">
                  <c:v>97.569444444444443</c:v>
                </c:pt>
                <c:pt idx="141">
                  <c:v>98.263888888888886</c:v>
                </c:pt>
                <c:pt idx="142">
                  <c:v>98.958333333333343</c:v>
                </c:pt>
                <c:pt idx="143">
                  <c:v>99.652777777777786</c:v>
                </c:pt>
              </c:numCache>
            </c:numRef>
          </c:xVal>
          <c:yVal>
            <c:numRef>
              <c:f>'SONIA, Credit, ERP, Inflation'!$F$29:$F$172</c:f>
              <c:numCache>
                <c:formatCode>General</c:formatCode>
                <c:ptCount val="144"/>
                <c:pt idx="0">
                  <c:v>-7.0047284893671877</c:v>
                </c:pt>
                <c:pt idx="1">
                  <c:v>-4.6868598995851904</c:v>
                </c:pt>
                <c:pt idx="2">
                  <c:v>-4.1526948243374111</c:v>
                </c:pt>
                <c:pt idx="3">
                  <c:v>-3.6875242113072275</c:v>
                </c:pt>
                <c:pt idx="4">
                  <c:v>-3.3442885744124804</c:v>
                </c:pt>
                <c:pt idx="5">
                  <c:v>-3.1231512210139143</c:v>
                </c:pt>
                <c:pt idx="6">
                  <c:v>-2.9682787226250409</c:v>
                </c:pt>
                <c:pt idx="7">
                  <c:v>-2.5680570998352561</c:v>
                </c:pt>
                <c:pt idx="8">
                  <c:v>-2.5280472836281653</c:v>
                </c:pt>
                <c:pt idx="9">
                  <c:v>-2.5046976641667626</c:v>
                </c:pt>
                <c:pt idx="10">
                  <c:v>-2.2568118607420633</c:v>
                </c:pt>
                <c:pt idx="11">
                  <c:v>-1.9001782009329338</c:v>
                </c:pt>
                <c:pt idx="12">
                  <c:v>-1.8423176925388944</c:v>
                </c:pt>
                <c:pt idx="13">
                  <c:v>-1.8267949190726551</c:v>
                </c:pt>
                <c:pt idx="14">
                  <c:v>-1.7163787658669345</c:v>
                </c:pt>
                <c:pt idx="15">
                  <c:v>-1.7024670003016547</c:v>
                </c:pt>
                <c:pt idx="16">
                  <c:v>-1.4912303020014905</c:v>
                </c:pt>
                <c:pt idx="17">
                  <c:v>-1.4816122688402813</c:v>
                </c:pt>
                <c:pt idx="18">
                  <c:v>-1.3850399013585131</c:v>
                </c:pt>
                <c:pt idx="19">
                  <c:v>-1.3845334693391671</c:v>
                </c:pt>
                <c:pt idx="20">
                  <c:v>-1.3312319193447704</c:v>
                </c:pt>
                <c:pt idx="21">
                  <c:v>-1.2793531068196276</c:v>
                </c:pt>
                <c:pt idx="22">
                  <c:v>-1.1425691586862545</c:v>
                </c:pt>
                <c:pt idx="23">
                  <c:v>-1.1072210028407516</c:v>
                </c:pt>
                <c:pt idx="24">
                  <c:v>-1.0801430002995103</c:v>
                </c:pt>
                <c:pt idx="25">
                  <c:v>-0.94912629185626851</c:v>
                </c:pt>
                <c:pt idx="26">
                  <c:v>-0.93339874585644023</c:v>
                </c:pt>
                <c:pt idx="27">
                  <c:v>-0.8739297602339734</c:v>
                </c:pt>
                <c:pt idx="28">
                  <c:v>-0.85098504001589137</c:v>
                </c:pt>
                <c:pt idx="29">
                  <c:v>-0.84486748191592764</c:v>
                </c:pt>
                <c:pt idx="30">
                  <c:v>-0.83998798555617005</c:v>
                </c:pt>
                <c:pt idx="31">
                  <c:v>-0.82038765576752415</c:v>
                </c:pt>
                <c:pt idx="32">
                  <c:v>-0.73047275946122014</c:v>
                </c:pt>
                <c:pt idx="33">
                  <c:v>-0.72114034769675106</c:v>
                </c:pt>
                <c:pt idx="34">
                  <c:v>-0.70844610563042631</c:v>
                </c:pt>
                <c:pt idx="35">
                  <c:v>-0.63980558944311527</c:v>
                </c:pt>
                <c:pt idx="36">
                  <c:v>-0.63321922178810008</c:v>
                </c:pt>
                <c:pt idx="37">
                  <c:v>-0.62523746935851443</c:v>
                </c:pt>
                <c:pt idx="38">
                  <c:v>-0.60205936122706527</c:v>
                </c:pt>
                <c:pt idx="39">
                  <c:v>-0.49649597275839152</c:v>
                </c:pt>
                <c:pt idx="40">
                  <c:v>-0.45287219230992509</c:v>
                </c:pt>
                <c:pt idx="41">
                  <c:v>-0.44945692130845749</c:v>
                </c:pt>
                <c:pt idx="42">
                  <c:v>-0.42414010254649709</c:v>
                </c:pt>
                <c:pt idx="43">
                  <c:v>-0.40587403799491967</c:v>
                </c:pt>
                <c:pt idx="44">
                  <c:v>-0.38364685529762182</c:v>
                </c:pt>
                <c:pt idx="45">
                  <c:v>-0.34952011853591453</c:v>
                </c:pt>
                <c:pt idx="46">
                  <c:v>-0.32059917407416511</c:v>
                </c:pt>
                <c:pt idx="47">
                  <c:v>-0.25809067214290327</c:v>
                </c:pt>
                <c:pt idx="48">
                  <c:v>-0.23417506109101072</c:v>
                </c:pt>
                <c:pt idx="49">
                  <c:v>-0.18651939975316809</c:v>
                </c:pt>
                <c:pt idx="50">
                  <c:v>-0.16023377056929605</c:v>
                </c:pt>
                <c:pt idx="51">
                  <c:v>-0.15960421366991845</c:v>
                </c:pt>
                <c:pt idx="52">
                  <c:v>-0.12574664360828455</c:v>
                </c:pt>
                <c:pt idx="53">
                  <c:v>-3.7635693365227305E-2</c:v>
                </c:pt>
                <c:pt idx="54">
                  <c:v>-2.8872892422191813E-2</c:v>
                </c:pt>
                <c:pt idx="55">
                  <c:v>-2.1093949631446327E-2</c:v>
                </c:pt>
                <c:pt idx="56">
                  <c:v>2.1744398396726858E-3</c:v>
                </c:pt>
                <c:pt idx="57">
                  <c:v>1.3361896540353232E-2</c:v>
                </c:pt>
                <c:pt idx="58">
                  <c:v>1.5244628300109645E-2</c:v>
                </c:pt>
                <c:pt idx="59">
                  <c:v>4.5162099813618559E-2</c:v>
                </c:pt>
                <c:pt idx="60">
                  <c:v>5.5182858323510636E-2</c:v>
                </c:pt>
                <c:pt idx="61">
                  <c:v>6.2862567183433013E-2</c:v>
                </c:pt>
                <c:pt idx="62">
                  <c:v>6.4450144874432388E-2</c:v>
                </c:pt>
                <c:pt idx="63">
                  <c:v>0.17050584189129772</c:v>
                </c:pt>
                <c:pt idx="64">
                  <c:v>0.20128346879376346</c:v>
                </c:pt>
                <c:pt idx="65">
                  <c:v>0.25176219913533959</c:v>
                </c:pt>
                <c:pt idx="66">
                  <c:v>0.27937046819359035</c:v>
                </c:pt>
                <c:pt idx="67">
                  <c:v>0.29248739326307094</c:v>
                </c:pt>
                <c:pt idx="68">
                  <c:v>0.32195109833132546</c:v>
                </c:pt>
                <c:pt idx="69">
                  <c:v>0.3416951439283733</c:v>
                </c:pt>
                <c:pt idx="70">
                  <c:v>0.3941440510082177</c:v>
                </c:pt>
                <c:pt idx="71">
                  <c:v>0.39463790345239053</c:v>
                </c:pt>
                <c:pt idx="72">
                  <c:v>0.44664249623499269</c:v>
                </c:pt>
                <c:pt idx="73">
                  <c:v>0.44906329589973976</c:v>
                </c:pt>
                <c:pt idx="74">
                  <c:v>0.51269214936388086</c:v>
                </c:pt>
                <c:pt idx="75">
                  <c:v>0.54311279831289316</c:v>
                </c:pt>
                <c:pt idx="76">
                  <c:v>0.64991632276644051</c:v>
                </c:pt>
                <c:pt idx="77">
                  <c:v>0.74520035393408268</c:v>
                </c:pt>
                <c:pt idx="78">
                  <c:v>0.76476526172699799</c:v>
                </c:pt>
                <c:pt idx="79">
                  <c:v>0.76715041455256716</c:v>
                </c:pt>
                <c:pt idx="80">
                  <c:v>0.77913542886387466</c:v>
                </c:pt>
                <c:pt idx="81">
                  <c:v>0.79790760681101336</c:v>
                </c:pt>
                <c:pt idx="82">
                  <c:v>0.79930043255834871</c:v>
                </c:pt>
                <c:pt idx="83">
                  <c:v>0.80909571022157933</c:v>
                </c:pt>
                <c:pt idx="84">
                  <c:v>0.8173714702258239</c:v>
                </c:pt>
                <c:pt idx="85">
                  <c:v>0.8220675256694463</c:v>
                </c:pt>
                <c:pt idx="86">
                  <c:v>0.94080499762717185</c:v>
                </c:pt>
                <c:pt idx="87">
                  <c:v>0.98384974618307341</c:v>
                </c:pt>
                <c:pt idx="88">
                  <c:v>1.084910181769061</c:v>
                </c:pt>
                <c:pt idx="89">
                  <c:v>1.088562294937061</c:v>
                </c:pt>
                <c:pt idx="90">
                  <c:v>1.1252408849651883</c:v>
                </c:pt>
                <c:pt idx="91">
                  <c:v>1.1573512190828252</c:v>
                </c:pt>
                <c:pt idx="92">
                  <c:v>1.1607317321410837</c:v>
                </c:pt>
                <c:pt idx="93">
                  <c:v>1.1935119946777377</c:v>
                </c:pt>
                <c:pt idx="94">
                  <c:v>1.2933080083597004</c:v>
                </c:pt>
                <c:pt idx="95">
                  <c:v>1.3006576888791135</c:v>
                </c:pt>
                <c:pt idx="96">
                  <c:v>1.3072997744824202</c:v>
                </c:pt>
                <c:pt idx="97">
                  <c:v>1.3201728926043841</c:v>
                </c:pt>
                <c:pt idx="98">
                  <c:v>1.3282751471537555</c:v>
                </c:pt>
                <c:pt idx="99">
                  <c:v>1.3592930931331151</c:v>
                </c:pt>
                <c:pt idx="100">
                  <c:v>1.3893836371301047</c:v>
                </c:pt>
                <c:pt idx="101">
                  <c:v>1.4570599695124704</c:v>
                </c:pt>
                <c:pt idx="102">
                  <c:v>1.4746501612318974</c:v>
                </c:pt>
                <c:pt idx="103">
                  <c:v>1.4799167353491935</c:v>
                </c:pt>
                <c:pt idx="104">
                  <c:v>1.5120608050198472</c:v>
                </c:pt>
                <c:pt idx="105">
                  <c:v>1.5632378548125487</c:v>
                </c:pt>
                <c:pt idx="106">
                  <c:v>1.5752476292840976</c:v>
                </c:pt>
                <c:pt idx="107">
                  <c:v>1.7130121087748451</c:v>
                </c:pt>
                <c:pt idx="108">
                  <c:v>1.8101887790863302</c:v>
                </c:pt>
                <c:pt idx="109">
                  <c:v>1.8519535193189707</c:v>
                </c:pt>
                <c:pt idx="110">
                  <c:v>1.9551601207275044</c:v>
                </c:pt>
                <c:pt idx="111">
                  <c:v>1.9636320377819911</c:v>
                </c:pt>
                <c:pt idx="112">
                  <c:v>1.9965489332311821</c:v>
                </c:pt>
                <c:pt idx="113">
                  <c:v>2.1127325139720563</c:v>
                </c:pt>
                <c:pt idx="114">
                  <c:v>2.1320616401803507</c:v>
                </c:pt>
                <c:pt idx="115">
                  <c:v>2.1528110708148573</c:v>
                </c:pt>
                <c:pt idx="116">
                  <c:v>2.1554149374730458</c:v>
                </c:pt>
                <c:pt idx="117">
                  <c:v>2.1937669383125291</c:v>
                </c:pt>
                <c:pt idx="118">
                  <c:v>2.2441569439350513</c:v>
                </c:pt>
                <c:pt idx="119">
                  <c:v>2.3109716137805942</c:v>
                </c:pt>
                <c:pt idx="120">
                  <c:v>2.3644571963769208</c:v>
                </c:pt>
                <c:pt idx="121">
                  <c:v>2.3878145236429944</c:v>
                </c:pt>
                <c:pt idx="122">
                  <c:v>2.4047017706743326</c:v>
                </c:pt>
                <c:pt idx="123">
                  <c:v>2.4711222871909655</c:v>
                </c:pt>
                <c:pt idx="124">
                  <c:v>2.5118747000438195</c:v>
                </c:pt>
                <c:pt idx="125">
                  <c:v>2.5198681337412903</c:v>
                </c:pt>
                <c:pt idx="126">
                  <c:v>2.5257042870557784</c:v>
                </c:pt>
                <c:pt idx="127">
                  <c:v>2.5343167951715437</c:v>
                </c:pt>
                <c:pt idx="128">
                  <c:v>2.6303236664701828</c:v>
                </c:pt>
                <c:pt idx="129">
                  <c:v>2.6535892327475388</c:v>
                </c:pt>
                <c:pt idx="130">
                  <c:v>2.664630651168546</c:v>
                </c:pt>
                <c:pt idx="131">
                  <c:v>2.683391280512204</c:v>
                </c:pt>
                <c:pt idx="132">
                  <c:v>2.7070180675265525</c:v>
                </c:pt>
                <c:pt idx="133">
                  <c:v>2.8438546235537174</c:v>
                </c:pt>
                <c:pt idx="134">
                  <c:v>2.8609360739223297</c:v>
                </c:pt>
                <c:pt idx="135">
                  <c:v>3.0698713827378343</c:v>
                </c:pt>
                <c:pt idx="136">
                  <c:v>3.1095108983661892</c:v>
                </c:pt>
                <c:pt idx="137">
                  <c:v>3.1666873562985165</c:v>
                </c:pt>
                <c:pt idx="138">
                  <c:v>3.3950819422879635</c:v>
                </c:pt>
                <c:pt idx="139">
                  <c:v>3.4388141552305238</c:v>
                </c:pt>
                <c:pt idx="140">
                  <c:v>3.580071379617352</c:v>
                </c:pt>
                <c:pt idx="141">
                  <c:v>3.8214888861569447</c:v>
                </c:pt>
                <c:pt idx="142">
                  <c:v>4.5018822436456931</c:v>
                </c:pt>
                <c:pt idx="143">
                  <c:v>5.5867022964527608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E0-C04A-A57C-327C65A44C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5409872"/>
        <c:axId val="1065402224"/>
      </c:scatterChart>
      <c:valAx>
        <c:axId val="10654098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65402224"/>
        <c:crosses val="autoZero"/>
        <c:crossBetween val="midCat"/>
      </c:valAx>
      <c:valAx>
        <c:axId val="10654022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Asset Returns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65409872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IG Credit Spread (%)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Data!$W$2:$W$145</c:f>
              <c:numCache>
                <c:formatCode>0.0000</c:formatCode>
                <c:ptCount val="144"/>
                <c:pt idx="0">
                  <c:v>-5.1387194346069833</c:v>
                </c:pt>
                <c:pt idx="1">
                  <c:v>2.3484491421995508</c:v>
                </c:pt>
                <c:pt idx="2">
                  <c:v>-0.92319478819390199</c:v>
                </c:pt>
                <c:pt idx="3">
                  <c:v>0.82434767702086331</c:v>
                </c:pt>
                <c:pt idx="4">
                  <c:v>2.0252115715454142</c:v>
                </c:pt>
                <c:pt idx="5">
                  <c:v>-1.4083021680096535</c:v>
                </c:pt>
                <c:pt idx="6">
                  <c:v>-0.89531690384682072</c:v>
                </c:pt>
                <c:pt idx="7">
                  <c:v>2.0846292055168538</c:v>
                </c:pt>
                <c:pt idx="8">
                  <c:v>0.18815829103602541</c:v>
                </c:pt>
                <c:pt idx="9">
                  <c:v>-0.30403984882426438</c:v>
                </c:pt>
                <c:pt idx="10">
                  <c:v>1.2224064307019109</c:v>
                </c:pt>
                <c:pt idx="11">
                  <c:v>1.1188106566869516</c:v>
                </c:pt>
                <c:pt idx="12">
                  <c:v>-0.39386738542473537</c:v>
                </c:pt>
                <c:pt idx="13">
                  <c:v>0.23199314515441699</c:v>
                </c:pt>
                <c:pt idx="14">
                  <c:v>3.0510319131719719</c:v>
                </c:pt>
                <c:pt idx="15">
                  <c:v>-0.57569475557887417</c:v>
                </c:pt>
                <c:pt idx="16">
                  <c:v>0.34508593485068878</c:v>
                </c:pt>
                <c:pt idx="17">
                  <c:v>2.4668637873530348</c:v>
                </c:pt>
                <c:pt idx="18">
                  <c:v>1.3828982966028573</c:v>
                </c:pt>
                <c:pt idx="19">
                  <c:v>5.9348906527047323</c:v>
                </c:pt>
                <c:pt idx="20">
                  <c:v>-3.7396932352934624</c:v>
                </c:pt>
                <c:pt idx="21">
                  <c:v>1.0994857308880885</c:v>
                </c:pt>
                <c:pt idx="22">
                  <c:v>-2.3264834455409638</c:v>
                </c:pt>
                <c:pt idx="23">
                  <c:v>0.27399978476401698</c:v>
                </c:pt>
                <c:pt idx="24">
                  <c:v>-3.7708043023703515</c:v>
                </c:pt>
                <c:pt idx="25">
                  <c:v>2.4312561086316236</c:v>
                </c:pt>
                <c:pt idx="26">
                  <c:v>-2.163876747359093</c:v>
                </c:pt>
                <c:pt idx="27">
                  <c:v>0.5025858772171532</c:v>
                </c:pt>
                <c:pt idx="28">
                  <c:v>1.5012701524955124E-2</c:v>
                </c:pt>
                <c:pt idx="29">
                  <c:v>2.0734306549589543</c:v>
                </c:pt>
                <c:pt idx="30">
                  <c:v>-1.4165022256805997</c:v>
                </c:pt>
                <c:pt idx="31">
                  <c:v>0.66815720708482551</c:v>
                </c:pt>
                <c:pt idx="32">
                  <c:v>-0.80775400785913054</c:v>
                </c:pt>
                <c:pt idx="33">
                  <c:v>3.5954167685518694</c:v>
                </c:pt>
                <c:pt idx="34">
                  <c:v>0.91190414214845739</c:v>
                </c:pt>
                <c:pt idx="35">
                  <c:v>0.85468808124803441</c:v>
                </c:pt>
                <c:pt idx="36">
                  <c:v>3.5664770305249829</c:v>
                </c:pt>
                <c:pt idx="37">
                  <c:v>5.0465169683722939</c:v>
                </c:pt>
                <c:pt idx="38">
                  <c:v>3.4210472846484357</c:v>
                </c:pt>
                <c:pt idx="39">
                  <c:v>-1.9050206096671818</c:v>
                </c:pt>
                <c:pt idx="40">
                  <c:v>-4.4556526959210885</c:v>
                </c:pt>
                <c:pt idx="41">
                  <c:v>-1.6600067055434231</c:v>
                </c:pt>
                <c:pt idx="42">
                  <c:v>2.9503559863160107</c:v>
                </c:pt>
                <c:pt idx="43">
                  <c:v>-1.5202579266307075</c:v>
                </c:pt>
                <c:pt idx="44">
                  <c:v>2.6350509941130018</c:v>
                </c:pt>
                <c:pt idx="45">
                  <c:v>-0.17390455263532517</c:v>
                </c:pt>
                <c:pt idx="46">
                  <c:v>0.72625925846252182</c:v>
                </c:pt>
                <c:pt idx="47">
                  <c:v>1.5534992085354618</c:v>
                </c:pt>
                <c:pt idx="48">
                  <c:v>-1.3128763768352263</c:v>
                </c:pt>
                <c:pt idx="49">
                  <c:v>1.0235515044919676</c:v>
                </c:pt>
                <c:pt idx="50">
                  <c:v>0.87915557139737288</c:v>
                </c:pt>
                <c:pt idx="51">
                  <c:v>-2.0519560737810645</c:v>
                </c:pt>
                <c:pt idx="52">
                  <c:v>0.34628136161819018</c:v>
                </c:pt>
                <c:pt idx="53">
                  <c:v>-0.35419358995709715</c:v>
                </c:pt>
                <c:pt idx="54">
                  <c:v>1.858001601839639</c:v>
                </c:pt>
                <c:pt idx="55">
                  <c:v>-0.8877688063153264</c:v>
                </c:pt>
                <c:pt idx="56">
                  <c:v>-1.3769514272096248</c:v>
                </c:pt>
                <c:pt idx="57">
                  <c:v>0.20136749777207796</c:v>
                </c:pt>
                <c:pt idx="58">
                  <c:v>0.12731740286215751</c:v>
                </c:pt>
                <c:pt idx="59">
                  <c:v>-0.371473926792939</c:v>
                </c:pt>
                <c:pt idx="60">
                  <c:v>-0.41320150136606915</c:v>
                </c:pt>
                <c:pt idx="61">
                  <c:v>0.2551971584802315</c:v>
                </c:pt>
                <c:pt idx="62">
                  <c:v>0.54532839444733927</c:v>
                </c:pt>
                <c:pt idx="63">
                  <c:v>-1.1987084485525838</c:v>
                </c:pt>
                <c:pt idx="64">
                  <c:v>0.20365796077345244</c:v>
                </c:pt>
                <c:pt idx="65">
                  <c:v>-2.1905269483508447</c:v>
                </c:pt>
                <c:pt idx="66">
                  <c:v>1.357859374712971</c:v>
                </c:pt>
                <c:pt idx="67">
                  <c:v>1.0678641457547986</c:v>
                </c:pt>
                <c:pt idx="68">
                  <c:v>-4.062169850005945E-3</c:v>
                </c:pt>
                <c:pt idx="69">
                  <c:v>-0.25340601070870289</c:v>
                </c:pt>
                <c:pt idx="70">
                  <c:v>-0.20371933742089599</c:v>
                </c:pt>
                <c:pt idx="71">
                  <c:v>-6.8036926882462212E-2</c:v>
                </c:pt>
                <c:pt idx="72">
                  <c:v>3.0998066900760599</c:v>
                </c:pt>
                <c:pt idx="73">
                  <c:v>-1.5756409548922983</c:v>
                </c:pt>
                <c:pt idx="74">
                  <c:v>-6.5893968100260576</c:v>
                </c:pt>
                <c:pt idx="75">
                  <c:v>7.3665586735762902</c:v>
                </c:pt>
                <c:pt idx="76">
                  <c:v>1.0916617932992878</c:v>
                </c:pt>
                <c:pt idx="77">
                  <c:v>1.0163751457846373</c:v>
                </c:pt>
                <c:pt idx="78">
                  <c:v>2.1435700279400138</c:v>
                </c:pt>
                <c:pt idx="79">
                  <c:v>-1.204767361587278</c:v>
                </c:pt>
                <c:pt idx="80">
                  <c:v>-1.9469169716171044E-3</c:v>
                </c:pt>
                <c:pt idx="81">
                  <c:v>0.28979934223811843</c:v>
                </c:pt>
                <c:pt idx="82">
                  <c:v>2.3639052440224098</c:v>
                </c:pt>
                <c:pt idx="83">
                  <c:v>1.5490140567033936</c:v>
                </c:pt>
                <c:pt idx="84">
                  <c:v>-1.6477775578392471</c:v>
                </c:pt>
                <c:pt idx="85">
                  <c:v>-3.4798493915758022</c:v>
                </c:pt>
                <c:pt idx="86">
                  <c:v>1.7190145145590065E-2</c:v>
                </c:pt>
                <c:pt idx="87">
                  <c:v>0.3804319559628988</c:v>
                </c:pt>
                <c:pt idx="88">
                  <c:v>0.31001431749484604</c:v>
                </c:pt>
                <c:pt idx="89">
                  <c:v>0.85502216530240871</c:v>
                </c:pt>
                <c:pt idx="90">
                  <c:v>1.6132309956574875</c:v>
                </c:pt>
                <c:pt idx="91">
                  <c:v>-0.22870458134476115</c:v>
                </c:pt>
                <c:pt idx="92">
                  <c:v>-2.8087660797989829</c:v>
                </c:pt>
                <c:pt idx="93">
                  <c:v>0.69722145982741013</c:v>
                </c:pt>
                <c:pt idx="94">
                  <c:v>0.99547551042253035</c:v>
                </c:pt>
                <c:pt idx="95">
                  <c:v>-1.12353903746557</c:v>
                </c:pt>
                <c:pt idx="96">
                  <c:v>-4.0342794589013895</c:v>
                </c:pt>
                <c:pt idx="97">
                  <c:v>-3.1651689144312303</c:v>
                </c:pt>
                <c:pt idx="98">
                  <c:v>0.13326767049501004</c:v>
                </c:pt>
                <c:pt idx="99">
                  <c:v>-3.8653528730622675</c:v>
                </c:pt>
                <c:pt idx="100">
                  <c:v>-1.556403524525015</c:v>
                </c:pt>
                <c:pt idx="101">
                  <c:v>-3.4565692008015478</c:v>
                </c:pt>
                <c:pt idx="102">
                  <c:v>4.373127894277208</c:v>
                </c:pt>
                <c:pt idx="103">
                  <c:v>-8.1411935429504894</c:v>
                </c:pt>
                <c:pt idx="104">
                  <c:v>-9.1415438687040886</c:v>
                </c:pt>
                <c:pt idx="105">
                  <c:v>4.9981561061963475</c:v>
                </c:pt>
                <c:pt idx="106">
                  <c:v>3.7315693621188237</c:v>
                </c:pt>
                <c:pt idx="107">
                  <c:v>-1.6930601373866518</c:v>
                </c:pt>
                <c:pt idx="108">
                  <c:v>3.2693974797429637</c:v>
                </c:pt>
                <c:pt idx="109">
                  <c:v>-3.4044713219137206</c:v>
                </c:pt>
                <c:pt idx="110">
                  <c:v>1.1229372544900045</c:v>
                </c:pt>
                <c:pt idx="111">
                  <c:v>-4.5251950847142508E-2</c:v>
                </c:pt>
                <c:pt idx="112">
                  <c:v>-3.2207902839867755</c:v>
                </c:pt>
                <c:pt idx="113">
                  <c:v>-1.5304704600210068</c:v>
                </c:pt>
                <c:pt idx="114">
                  <c:v>2.0217015238879137</c:v>
                </c:pt>
                <c:pt idx="115">
                  <c:v>-0.73548575994241516</c:v>
                </c:pt>
                <c:pt idx="116">
                  <c:v>-0.41335762746622851</c:v>
                </c:pt>
                <c:pt idx="117">
                  <c:v>-0.46656124638286833</c:v>
                </c:pt>
                <c:pt idx="118">
                  <c:v>3.4138089910941942</c:v>
                </c:pt>
                <c:pt idx="119">
                  <c:v>4.4012225363925044</c:v>
                </c:pt>
                <c:pt idx="120">
                  <c:v>-1.5196917747234271</c:v>
                </c:pt>
                <c:pt idx="121">
                  <c:v>-1.062073375074631</c:v>
                </c:pt>
                <c:pt idx="122">
                  <c:v>1.477489362217179</c:v>
                </c:pt>
                <c:pt idx="123">
                  <c:v>-2.3781283099238917</c:v>
                </c:pt>
                <c:pt idx="124">
                  <c:v>0.47811004572060589</c:v>
                </c:pt>
                <c:pt idx="125">
                  <c:v>0.44551959930867541</c:v>
                </c:pt>
                <c:pt idx="126">
                  <c:v>1.3614075313738643</c:v>
                </c:pt>
                <c:pt idx="127">
                  <c:v>-7.7650136808625758E-3</c:v>
                </c:pt>
                <c:pt idx="128">
                  <c:v>-0.12972116439056908</c:v>
                </c:pt>
                <c:pt idx="129">
                  <c:v>-1.6695833580904584</c:v>
                </c:pt>
                <c:pt idx="130">
                  <c:v>1.4530967525660716</c:v>
                </c:pt>
                <c:pt idx="131">
                  <c:v>-0.78143310266141697</c:v>
                </c:pt>
                <c:pt idx="132">
                  <c:v>0.34908255979636738</c:v>
                </c:pt>
                <c:pt idx="133">
                  <c:v>0.13535969057984193</c:v>
                </c:pt>
                <c:pt idx="134">
                  <c:v>-1.8716624465378884</c:v>
                </c:pt>
                <c:pt idx="135">
                  <c:v>1.2656565827966442</c:v>
                </c:pt>
                <c:pt idx="136">
                  <c:v>-0.42014204580768427</c:v>
                </c:pt>
                <c:pt idx="137">
                  <c:v>1.4055246320234833</c:v>
                </c:pt>
                <c:pt idx="138">
                  <c:v>-2.3798636141916241E-2</c:v>
                </c:pt>
                <c:pt idx="139">
                  <c:v>-0.94564972218921284</c:v>
                </c:pt>
                <c:pt idx="140">
                  <c:v>0.73546966098117694</c:v>
                </c:pt>
                <c:pt idx="141">
                  <c:v>1.7116922764778253</c:v>
                </c:pt>
                <c:pt idx="142">
                  <c:v>-0.26362362275971585</c:v>
                </c:pt>
                <c:pt idx="143">
                  <c:v>0.22777557059858333</c:v>
                </c:pt>
              </c:numCache>
            </c:numRef>
          </c:xVal>
          <c:yVal>
            <c:numRef>
              <c:f>'Credit, ERP, Inflation'!$C$28:$C$171</c:f>
              <c:numCache>
                <c:formatCode>General</c:formatCode>
                <c:ptCount val="144"/>
                <c:pt idx="0">
                  <c:v>-1.8233693744648329</c:v>
                </c:pt>
                <c:pt idx="1">
                  <c:v>1.3422875600239745</c:v>
                </c:pt>
                <c:pt idx="2">
                  <c:v>-1.3348353114009159</c:v>
                </c:pt>
                <c:pt idx="3">
                  <c:v>-0.27611789649834595</c:v>
                </c:pt>
                <c:pt idx="4">
                  <c:v>0.77049125797549856</c:v>
                </c:pt>
                <c:pt idx="5">
                  <c:v>-9.8394831741556998E-2</c:v>
                </c:pt>
                <c:pt idx="6">
                  <c:v>0.16304439522922459</c:v>
                </c:pt>
                <c:pt idx="7">
                  <c:v>-1.9684216341426264</c:v>
                </c:pt>
                <c:pt idx="8">
                  <c:v>0.9851282757093387</c:v>
                </c:pt>
                <c:pt idx="9">
                  <c:v>-0.51879721965685976</c:v>
                </c:pt>
                <c:pt idx="10">
                  <c:v>-0.20627336403705909</c:v>
                </c:pt>
                <c:pt idx="11">
                  <c:v>0.57152585585346083</c:v>
                </c:pt>
                <c:pt idx="12">
                  <c:v>-0.60597124625905407</c:v>
                </c:pt>
                <c:pt idx="13">
                  <c:v>0.36726028562186686</c:v>
                </c:pt>
                <c:pt idx="14">
                  <c:v>0.25717680348974947</c:v>
                </c:pt>
                <c:pt idx="15">
                  <c:v>0.22377597916231684</c:v>
                </c:pt>
                <c:pt idx="16">
                  <c:v>-0.41556724588944516</c:v>
                </c:pt>
                <c:pt idx="17">
                  <c:v>1.9318572039424127</c:v>
                </c:pt>
                <c:pt idx="18">
                  <c:v>-0.15239138339739863</c:v>
                </c:pt>
                <c:pt idx="19">
                  <c:v>-0.20537689679656346</c:v>
                </c:pt>
                <c:pt idx="20">
                  <c:v>1.1138830023427444</c:v>
                </c:pt>
                <c:pt idx="21">
                  <c:v>0.69135292107207458</c:v>
                </c:pt>
                <c:pt idx="22">
                  <c:v>0.13538988592939127</c:v>
                </c:pt>
                <c:pt idx="23">
                  <c:v>0.30586899464914158</c:v>
                </c:pt>
                <c:pt idx="24">
                  <c:v>-1.2931836282131921</c:v>
                </c:pt>
                <c:pt idx="25">
                  <c:v>0.95089389164737637</c:v>
                </c:pt>
                <c:pt idx="26">
                  <c:v>-1.4757938642940629</c:v>
                </c:pt>
                <c:pt idx="27">
                  <c:v>0.19704440244763644</c:v>
                </c:pt>
                <c:pt idx="28">
                  <c:v>1.0169808499038819</c:v>
                </c:pt>
                <c:pt idx="29">
                  <c:v>1.1956157803123202</c:v>
                </c:pt>
                <c:pt idx="30">
                  <c:v>0.95123567462756031</c:v>
                </c:pt>
                <c:pt idx="31">
                  <c:v>-0.82726977705706395</c:v>
                </c:pt>
                <c:pt idx="32">
                  <c:v>0.49995586313816787</c:v>
                </c:pt>
                <c:pt idx="33">
                  <c:v>-0.92703493090827305</c:v>
                </c:pt>
                <c:pt idx="34">
                  <c:v>-1.0459049711432613</c:v>
                </c:pt>
                <c:pt idx="35">
                  <c:v>0.31152233969793391</c:v>
                </c:pt>
                <c:pt idx="36">
                  <c:v>1.6638630230596014</c:v>
                </c:pt>
                <c:pt idx="37">
                  <c:v>5.2348809243694117E-2</c:v>
                </c:pt>
                <c:pt idx="38">
                  <c:v>-0.80991465639771865</c:v>
                </c:pt>
                <c:pt idx="39">
                  <c:v>0.85415837302083775</c:v>
                </c:pt>
                <c:pt idx="40">
                  <c:v>1.3760633999350986</c:v>
                </c:pt>
                <c:pt idx="41">
                  <c:v>-0.31285439472570642</c:v>
                </c:pt>
                <c:pt idx="42">
                  <c:v>0.51926271106058985</c:v>
                </c:pt>
                <c:pt idx="43">
                  <c:v>-0.61548118059854384</c:v>
                </c:pt>
                <c:pt idx="44">
                  <c:v>0.73646892117853646</c:v>
                </c:pt>
                <c:pt idx="45">
                  <c:v>0.13352356225244139</c:v>
                </c:pt>
                <c:pt idx="46">
                  <c:v>-1.4595319165105609</c:v>
                </c:pt>
                <c:pt idx="47">
                  <c:v>0.61839905627757186</c:v>
                </c:pt>
                <c:pt idx="48">
                  <c:v>-0.75972492495613397</c:v>
                </c:pt>
                <c:pt idx="49">
                  <c:v>-0.21207956013341156</c:v>
                </c:pt>
                <c:pt idx="50">
                  <c:v>0.56210727740644972</c:v>
                </c:pt>
                <c:pt idx="51">
                  <c:v>-0.88539766909931572</c:v>
                </c:pt>
                <c:pt idx="52">
                  <c:v>0.82221039259360662</c:v>
                </c:pt>
                <c:pt idx="53">
                  <c:v>-0.33194364998121367</c:v>
                </c:pt>
                <c:pt idx="54">
                  <c:v>1.3861332797550794</c:v>
                </c:pt>
                <c:pt idx="55">
                  <c:v>-0.70307136490930022</c:v>
                </c:pt>
                <c:pt idx="56">
                  <c:v>-0.53129312254084671</c:v>
                </c:pt>
                <c:pt idx="57">
                  <c:v>-1.6326464911526182</c:v>
                </c:pt>
                <c:pt idx="58">
                  <c:v>1.9118746085409746</c:v>
                </c:pt>
                <c:pt idx="59">
                  <c:v>1.5056811163748738</c:v>
                </c:pt>
                <c:pt idx="60">
                  <c:v>0.27528897919647199</c:v>
                </c:pt>
                <c:pt idx="61">
                  <c:v>0.2732781065337786</c:v>
                </c:pt>
                <c:pt idx="62">
                  <c:v>-0.52327415414284439</c:v>
                </c:pt>
                <c:pt idx="63">
                  <c:v>7.8522346846537222E-3</c:v>
                </c:pt>
                <c:pt idx="64">
                  <c:v>-2.0571586794100996</c:v>
                </c:pt>
                <c:pt idx="65">
                  <c:v>0.12938134843059623</c:v>
                </c:pt>
                <c:pt idx="66">
                  <c:v>-2.6439693687679724</c:v>
                </c:pt>
                <c:pt idx="67">
                  <c:v>-2.3269511859309739</c:v>
                </c:pt>
                <c:pt idx="68">
                  <c:v>0.9097244305345672</c:v>
                </c:pt>
                <c:pt idx="69">
                  <c:v>-1.08539745063544</c:v>
                </c:pt>
                <c:pt idx="70">
                  <c:v>0.79886465926903716</c:v>
                </c:pt>
                <c:pt idx="71">
                  <c:v>-6.3269673450349395E-2</c:v>
                </c:pt>
                <c:pt idx="72">
                  <c:v>-1.1766320257070702</c:v>
                </c:pt>
                <c:pt idx="73">
                  <c:v>-3.1672550680699345</c:v>
                </c:pt>
                <c:pt idx="74">
                  <c:v>0.91664876471065693</c:v>
                </c:pt>
                <c:pt idx="75">
                  <c:v>-0.80128846249216235</c:v>
                </c:pt>
                <c:pt idx="76">
                  <c:v>0.53241812098372643</c:v>
                </c:pt>
                <c:pt idx="77">
                  <c:v>0.4147643587626062</c:v>
                </c:pt>
                <c:pt idx="78">
                  <c:v>-2.8405599027635984</c:v>
                </c:pt>
                <c:pt idx="79">
                  <c:v>1.0232739245437603</c:v>
                </c:pt>
                <c:pt idx="80">
                  <c:v>-9.6938111611112932E-2</c:v>
                </c:pt>
                <c:pt idx="81">
                  <c:v>-2.3336520695272145</c:v>
                </c:pt>
                <c:pt idx="82">
                  <c:v>2.4634275845124352</c:v>
                </c:pt>
                <c:pt idx="83">
                  <c:v>0.45442266496381101</c:v>
                </c:pt>
                <c:pt idx="84">
                  <c:v>-0.54710788837852942</c:v>
                </c:pt>
                <c:pt idx="85">
                  <c:v>0.74581181898031013</c:v>
                </c:pt>
                <c:pt idx="86">
                  <c:v>1.356663390903085</c:v>
                </c:pt>
                <c:pt idx="87">
                  <c:v>1.4683638378703523</c:v>
                </c:pt>
                <c:pt idx="88">
                  <c:v>-0.53215595530013848</c:v>
                </c:pt>
                <c:pt idx="89">
                  <c:v>0.14216261483465864</c:v>
                </c:pt>
                <c:pt idx="90">
                  <c:v>-0.12930329669149754</c:v>
                </c:pt>
                <c:pt idx="91">
                  <c:v>0.88732577673910962</c:v>
                </c:pt>
                <c:pt idx="92">
                  <c:v>-0.81372216947161147</c:v>
                </c:pt>
                <c:pt idx="93">
                  <c:v>0.84486803864410498</c:v>
                </c:pt>
                <c:pt idx="94">
                  <c:v>-0.28991475690876145</c:v>
                </c:pt>
                <c:pt idx="95">
                  <c:v>0.24812613532024286</c:v>
                </c:pt>
                <c:pt idx="96">
                  <c:v>-0.48492404095676722</c:v>
                </c:pt>
                <c:pt idx="97">
                  <c:v>-0.32246479545495932</c:v>
                </c:pt>
                <c:pt idx="98">
                  <c:v>1.2927337833147621</c:v>
                </c:pt>
                <c:pt idx="99">
                  <c:v>0.48036423758552038</c:v>
                </c:pt>
                <c:pt idx="100">
                  <c:v>-1.4076627490456914</c:v>
                </c:pt>
                <c:pt idx="101">
                  <c:v>0.1931179891505308</c:v>
                </c:pt>
                <c:pt idx="102">
                  <c:v>-1.2370029692702547</c:v>
                </c:pt>
                <c:pt idx="103">
                  <c:v>2.0084828160022967</c:v>
                </c:pt>
                <c:pt idx="104">
                  <c:v>-0.90063461440600667</c:v>
                </c:pt>
                <c:pt idx="105">
                  <c:v>-0.98473125657480498</c:v>
                </c:pt>
                <c:pt idx="106">
                  <c:v>-0.22042052643485244</c:v>
                </c:pt>
                <c:pt idx="107">
                  <c:v>-0.81995266959382129</c:v>
                </c:pt>
                <c:pt idx="108">
                  <c:v>0.5500857997502524</c:v>
                </c:pt>
                <c:pt idx="109">
                  <c:v>1.1860788806097211</c:v>
                </c:pt>
                <c:pt idx="110">
                  <c:v>-1.2372012722661494</c:v>
                </c:pt>
                <c:pt idx="111">
                  <c:v>0.68854425098568994</c:v>
                </c:pt>
                <c:pt idx="112">
                  <c:v>-0.30225168466812224</c:v>
                </c:pt>
                <c:pt idx="113">
                  <c:v>0.4889269466754611</c:v>
                </c:pt>
                <c:pt idx="114">
                  <c:v>0.58623500602292977</c:v>
                </c:pt>
                <c:pt idx="115">
                  <c:v>-0.64312924437870544</c:v>
                </c:pt>
                <c:pt idx="116">
                  <c:v>0.4293759335691022</c:v>
                </c:pt>
                <c:pt idx="117">
                  <c:v>-1.4424380927022569</c:v>
                </c:pt>
                <c:pt idx="118">
                  <c:v>-5.9815718543426044E-2</c:v>
                </c:pt>
                <c:pt idx="119">
                  <c:v>0.2681155266263211</c:v>
                </c:pt>
                <c:pt idx="120">
                  <c:v>0.38223878098080444</c:v>
                </c:pt>
                <c:pt idx="121">
                  <c:v>0.84297370290422835</c:v>
                </c:pt>
                <c:pt idx="122">
                  <c:v>1.2863902171220534</c:v>
                </c:pt>
                <c:pt idx="123">
                  <c:v>0.11177117832880179</c:v>
                </c:pt>
                <c:pt idx="124">
                  <c:v>2.7501581785258411E-2</c:v>
                </c:pt>
                <c:pt idx="125">
                  <c:v>0.48450586441904719</c:v>
                </c:pt>
                <c:pt idx="126">
                  <c:v>-0.45690732270442058</c:v>
                </c:pt>
                <c:pt idx="127">
                  <c:v>-0.74793245427256416</c:v>
                </c:pt>
                <c:pt idx="128">
                  <c:v>-0.88209029088381363</c:v>
                </c:pt>
                <c:pt idx="129">
                  <c:v>0.49506687686471429</c:v>
                </c:pt>
                <c:pt idx="130">
                  <c:v>0.99326837821096414</c:v>
                </c:pt>
                <c:pt idx="131">
                  <c:v>-0.85174890388412883</c:v>
                </c:pt>
                <c:pt idx="132">
                  <c:v>1.5283711447703698</c:v>
                </c:pt>
                <c:pt idx="133">
                  <c:v>-1.3558561123485884</c:v>
                </c:pt>
                <c:pt idx="134">
                  <c:v>-1.8436086304182573</c:v>
                </c:pt>
                <c:pt idx="135">
                  <c:v>-1.2015495632584199</c:v>
                </c:pt>
                <c:pt idx="136">
                  <c:v>1.6701313834319214</c:v>
                </c:pt>
                <c:pt idx="137">
                  <c:v>0.20908934973488691</c:v>
                </c:pt>
                <c:pt idx="138">
                  <c:v>1.6748364763844568</c:v>
                </c:pt>
                <c:pt idx="139">
                  <c:v>-0.1649876108018129</c:v>
                </c:pt>
                <c:pt idx="140">
                  <c:v>0.71255293524372565</c:v>
                </c:pt>
                <c:pt idx="141">
                  <c:v>1.6554663026693177</c:v>
                </c:pt>
                <c:pt idx="142">
                  <c:v>-1.194897985152861E-2</c:v>
                </c:pt>
                <c:pt idx="143">
                  <c:v>0.17317434184801644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7E8-F540-9C9C-7D3940A27E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6345008"/>
        <c:axId val="1378253504"/>
      </c:scatterChart>
      <c:valAx>
        <c:axId val="1056345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IG Credit Spread (%)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1378253504"/>
        <c:crosses val="autoZero"/>
        <c:crossBetween val="midCat"/>
      </c:valAx>
      <c:valAx>
        <c:axId val="13782535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56345008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IG Credit Spread (%)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Asset Returns (%)</c:v>
          </c:tx>
          <c:spPr>
            <a:ln w="19050">
              <a:noFill/>
            </a:ln>
          </c:spPr>
          <c:xVal>
            <c:numRef>
              <c:f>Data!$W$2:$W$145</c:f>
              <c:numCache>
                <c:formatCode>0.0000</c:formatCode>
                <c:ptCount val="144"/>
                <c:pt idx="0">
                  <c:v>-5.1387194346069833</c:v>
                </c:pt>
                <c:pt idx="1">
                  <c:v>2.3484491421995508</c:v>
                </c:pt>
                <c:pt idx="2">
                  <c:v>-0.92319478819390199</c:v>
                </c:pt>
                <c:pt idx="3">
                  <c:v>0.82434767702086331</c:v>
                </c:pt>
                <c:pt idx="4">
                  <c:v>2.0252115715454142</c:v>
                </c:pt>
                <c:pt idx="5">
                  <c:v>-1.4083021680096535</c:v>
                </c:pt>
                <c:pt idx="6">
                  <c:v>-0.89531690384682072</c:v>
                </c:pt>
                <c:pt idx="7">
                  <c:v>2.0846292055168538</c:v>
                </c:pt>
                <c:pt idx="8">
                  <c:v>0.18815829103602541</c:v>
                </c:pt>
                <c:pt idx="9">
                  <c:v>-0.30403984882426438</c:v>
                </c:pt>
                <c:pt idx="10">
                  <c:v>1.2224064307019109</c:v>
                </c:pt>
                <c:pt idx="11">
                  <c:v>1.1188106566869516</c:v>
                </c:pt>
                <c:pt idx="12">
                  <c:v>-0.39386738542473537</c:v>
                </c:pt>
                <c:pt idx="13">
                  <c:v>0.23199314515441699</c:v>
                </c:pt>
                <c:pt idx="14">
                  <c:v>3.0510319131719719</c:v>
                </c:pt>
                <c:pt idx="15">
                  <c:v>-0.57569475557887417</c:v>
                </c:pt>
                <c:pt idx="16">
                  <c:v>0.34508593485068878</c:v>
                </c:pt>
                <c:pt idx="17">
                  <c:v>2.4668637873530348</c:v>
                </c:pt>
                <c:pt idx="18">
                  <c:v>1.3828982966028573</c:v>
                </c:pt>
                <c:pt idx="19">
                  <c:v>5.9348906527047323</c:v>
                </c:pt>
                <c:pt idx="20">
                  <c:v>-3.7396932352934624</c:v>
                </c:pt>
                <c:pt idx="21">
                  <c:v>1.0994857308880885</c:v>
                </c:pt>
                <c:pt idx="22">
                  <c:v>-2.3264834455409638</c:v>
                </c:pt>
                <c:pt idx="23">
                  <c:v>0.27399978476401698</c:v>
                </c:pt>
                <c:pt idx="24">
                  <c:v>-3.7708043023703515</c:v>
                </c:pt>
                <c:pt idx="25">
                  <c:v>2.4312561086316236</c:v>
                </c:pt>
                <c:pt idx="26">
                  <c:v>-2.163876747359093</c:v>
                </c:pt>
                <c:pt idx="27">
                  <c:v>0.5025858772171532</c:v>
                </c:pt>
                <c:pt idx="28">
                  <c:v>1.5012701524955124E-2</c:v>
                </c:pt>
                <c:pt idx="29">
                  <c:v>2.0734306549589543</c:v>
                </c:pt>
                <c:pt idx="30">
                  <c:v>-1.4165022256805997</c:v>
                </c:pt>
                <c:pt idx="31">
                  <c:v>0.66815720708482551</c:v>
                </c:pt>
                <c:pt idx="32">
                  <c:v>-0.80775400785913054</c:v>
                </c:pt>
                <c:pt idx="33">
                  <c:v>3.5954167685518694</c:v>
                </c:pt>
                <c:pt idx="34">
                  <c:v>0.91190414214845739</c:v>
                </c:pt>
                <c:pt idx="35">
                  <c:v>0.85468808124803441</c:v>
                </c:pt>
                <c:pt idx="36">
                  <c:v>3.5664770305249829</c:v>
                </c:pt>
                <c:pt idx="37">
                  <c:v>5.0465169683722939</c:v>
                </c:pt>
                <c:pt idx="38">
                  <c:v>3.4210472846484357</c:v>
                </c:pt>
                <c:pt idx="39">
                  <c:v>-1.9050206096671818</c:v>
                </c:pt>
                <c:pt idx="40">
                  <c:v>-4.4556526959210885</c:v>
                </c:pt>
                <c:pt idx="41">
                  <c:v>-1.6600067055434231</c:v>
                </c:pt>
                <c:pt idx="42">
                  <c:v>2.9503559863160107</c:v>
                </c:pt>
                <c:pt idx="43">
                  <c:v>-1.5202579266307075</c:v>
                </c:pt>
                <c:pt idx="44">
                  <c:v>2.6350509941130018</c:v>
                </c:pt>
                <c:pt idx="45">
                  <c:v>-0.17390455263532517</c:v>
                </c:pt>
                <c:pt idx="46">
                  <c:v>0.72625925846252182</c:v>
                </c:pt>
                <c:pt idx="47">
                  <c:v>1.5534992085354618</c:v>
                </c:pt>
                <c:pt idx="48">
                  <c:v>-1.3128763768352263</c:v>
                </c:pt>
                <c:pt idx="49">
                  <c:v>1.0235515044919676</c:v>
                </c:pt>
                <c:pt idx="50">
                  <c:v>0.87915557139737288</c:v>
                </c:pt>
                <c:pt idx="51">
                  <c:v>-2.0519560737810645</c:v>
                </c:pt>
                <c:pt idx="52">
                  <c:v>0.34628136161819018</c:v>
                </c:pt>
                <c:pt idx="53">
                  <c:v>-0.35419358995709715</c:v>
                </c:pt>
                <c:pt idx="54">
                  <c:v>1.858001601839639</c:v>
                </c:pt>
                <c:pt idx="55">
                  <c:v>-0.8877688063153264</c:v>
                </c:pt>
                <c:pt idx="56">
                  <c:v>-1.3769514272096248</c:v>
                </c:pt>
                <c:pt idx="57">
                  <c:v>0.20136749777207796</c:v>
                </c:pt>
                <c:pt idx="58">
                  <c:v>0.12731740286215751</c:v>
                </c:pt>
                <c:pt idx="59">
                  <c:v>-0.371473926792939</c:v>
                </c:pt>
                <c:pt idx="60">
                  <c:v>-0.41320150136606915</c:v>
                </c:pt>
                <c:pt idx="61">
                  <c:v>0.2551971584802315</c:v>
                </c:pt>
                <c:pt idx="62">
                  <c:v>0.54532839444733927</c:v>
                </c:pt>
                <c:pt idx="63">
                  <c:v>-1.1987084485525838</c:v>
                </c:pt>
                <c:pt idx="64">
                  <c:v>0.20365796077345244</c:v>
                </c:pt>
                <c:pt idx="65">
                  <c:v>-2.1905269483508447</c:v>
                </c:pt>
                <c:pt idx="66">
                  <c:v>1.357859374712971</c:v>
                </c:pt>
                <c:pt idx="67">
                  <c:v>1.0678641457547986</c:v>
                </c:pt>
                <c:pt idx="68">
                  <c:v>-4.062169850005945E-3</c:v>
                </c:pt>
                <c:pt idx="69">
                  <c:v>-0.25340601070870289</c:v>
                </c:pt>
                <c:pt idx="70">
                  <c:v>-0.20371933742089599</c:v>
                </c:pt>
                <c:pt idx="71">
                  <c:v>-6.8036926882462212E-2</c:v>
                </c:pt>
                <c:pt idx="72">
                  <c:v>3.0998066900760599</c:v>
                </c:pt>
                <c:pt idx="73">
                  <c:v>-1.5756409548922983</c:v>
                </c:pt>
                <c:pt idx="74">
                  <c:v>-6.5893968100260576</c:v>
                </c:pt>
                <c:pt idx="75">
                  <c:v>7.3665586735762902</c:v>
                </c:pt>
                <c:pt idx="76">
                  <c:v>1.0916617932992878</c:v>
                </c:pt>
                <c:pt idx="77">
                  <c:v>1.0163751457846373</c:v>
                </c:pt>
                <c:pt idx="78">
                  <c:v>2.1435700279400138</c:v>
                </c:pt>
                <c:pt idx="79">
                  <c:v>-1.204767361587278</c:v>
                </c:pt>
                <c:pt idx="80">
                  <c:v>-1.9469169716171044E-3</c:v>
                </c:pt>
                <c:pt idx="81">
                  <c:v>0.28979934223811843</c:v>
                </c:pt>
                <c:pt idx="82">
                  <c:v>2.3639052440224098</c:v>
                </c:pt>
                <c:pt idx="83">
                  <c:v>1.5490140567033936</c:v>
                </c:pt>
                <c:pt idx="84">
                  <c:v>-1.6477775578392471</c:v>
                </c:pt>
                <c:pt idx="85">
                  <c:v>-3.4798493915758022</c:v>
                </c:pt>
                <c:pt idx="86">
                  <c:v>1.7190145145590065E-2</c:v>
                </c:pt>
                <c:pt idx="87">
                  <c:v>0.3804319559628988</c:v>
                </c:pt>
                <c:pt idx="88">
                  <c:v>0.31001431749484604</c:v>
                </c:pt>
                <c:pt idx="89">
                  <c:v>0.85502216530240871</c:v>
                </c:pt>
                <c:pt idx="90">
                  <c:v>1.6132309956574875</c:v>
                </c:pt>
                <c:pt idx="91">
                  <c:v>-0.22870458134476115</c:v>
                </c:pt>
                <c:pt idx="92">
                  <c:v>-2.8087660797989829</c:v>
                </c:pt>
                <c:pt idx="93">
                  <c:v>0.69722145982741013</c:v>
                </c:pt>
                <c:pt idx="94">
                  <c:v>0.99547551042253035</c:v>
                </c:pt>
                <c:pt idx="95">
                  <c:v>-1.12353903746557</c:v>
                </c:pt>
                <c:pt idx="96">
                  <c:v>-4.0342794589013895</c:v>
                </c:pt>
                <c:pt idx="97">
                  <c:v>-3.1651689144312303</c:v>
                </c:pt>
                <c:pt idx="98">
                  <c:v>0.13326767049501004</c:v>
                </c:pt>
                <c:pt idx="99">
                  <c:v>-3.8653528730622675</c:v>
                </c:pt>
                <c:pt idx="100">
                  <c:v>-1.556403524525015</c:v>
                </c:pt>
                <c:pt idx="101">
                  <c:v>-3.4565692008015478</c:v>
                </c:pt>
                <c:pt idx="102">
                  <c:v>4.373127894277208</c:v>
                </c:pt>
                <c:pt idx="103">
                  <c:v>-8.1411935429504894</c:v>
                </c:pt>
                <c:pt idx="104">
                  <c:v>-9.1415438687040886</c:v>
                </c:pt>
                <c:pt idx="105">
                  <c:v>4.9981561061963475</c:v>
                </c:pt>
                <c:pt idx="106">
                  <c:v>3.7315693621188237</c:v>
                </c:pt>
                <c:pt idx="107">
                  <c:v>-1.6930601373866518</c:v>
                </c:pt>
                <c:pt idx="108">
                  <c:v>3.2693974797429637</c:v>
                </c:pt>
                <c:pt idx="109">
                  <c:v>-3.4044713219137206</c:v>
                </c:pt>
                <c:pt idx="110">
                  <c:v>1.1229372544900045</c:v>
                </c:pt>
                <c:pt idx="111">
                  <c:v>-4.5251950847142508E-2</c:v>
                </c:pt>
                <c:pt idx="112">
                  <c:v>-3.2207902839867755</c:v>
                </c:pt>
                <c:pt idx="113">
                  <c:v>-1.5304704600210068</c:v>
                </c:pt>
                <c:pt idx="114">
                  <c:v>2.0217015238879137</c:v>
                </c:pt>
                <c:pt idx="115">
                  <c:v>-0.73548575994241516</c:v>
                </c:pt>
                <c:pt idx="116">
                  <c:v>-0.41335762746622851</c:v>
                </c:pt>
                <c:pt idx="117">
                  <c:v>-0.46656124638286833</c:v>
                </c:pt>
                <c:pt idx="118">
                  <c:v>3.4138089910941942</c:v>
                </c:pt>
                <c:pt idx="119">
                  <c:v>4.4012225363925044</c:v>
                </c:pt>
                <c:pt idx="120">
                  <c:v>-1.5196917747234271</c:v>
                </c:pt>
                <c:pt idx="121">
                  <c:v>-1.062073375074631</c:v>
                </c:pt>
                <c:pt idx="122">
                  <c:v>1.477489362217179</c:v>
                </c:pt>
                <c:pt idx="123">
                  <c:v>-2.3781283099238917</c:v>
                </c:pt>
                <c:pt idx="124">
                  <c:v>0.47811004572060589</c:v>
                </c:pt>
                <c:pt idx="125">
                  <c:v>0.44551959930867541</c:v>
                </c:pt>
                <c:pt idx="126">
                  <c:v>1.3614075313738643</c:v>
                </c:pt>
                <c:pt idx="127">
                  <c:v>-7.7650136808625758E-3</c:v>
                </c:pt>
                <c:pt idx="128">
                  <c:v>-0.12972116439056908</c:v>
                </c:pt>
                <c:pt idx="129">
                  <c:v>-1.6695833580904584</c:v>
                </c:pt>
                <c:pt idx="130">
                  <c:v>1.4530967525660716</c:v>
                </c:pt>
                <c:pt idx="131">
                  <c:v>-0.78143310266141697</c:v>
                </c:pt>
                <c:pt idx="132">
                  <c:v>0.34908255979636738</c:v>
                </c:pt>
                <c:pt idx="133">
                  <c:v>0.13535969057984193</c:v>
                </c:pt>
                <c:pt idx="134">
                  <c:v>-1.8716624465378884</c:v>
                </c:pt>
                <c:pt idx="135">
                  <c:v>1.2656565827966442</c:v>
                </c:pt>
                <c:pt idx="136">
                  <c:v>-0.42014204580768427</c:v>
                </c:pt>
                <c:pt idx="137">
                  <c:v>1.4055246320234833</c:v>
                </c:pt>
                <c:pt idx="138">
                  <c:v>-2.3798636141916241E-2</c:v>
                </c:pt>
                <c:pt idx="139">
                  <c:v>-0.94564972218921284</c:v>
                </c:pt>
                <c:pt idx="140">
                  <c:v>0.73546966098117694</c:v>
                </c:pt>
                <c:pt idx="141">
                  <c:v>1.7116922764778253</c:v>
                </c:pt>
                <c:pt idx="142">
                  <c:v>-0.26362362275971585</c:v>
                </c:pt>
                <c:pt idx="143">
                  <c:v>0.22777557059858333</c:v>
                </c:pt>
              </c:numCache>
            </c:numRef>
          </c:xVal>
          <c:yVal>
            <c:numRef>
              <c:f>Data!$O$2:$O$145</c:f>
              <c:numCache>
                <c:formatCode>0.0000</c:formatCode>
                <c:ptCount val="144"/>
                <c:pt idx="0">
                  <c:v>-3.1231512210139143</c:v>
                </c:pt>
                <c:pt idx="1">
                  <c:v>3.4388141552305238</c:v>
                </c:pt>
                <c:pt idx="2">
                  <c:v>-1.8423176925388944</c:v>
                </c:pt>
                <c:pt idx="3">
                  <c:v>0.76476526172699799</c:v>
                </c:pt>
                <c:pt idx="4">
                  <c:v>2.8438546235537174</c:v>
                </c:pt>
                <c:pt idx="5">
                  <c:v>-0.40587403799491967</c:v>
                </c:pt>
                <c:pt idx="6">
                  <c:v>0.39463790345239053</c:v>
                </c:pt>
                <c:pt idx="7">
                  <c:v>-0.84486748191592764</c:v>
                </c:pt>
                <c:pt idx="8">
                  <c:v>2.1320616401803507</c:v>
                </c:pt>
                <c:pt idx="9">
                  <c:v>-0.42414010254649709</c:v>
                </c:pt>
                <c:pt idx="10">
                  <c:v>0.74520035393408268</c:v>
                </c:pt>
                <c:pt idx="11">
                  <c:v>1.3893836371301047</c:v>
                </c:pt>
                <c:pt idx="12">
                  <c:v>-0.15960421366991845</c:v>
                </c:pt>
                <c:pt idx="13">
                  <c:v>2.1744398396726858E-3</c:v>
                </c:pt>
                <c:pt idx="14">
                  <c:v>2.1528110708148573</c:v>
                </c:pt>
                <c:pt idx="15">
                  <c:v>-0.63321922178810008</c:v>
                </c:pt>
                <c:pt idx="16">
                  <c:v>0.54311279831289316</c:v>
                </c:pt>
                <c:pt idx="17">
                  <c:v>2.6535892327475388</c:v>
                </c:pt>
                <c:pt idx="18">
                  <c:v>-0.18651939975316809</c:v>
                </c:pt>
                <c:pt idx="19">
                  <c:v>2.4047017706743326</c:v>
                </c:pt>
                <c:pt idx="20">
                  <c:v>0.8220675256694463</c:v>
                </c:pt>
                <c:pt idx="21">
                  <c:v>0.79790760681101336</c:v>
                </c:pt>
                <c:pt idx="22">
                  <c:v>-0.23417506109101072</c:v>
                </c:pt>
                <c:pt idx="23">
                  <c:v>0.44906329589973976</c:v>
                </c:pt>
                <c:pt idx="24">
                  <c:v>-3.3442885744124804</c:v>
                </c:pt>
                <c:pt idx="25">
                  <c:v>1.9551601207275044</c:v>
                </c:pt>
                <c:pt idx="26">
                  <c:v>-2.9682787226250409</c:v>
                </c:pt>
                <c:pt idx="27">
                  <c:v>-0.94912629185626851</c:v>
                </c:pt>
                <c:pt idx="28">
                  <c:v>2.683391280512204</c:v>
                </c:pt>
                <c:pt idx="29">
                  <c:v>1.084910181769061</c:v>
                </c:pt>
                <c:pt idx="30">
                  <c:v>-0.60205936122706527</c:v>
                </c:pt>
                <c:pt idx="31">
                  <c:v>-1.3845334693391671</c:v>
                </c:pt>
                <c:pt idx="32">
                  <c:v>0.51269214936388086</c:v>
                </c:pt>
                <c:pt idx="33">
                  <c:v>2.1127325139720563</c:v>
                </c:pt>
                <c:pt idx="34">
                  <c:v>0.44664249623499269</c:v>
                </c:pt>
                <c:pt idx="35">
                  <c:v>0.80909571022157933</c:v>
                </c:pt>
                <c:pt idx="36">
                  <c:v>3.3950819422879635</c:v>
                </c:pt>
                <c:pt idx="37">
                  <c:v>3.1095108983661892</c:v>
                </c:pt>
                <c:pt idx="38">
                  <c:v>1.5752476292840976</c:v>
                </c:pt>
                <c:pt idx="39">
                  <c:v>0.3941440510082177</c:v>
                </c:pt>
                <c:pt idx="40">
                  <c:v>0.29248739326307094</c:v>
                </c:pt>
                <c:pt idx="41">
                  <c:v>-0.93339874585644023</c:v>
                </c:pt>
                <c:pt idx="42">
                  <c:v>2.8609360739223297</c:v>
                </c:pt>
                <c:pt idx="43">
                  <c:v>-0.44945692130845749</c:v>
                </c:pt>
                <c:pt idx="44">
                  <c:v>2.5257042870557784</c:v>
                </c:pt>
                <c:pt idx="45">
                  <c:v>0.32195109833132546</c:v>
                </c:pt>
                <c:pt idx="46">
                  <c:v>-0.38364685529762182</c:v>
                </c:pt>
                <c:pt idx="47">
                  <c:v>1.8101887790863302</c:v>
                </c:pt>
                <c:pt idx="48">
                  <c:v>-0.8739297602339734</c:v>
                </c:pt>
                <c:pt idx="49">
                  <c:v>0.77913542886387466</c:v>
                </c:pt>
                <c:pt idx="50">
                  <c:v>1.1252408849651883</c:v>
                </c:pt>
                <c:pt idx="51">
                  <c:v>-1.0801430002995103</c:v>
                </c:pt>
                <c:pt idx="52">
                  <c:v>1.2933080083597004</c:v>
                </c:pt>
                <c:pt idx="53">
                  <c:v>-0.34952011853591453</c:v>
                </c:pt>
                <c:pt idx="54">
                  <c:v>2.1937669383125291</c:v>
                </c:pt>
                <c:pt idx="55">
                  <c:v>-0.70844610563042631</c:v>
                </c:pt>
                <c:pt idx="56">
                  <c:v>-1.1425691586862545</c:v>
                </c:pt>
                <c:pt idx="57">
                  <c:v>-1.4912303020014905</c:v>
                </c:pt>
                <c:pt idx="58">
                  <c:v>2.4711222871909655</c:v>
                </c:pt>
                <c:pt idx="59">
                  <c:v>1.5632378548125487</c:v>
                </c:pt>
                <c:pt idx="60">
                  <c:v>0.17050584189129772</c:v>
                </c:pt>
                <c:pt idx="61">
                  <c:v>1.3282751471537555</c:v>
                </c:pt>
                <c:pt idx="62">
                  <c:v>1.3361896540353232E-2</c:v>
                </c:pt>
                <c:pt idx="63">
                  <c:v>4.5162099813618559E-2</c:v>
                </c:pt>
                <c:pt idx="64">
                  <c:v>-2.5280472836281653</c:v>
                </c:pt>
                <c:pt idx="65">
                  <c:v>-0.85098504001589137</c:v>
                </c:pt>
                <c:pt idx="66">
                  <c:v>-2.5046976641667626</c:v>
                </c:pt>
                <c:pt idx="67">
                  <c:v>-1.2793531068196276</c:v>
                </c:pt>
                <c:pt idx="68">
                  <c:v>1.3201728926043841</c:v>
                </c:pt>
                <c:pt idx="69">
                  <c:v>-0.83998798555617005</c:v>
                </c:pt>
                <c:pt idx="70">
                  <c:v>1.3072997744824202</c:v>
                </c:pt>
                <c:pt idx="71">
                  <c:v>0.79930043255834871</c:v>
                </c:pt>
                <c:pt idx="72">
                  <c:v>-2.1093949631446327E-2</c:v>
                </c:pt>
                <c:pt idx="73">
                  <c:v>-4.1526948243374111</c:v>
                </c:pt>
                <c:pt idx="74">
                  <c:v>-7.0047284893671877</c:v>
                </c:pt>
                <c:pt idx="75">
                  <c:v>4.5018822436456931</c:v>
                </c:pt>
                <c:pt idx="76">
                  <c:v>2.7070180675265525</c:v>
                </c:pt>
                <c:pt idx="77">
                  <c:v>1.4570599695124704</c:v>
                </c:pt>
                <c:pt idx="78">
                  <c:v>-0.45287219230992509</c:v>
                </c:pt>
                <c:pt idx="79">
                  <c:v>1.4746501612318974</c:v>
                </c:pt>
                <c:pt idx="80">
                  <c:v>-0.32059917407416511</c:v>
                </c:pt>
                <c:pt idx="81">
                  <c:v>-1.9001782009329338</c:v>
                </c:pt>
                <c:pt idx="82">
                  <c:v>5.5867022964527608</c:v>
                </c:pt>
                <c:pt idx="83">
                  <c:v>1.8519535193189707</c:v>
                </c:pt>
                <c:pt idx="84">
                  <c:v>-0.72114034769675106</c:v>
                </c:pt>
                <c:pt idx="85">
                  <c:v>-2.8872892422191813E-2</c:v>
                </c:pt>
                <c:pt idx="86">
                  <c:v>2.1554149374730458</c:v>
                </c:pt>
                <c:pt idx="87">
                  <c:v>2.3109716137805942</c:v>
                </c:pt>
                <c:pt idx="88">
                  <c:v>0.25176219913533959</c:v>
                </c:pt>
                <c:pt idx="89">
                  <c:v>1.1935119946777377</c:v>
                </c:pt>
                <c:pt idx="90">
                  <c:v>1.088562294937061</c:v>
                </c:pt>
                <c:pt idx="91">
                  <c:v>1.4799167353491935</c:v>
                </c:pt>
                <c:pt idx="92">
                  <c:v>-1.3312319193447704</c:v>
                </c:pt>
                <c:pt idx="93">
                  <c:v>1.7130121087748451</c:v>
                </c:pt>
                <c:pt idx="94">
                  <c:v>0.3416951439283733</c:v>
                </c:pt>
                <c:pt idx="95">
                  <c:v>1.3592930931331151</c:v>
                </c:pt>
                <c:pt idx="96">
                  <c:v>-2.2568118607420633</c:v>
                </c:pt>
                <c:pt idx="97">
                  <c:v>-1.1072210028407516</c:v>
                </c:pt>
                <c:pt idx="98">
                  <c:v>1.9965489332311821</c:v>
                </c:pt>
                <c:pt idx="99">
                  <c:v>-1.7163787658669345</c:v>
                </c:pt>
                <c:pt idx="100">
                  <c:v>-0.82038765576752415</c:v>
                </c:pt>
                <c:pt idx="101">
                  <c:v>-3.6875242113072275</c:v>
                </c:pt>
                <c:pt idx="102">
                  <c:v>3.8214888861569447</c:v>
                </c:pt>
                <c:pt idx="103">
                  <c:v>-1.8267949190726551</c:v>
                </c:pt>
                <c:pt idx="104">
                  <c:v>-4.6868598995851904</c:v>
                </c:pt>
                <c:pt idx="105">
                  <c:v>2.2441569439350513</c:v>
                </c:pt>
                <c:pt idx="106">
                  <c:v>2.5198681337412903</c:v>
                </c:pt>
                <c:pt idx="107">
                  <c:v>-1.3850399013585131</c:v>
                </c:pt>
                <c:pt idx="108">
                  <c:v>3.0698713827378343</c:v>
                </c:pt>
                <c:pt idx="109">
                  <c:v>-0.16023377056929605</c:v>
                </c:pt>
                <c:pt idx="110">
                  <c:v>-0.25809067214290327</c:v>
                </c:pt>
                <c:pt idx="111">
                  <c:v>0.94080499762717185</c:v>
                </c:pt>
                <c:pt idx="112">
                  <c:v>-1.4816122688402813</c:v>
                </c:pt>
                <c:pt idx="113">
                  <c:v>0.76715041455256716</c:v>
                </c:pt>
                <c:pt idx="114">
                  <c:v>1.9636320377819911</c:v>
                </c:pt>
                <c:pt idx="115">
                  <c:v>-0.62523746935851443</c:v>
                </c:pt>
                <c:pt idx="116">
                  <c:v>0.27937046819359035</c:v>
                </c:pt>
                <c:pt idx="117">
                  <c:v>-1.7024670003016547</c:v>
                </c:pt>
                <c:pt idx="118">
                  <c:v>3.1666873562985165</c:v>
                </c:pt>
                <c:pt idx="119">
                  <c:v>3.580071379617352</c:v>
                </c:pt>
                <c:pt idx="120">
                  <c:v>5.5182858323510636E-2</c:v>
                </c:pt>
                <c:pt idx="121">
                  <c:v>0.8173714702258239</c:v>
                </c:pt>
                <c:pt idx="122">
                  <c:v>2.5343167951715437</c:v>
                </c:pt>
                <c:pt idx="123">
                  <c:v>-0.49649597275839152</c:v>
                </c:pt>
                <c:pt idx="124">
                  <c:v>1.1573512190828252</c:v>
                </c:pt>
                <c:pt idx="125">
                  <c:v>1.1607317321410837</c:v>
                </c:pt>
                <c:pt idx="126">
                  <c:v>0.98384974618307341</c:v>
                </c:pt>
                <c:pt idx="127">
                  <c:v>0.20128346879376346</c:v>
                </c:pt>
                <c:pt idx="128">
                  <c:v>6.2862567183433013E-2</c:v>
                </c:pt>
                <c:pt idx="129">
                  <c:v>1.5244628300109645E-2</c:v>
                </c:pt>
                <c:pt idx="130">
                  <c:v>2.5118747000438195</c:v>
                </c:pt>
                <c:pt idx="131">
                  <c:v>-0.73047275946122014</c:v>
                </c:pt>
                <c:pt idx="132">
                  <c:v>2.664630651168546</c:v>
                </c:pt>
                <c:pt idx="133">
                  <c:v>-0.63980558944311527</c:v>
                </c:pt>
                <c:pt idx="134">
                  <c:v>-2.5680570998352561</c:v>
                </c:pt>
                <c:pt idx="135">
                  <c:v>-0.12574664360828455</c:v>
                </c:pt>
                <c:pt idx="136">
                  <c:v>2.3878145236429944</c:v>
                </c:pt>
                <c:pt idx="137">
                  <c:v>1.3006576888791135</c:v>
                </c:pt>
                <c:pt idx="138">
                  <c:v>2.3644571963769208</c:v>
                </c:pt>
                <c:pt idx="139">
                  <c:v>-3.7635693365227305E-2</c:v>
                </c:pt>
                <c:pt idx="140">
                  <c:v>1.5120608050198472</c:v>
                </c:pt>
                <c:pt idx="141">
                  <c:v>2.6303236664701828</c:v>
                </c:pt>
                <c:pt idx="142">
                  <c:v>6.4450144874432388E-2</c:v>
                </c:pt>
                <c:pt idx="143">
                  <c:v>0.64991632276644051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40-1240-8FFC-15584F74F7F8}"/>
            </c:ext>
          </c:extLst>
        </c:ser>
        <c:ser>
          <c:idx val="1"/>
          <c:order val="1"/>
          <c:tx>
            <c:v>Predicted Asset Returns (%)</c:v>
          </c:tx>
          <c:spPr>
            <a:ln w="19050">
              <a:noFill/>
            </a:ln>
          </c:spPr>
          <c:xVal>
            <c:numRef>
              <c:f>Data!$W$2:$W$145</c:f>
              <c:numCache>
                <c:formatCode>0.0000</c:formatCode>
                <c:ptCount val="144"/>
                <c:pt idx="0">
                  <c:v>-5.1387194346069833</c:v>
                </c:pt>
                <c:pt idx="1">
                  <c:v>2.3484491421995508</c:v>
                </c:pt>
                <c:pt idx="2">
                  <c:v>-0.92319478819390199</c:v>
                </c:pt>
                <c:pt idx="3">
                  <c:v>0.82434767702086331</c:v>
                </c:pt>
                <c:pt idx="4">
                  <c:v>2.0252115715454142</c:v>
                </c:pt>
                <c:pt idx="5">
                  <c:v>-1.4083021680096535</c:v>
                </c:pt>
                <c:pt idx="6">
                  <c:v>-0.89531690384682072</c:v>
                </c:pt>
                <c:pt idx="7">
                  <c:v>2.0846292055168538</c:v>
                </c:pt>
                <c:pt idx="8">
                  <c:v>0.18815829103602541</c:v>
                </c:pt>
                <c:pt idx="9">
                  <c:v>-0.30403984882426438</c:v>
                </c:pt>
                <c:pt idx="10">
                  <c:v>1.2224064307019109</c:v>
                </c:pt>
                <c:pt idx="11">
                  <c:v>1.1188106566869516</c:v>
                </c:pt>
                <c:pt idx="12">
                  <c:v>-0.39386738542473537</c:v>
                </c:pt>
                <c:pt idx="13">
                  <c:v>0.23199314515441699</c:v>
                </c:pt>
                <c:pt idx="14">
                  <c:v>3.0510319131719719</c:v>
                </c:pt>
                <c:pt idx="15">
                  <c:v>-0.57569475557887417</c:v>
                </c:pt>
                <c:pt idx="16">
                  <c:v>0.34508593485068878</c:v>
                </c:pt>
                <c:pt idx="17">
                  <c:v>2.4668637873530348</c:v>
                </c:pt>
                <c:pt idx="18">
                  <c:v>1.3828982966028573</c:v>
                </c:pt>
                <c:pt idx="19">
                  <c:v>5.9348906527047323</c:v>
                </c:pt>
                <c:pt idx="20">
                  <c:v>-3.7396932352934624</c:v>
                </c:pt>
                <c:pt idx="21">
                  <c:v>1.0994857308880885</c:v>
                </c:pt>
                <c:pt idx="22">
                  <c:v>-2.3264834455409638</c:v>
                </c:pt>
                <c:pt idx="23">
                  <c:v>0.27399978476401698</c:v>
                </c:pt>
                <c:pt idx="24">
                  <c:v>-3.7708043023703515</c:v>
                </c:pt>
                <c:pt idx="25">
                  <c:v>2.4312561086316236</c:v>
                </c:pt>
                <c:pt idx="26">
                  <c:v>-2.163876747359093</c:v>
                </c:pt>
                <c:pt idx="27">
                  <c:v>0.5025858772171532</c:v>
                </c:pt>
                <c:pt idx="28">
                  <c:v>1.5012701524955124E-2</c:v>
                </c:pt>
                <c:pt idx="29">
                  <c:v>2.0734306549589543</c:v>
                </c:pt>
                <c:pt idx="30">
                  <c:v>-1.4165022256805997</c:v>
                </c:pt>
                <c:pt idx="31">
                  <c:v>0.66815720708482551</c:v>
                </c:pt>
                <c:pt idx="32">
                  <c:v>-0.80775400785913054</c:v>
                </c:pt>
                <c:pt idx="33">
                  <c:v>3.5954167685518694</c:v>
                </c:pt>
                <c:pt idx="34">
                  <c:v>0.91190414214845739</c:v>
                </c:pt>
                <c:pt idx="35">
                  <c:v>0.85468808124803441</c:v>
                </c:pt>
                <c:pt idx="36">
                  <c:v>3.5664770305249829</c:v>
                </c:pt>
                <c:pt idx="37">
                  <c:v>5.0465169683722939</c:v>
                </c:pt>
                <c:pt idx="38">
                  <c:v>3.4210472846484357</c:v>
                </c:pt>
                <c:pt idx="39">
                  <c:v>-1.9050206096671818</c:v>
                </c:pt>
                <c:pt idx="40">
                  <c:v>-4.4556526959210885</c:v>
                </c:pt>
                <c:pt idx="41">
                  <c:v>-1.6600067055434231</c:v>
                </c:pt>
                <c:pt idx="42">
                  <c:v>2.9503559863160107</c:v>
                </c:pt>
                <c:pt idx="43">
                  <c:v>-1.5202579266307075</c:v>
                </c:pt>
                <c:pt idx="44">
                  <c:v>2.6350509941130018</c:v>
                </c:pt>
                <c:pt idx="45">
                  <c:v>-0.17390455263532517</c:v>
                </c:pt>
                <c:pt idx="46">
                  <c:v>0.72625925846252182</c:v>
                </c:pt>
                <c:pt idx="47">
                  <c:v>1.5534992085354618</c:v>
                </c:pt>
                <c:pt idx="48">
                  <c:v>-1.3128763768352263</c:v>
                </c:pt>
                <c:pt idx="49">
                  <c:v>1.0235515044919676</c:v>
                </c:pt>
                <c:pt idx="50">
                  <c:v>0.87915557139737288</c:v>
                </c:pt>
                <c:pt idx="51">
                  <c:v>-2.0519560737810645</c:v>
                </c:pt>
                <c:pt idx="52">
                  <c:v>0.34628136161819018</c:v>
                </c:pt>
                <c:pt idx="53">
                  <c:v>-0.35419358995709715</c:v>
                </c:pt>
                <c:pt idx="54">
                  <c:v>1.858001601839639</c:v>
                </c:pt>
                <c:pt idx="55">
                  <c:v>-0.8877688063153264</c:v>
                </c:pt>
                <c:pt idx="56">
                  <c:v>-1.3769514272096248</c:v>
                </c:pt>
                <c:pt idx="57">
                  <c:v>0.20136749777207796</c:v>
                </c:pt>
                <c:pt idx="58">
                  <c:v>0.12731740286215751</c:v>
                </c:pt>
                <c:pt idx="59">
                  <c:v>-0.371473926792939</c:v>
                </c:pt>
                <c:pt idx="60">
                  <c:v>-0.41320150136606915</c:v>
                </c:pt>
                <c:pt idx="61">
                  <c:v>0.2551971584802315</c:v>
                </c:pt>
                <c:pt idx="62">
                  <c:v>0.54532839444733927</c:v>
                </c:pt>
                <c:pt idx="63">
                  <c:v>-1.1987084485525838</c:v>
                </c:pt>
                <c:pt idx="64">
                  <c:v>0.20365796077345244</c:v>
                </c:pt>
                <c:pt idx="65">
                  <c:v>-2.1905269483508447</c:v>
                </c:pt>
                <c:pt idx="66">
                  <c:v>1.357859374712971</c:v>
                </c:pt>
                <c:pt idx="67">
                  <c:v>1.0678641457547986</c:v>
                </c:pt>
                <c:pt idx="68">
                  <c:v>-4.062169850005945E-3</c:v>
                </c:pt>
                <c:pt idx="69">
                  <c:v>-0.25340601070870289</c:v>
                </c:pt>
                <c:pt idx="70">
                  <c:v>-0.20371933742089599</c:v>
                </c:pt>
                <c:pt idx="71">
                  <c:v>-6.8036926882462212E-2</c:v>
                </c:pt>
                <c:pt idx="72">
                  <c:v>3.0998066900760599</c:v>
                </c:pt>
                <c:pt idx="73">
                  <c:v>-1.5756409548922983</c:v>
                </c:pt>
                <c:pt idx="74">
                  <c:v>-6.5893968100260576</c:v>
                </c:pt>
                <c:pt idx="75">
                  <c:v>7.3665586735762902</c:v>
                </c:pt>
                <c:pt idx="76">
                  <c:v>1.0916617932992878</c:v>
                </c:pt>
                <c:pt idx="77">
                  <c:v>1.0163751457846373</c:v>
                </c:pt>
                <c:pt idx="78">
                  <c:v>2.1435700279400138</c:v>
                </c:pt>
                <c:pt idx="79">
                  <c:v>-1.204767361587278</c:v>
                </c:pt>
                <c:pt idx="80">
                  <c:v>-1.9469169716171044E-3</c:v>
                </c:pt>
                <c:pt idx="81">
                  <c:v>0.28979934223811843</c:v>
                </c:pt>
                <c:pt idx="82">
                  <c:v>2.3639052440224098</c:v>
                </c:pt>
                <c:pt idx="83">
                  <c:v>1.5490140567033936</c:v>
                </c:pt>
                <c:pt idx="84">
                  <c:v>-1.6477775578392471</c:v>
                </c:pt>
                <c:pt idx="85">
                  <c:v>-3.4798493915758022</c:v>
                </c:pt>
                <c:pt idx="86">
                  <c:v>1.7190145145590065E-2</c:v>
                </c:pt>
                <c:pt idx="87">
                  <c:v>0.3804319559628988</c:v>
                </c:pt>
                <c:pt idx="88">
                  <c:v>0.31001431749484604</c:v>
                </c:pt>
                <c:pt idx="89">
                  <c:v>0.85502216530240871</c:v>
                </c:pt>
                <c:pt idx="90">
                  <c:v>1.6132309956574875</c:v>
                </c:pt>
                <c:pt idx="91">
                  <c:v>-0.22870458134476115</c:v>
                </c:pt>
                <c:pt idx="92">
                  <c:v>-2.8087660797989829</c:v>
                </c:pt>
                <c:pt idx="93">
                  <c:v>0.69722145982741013</c:v>
                </c:pt>
                <c:pt idx="94">
                  <c:v>0.99547551042253035</c:v>
                </c:pt>
                <c:pt idx="95">
                  <c:v>-1.12353903746557</c:v>
                </c:pt>
                <c:pt idx="96">
                  <c:v>-4.0342794589013895</c:v>
                </c:pt>
                <c:pt idx="97">
                  <c:v>-3.1651689144312303</c:v>
                </c:pt>
                <c:pt idx="98">
                  <c:v>0.13326767049501004</c:v>
                </c:pt>
                <c:pt idx="99">
                  <c:v>-3.8653528730622675</c:v>
                </c:pt>
                <c:pt idx="100">
                  <c:v>-1.556403524525015</c:v>
                </c:pt>
                <c:pt idx="101">
                  <c:v>-3.4565692008015478</c:v>
                </c:pt>
                <c:pt idx="102">
                  <c:v>4.373127894277208</c:v>
                </c:pt>
                <c:pt idx="103">
                  <c:v>-8.1411935429504894</c:v>
                </c:pt>
                <c:pt idx="104">
                  <c:v>-9.1415438687040886</c:v>
                </c:pt>
                <c:pt idx="105">
                  <c:v>4.9981561061963475</c:v>
                </c:pt>
                <c:pt idx="106">
                  <c:v>3.7315693621188237</c:v>
                </c:pt>
                <c:pt idx="107">
                  <c:v>-1.6930601373866518</c:v>
                </c:pt>
                <c:pt idx="108">
                  <c:v>3.2693974797429637</c:v>
                </c:pt>
                <c:pt idx="109">
                  <c:v>-3.4044713219137206</c:v>
                </c:pt>
                <c:pt idx="110">
                  <c:v>1.1229372544900045</c:v>
                </c:pt>
                <c:pt idx="111">
                  <c:v>-4.5251950847142508E-2</c:v>
                </c:pt>
                <c:pt idx="112">
                  <c:v>-3.2207902839867755</c:v>
                </c:pt>
                <c:pt idx="113">
                  <c:v>-1.5304704600210068</c:v>
                </c:pt>
                <c:pt idx="114">
                  <c:v>2.0217015238879137</c:v>
                </c:pt>
                <c:pt idx="115">
                  <c:v>-0.73548575994241516</c:v>
                </c:pt>
                <c:pt idx="116">
                  <c:v>-0.41335762746622851</c:v>
                </c:pt>
                <c:pt idx="117">
                  <c:v>-0.46656124638286833</c:v>
                </c:pt>
                <c:pt idx="118">
                  <c:v>3.4138089910941942</c:v>
                </c:pt>
                <c:pt idx="119">
                  <c:v>4.4012225363925044</c:v>
                </c:pt>
                <c:pt idx="120">
                  <c:v>-1.5196917747234271</c:v>
                </c:pt>
                <c:pt idx="121">
                  <c:v>-1.062073375074631</c:v>
                </c:pt>
                <c:pt idx="122">
                  <c:v>1.477489362217179</c:v>
                </c:pt>
                <c:pt idx="123">
                  <c:v>-2.3781283099238917</c:v>
                </c:pt>
                <c:pt idx="124">
                  <c:v>0.47811004572060589</c:v>
                </c:pt>
                <c:pt idx="125">
                  <c:v>0.44551959930867541</c:v>
                </c:pt>
                <c:pt idx="126">
                  <c:v>1.3614075313738643</c:v>
                </c:pt>
                <c:pt idx="127">
                  <c:v>-7.7650136808625758E-3</c:v>
                </c:pt>
                <c:pt idx="128">
                  <c:v>-0.12972116439056908</c:v>
                </c:pt>
                <c:pt idx="129">
                  <c:v>-1.6695833580904584</c:v>
                </c:pt>
                <c:pt idx="130">
                  <c:v>1.4530967525660716</c:v>
                </c:pt>
                <c:pt idx="131">
                  <c:v>-0.78143310266141697</c:v>
                </c:pt>
                <c:pt idx="132">
                  <c:v>0.34908255979636738</c:v>
                </c:pt>
                <c:pt idx="133">
                  <c:v>0.13535969057984193</c:v>
                </c:pt>
                <c:pt idx="134">
                  <c:v>-1.8716624465378884</c:v>
                </c:pt>
                <c:pt idx="135">
                  <c:v>1.2656565827966442</c:v>
                </c:pt>
                <c:pt idx="136">
                  <c:v>-0.42014204580768427</c:v>
                </c:pt>
                <c:pt idx="137">
                  <c:v>1.4055246320234833</c:v>
                </c:pt>
                <c:pt idx="138">
                  <c:v>-2.3798636141916241E-2</c:v>
                </c:pt>
                <c:pt idx="139">
                  <c:v>-0.94564972218921284</c:v>
                </c:pt>
                <c:pt idx="140">
                  <c:v>0.73546966098117694</c:v>
                </c:pt>
                <c:pt idx="141">
                  <c:v>1.7116922764778253</c:v>
                </c:pt>
                <c:pt idx="142">
                  <c:v>-0.26362362275971585</c:v>
                </c:pt>
                <c:pt idx="143">
                  <c:v>0.22777557059858333</c:v>
                </c:pt>
              </c:numCache>
            </c:numRef>
          </c:xVal>
          <c:yVal>
            <c:numRef>
              <c:f>'Credit, ERP, Inflation'!$B$28:$B$171</c:f>
              <c:numCache>
                <c:formatCode>General</c:formatCode>
                <c:ptCount val="144"/>
                <c:pt idx="0">
                  <c:v>-1.2997818465490814</c:v>
                </c:pt>
                <c:pt idx="1">
                  <c:v>2.0965265952065493</c:v>
                </c:pt>
                <c:pt idx="2">
                  <c:v>-0.5074823811379785</c:v>
                </c:pt>
                <c:pt idx="3">
                  <c:v>1.0408831582253439</c:v>
                </c:pt>
                <c:pt idx="4">
                  <c:v>2.0733633655782189</c:v>
                </c:pt>
                <c:pt idx="5">
                  <c:v>-0.30747920625336267</c:v>
                </c:pt>
                <c:pt idx="6">
                  <c:v>0.23159350822316593</c:v>
                </c:pt>
                <c:pt idx="7">
                  <c:v>1.1235541522266987</c:v>
                </c:pt>
                <c:pt idx="8">
                  <c:v>1.146933364471012</c:v>
                </c:pt>
                <c:pt idx="9">
                  <c:v>9.4657117110362621E-2</c:v>
                </c:pt>
                <c:pt idx="10">
                  <c:v>0.95147371797114177</c:v>
                </c:pt>
                <c:pt idx="11">
                  <c:v>0.81785778127664388</c:v>
                </c:pt>
                <c:pt idx="12">
                  <c:v>0.44636703258913557</c:v>
                </c:pt>
                <c:pt idx="13">
                  <c:v>-0.36508584578219416</c:v>
                </c:pt>
                <c:pt idx="14">
                  <c:v>1.8956342673251079</c:v>
                </c:pt>
                <c:pt idx="15">
                  <c:v>-0.85699520095041692</c:v>
                </c:pt>
                <c:pt idx="16">
                  <c:v>0.95868004420233832</c:v>
                </c:pt>
                <c:pt idx="17">
                  <c:v>0.72173202880512599</c:v>
                </c:pt>
                <c:pt idx="18">
                  <c:v>-3.4128016355769453E-2</c:v>
                </c:pt>
                <c:pt idx="19">
                  <c:v>2.610078667470896</c:v>
                </c:pt>
                <c:pt idx="20">
                  <c:v>-0.2918154766732981</c:v>
                </c:pt>
                <c:pt idx="21">
                  <c:v>0.10655468573893878</c:v>
                </c:pt>
                <c:pt idx="22">
                  <c:v>-0.36956494702040199</c:v>
                </c:pt>
                <c:pt idx="23">
                  <c:v>0.14319430125059818</c:v>
                </c:pt>
                <c:pt idx="24">
                  <c:v>-2.0511049461992883</c:v>
                </c:pt>
                <c:pt idx="25">
                  <c:v>1.0042662290801281</c:v>
                </c:pt>
                <c:pt idx="26">
                  <c:v>-1.492484858330978</c:v>
                </c:pt>
                <c:pt idx="27">
                  <c:v>-1.1461706943039049</c:v>
                </c:pt>
                <c:pt idx="28">
                  <c:v>1.6664104306083221</c:v>
                </c:pt>
                <c:pt idx="29">
                  <c:v>-0.11070559854325923</c:v>
                </c:pt>
                <c:pt idx="30">
                  <c:v>-1.5532950358546256</c:v>
                </c:pt>
                <c:pt idx="31">
                  <c:v>-0.55726369228210315</c:v>
                </c:pt>
                <c:pt idx="32">
                  <c:v>1.2736286225712989E-2</c:v>
                </c:pt>
                <c:pt idx="33">
                  <c:v>3.0397674448803294</c:v>
                </c:pt>
                <c:pt idx="34">
                  <c:v>1.4925474673782539</c:v>
                </c:pt>
                <c:pt idx="35">
                  <c:v>0.49757337052364542</c:v>
                </c:pt>
                <c:pt idx="36">
                  <c:v>1.731218919228362</c:v>
                </c:pt>
                <c:pt idx="37">
                  <c:v>3.0571620891224951</c:v>
                </c:pt>
                <c:pt idx="38">
                  <c:v>2.3851622856818162</c:v>
                </c:pt>
                <c:pt idx="39">
                  <c:v>-0.46001432201262005</c:v>
                </c:pt>
                <c:pt idx="40">
                  <c:v>-1.0835760066720277</c:v>
                </c:pt>
                <c:pt idx="41">
                  <c:v>-0.62054435113073381</c:v>
                </c:pt>
                <c:pt idx="42">
                  <c:v>2.3416733628617399</c:v>
                </c:pt>
                <c:pt idx="43">
                  <c:v>0.16602425929008635</c:v>
                </c:pt>
                <c:pt idx="44">
                  <c:v>1.789235365877242</c:v>
                </c:pt>
                <c:pt idx="45">
                  <c:v>0.18842753607888407</c:v>
                </c:pt>
                <c:pt idx="46">
                  <c:v>1.0758850612129391</c:v>
                </c:pt>
                <c:pt idx="47">
                  <c:v>1.1917897228087584</c:v>
                </c:pt>
                <c:pt idx="48">
                  <c:v>-0.11420483527783942</c:v>
                </c:pt>
                <c:pt idx="49">
                  <c:v>0.99121498899728622</c:v>
                </c:pt>
                <c:pt idx="50">
                  <c:v>0.56313360755873854</c:v>
                </c:pt>
                <c:pt idx="51">
                  <c:v>-0.19474533120019455</c:v>
                </c:pt>
                <c:pt idx="52">
                  <c:v>0.47109761576609377</c:v>
                </c:pt>
                <c:pt idx="53">
                  <c:v>-1.7576468554700853E-2</c:v>
                </c:pt>
                <c:pt idx="54">
                  <c:v>0.80763365855744973</c:v>
                </c:pt>
                <c:pt idx="55">
                  <c:v>-5.3747407211260922E-3</c:v>
                </c:pt>
                <c:pt idx="56">
                  <c:v>-0.61127603614540782</c:v>
                </c:pt>
                <c:pt idx="57">
                  <c:v>0.14141618915112764</c:v>
                </c:pt>
                <c:pt idx="58">
                  <c:v>0.55924767864999092</c:v>
                </c:pt>
                <c:pt idx="59">
                  <c:v>5.7556738437674948E-2</c:v>
                </c:pt>
                <c:pt idx="60">
                  <c:v>-0.1047831373051743</c:v>
                </c:pt>
                <c:pt idx="61">
                  <c:v>1.0549970406199769</c:v>
                </c:pt>
                <c:pt idx="62">
                  <c:v>0.53663605068319764</c:v>
                </c:pt>
                <c:pt idx="63">
                  <c:v>3.7309865128964836E-2</c:v>
                </c:pt>
                <c:pt idx="64">
                  <c:v>-0.47088860421806589</c:v>
                </c:pt>
                <c:pt idx="65">
                  <c:v>-0.9803663884464876</c:v>
                </c:pt>
                <c:pt idx="66">
                  <c:v>0.13927170460120974</c:v>
                </c:pt>
                <c:pt idx="67">
                  <c:v>1.0475980791113462</c:v>
                </c:pt>
                <c:pt idx="68">
                  <c:v>0.41044846206981689</c:v>
                </c:pt>
                <c:pt idx="69">
                  <c:v>0.24540946507927008</c:v>
                </c:pt>
                <c:pt idx="70">
                  <c:v>0.50843511521338303</c:v>
                </c:pt>
                <c:pt idx="71">
                  <c:v>0.8625701060086981</c:v>
                </c:pt>
                <c:pt idx="72">
                  <c:v>1.1555380760756238</c:v>
                </c:pt>
                <c:pt idx="73">
                  <c:v>-0.98543975626747671</c:v>
                </c:pt>
                <c:pt idx="74">
                  <c:v>-7.9213772540778447</c:v>
                </c:pt>
                <c:pt idx="75">
                  <c:v>5.3031707061378555</c:v>
                </c:pt>
                <c:pt idx="76">
                  <c:v>2.1745999465428261</c:v>
                </c:pt>
                <c:pt idx="77">
                  <c:v>1.0422956107498642</c:v>
                </c:pt>
                <c:pt idx="78">
                  <c:v>2.3876877104536733</c:v>
                </c:pt>
                <c:pt idx="79">
                  <c:v>0.45137623668813703</c:v>
                </c:pt>
                <c:pt idx="80">
                  <c:v>-0.22366106246305217</c:v>
                </c:pt>
                <c:pt idx="81">
                  <c:v>0.43347386859428083</c:v>
                </c:pt>
                <c:pt idx="82">
                  <c:v>3.1232747119403257</c:v>
                </c:pt>
                <c:pt idx="83">
                  <c:v>1.3975308543551597</c:v>
                </c:pt>
                <c:pt idx="84">
                  <c:v>-0.17403245931822164</c:v>
                </c:pt>
                <c:pt idx="85">
                  <c:v>-0.77468471140250195</c:v>
                </c:pt>
                <c:pt idx="86">
                  <c:v>0.79875154656996084</c:v>
                </c:pt>
                <c:pt idx="87">
                  <c:v>0.84260777591024194</c:v>
                </c:pt>
                <c:pt idx="88">
                  <c:v>0.78391815443547808</c:v>
                </c:pt>
                <c:pt idx="89">
                  <c:v>1.0513493798430791</c:v>
                </c:pt>
                <c:pt idx="90">
                  <c:v>1.2178655916285586</c:v>
                </c:pt>
                <c:pt idx="91">
                  <c:v>0.59259095861008393</c:v>
                </c:pt>
                <c:pt idx="92">
                  <c:v>-0.5175097498731589</c:v>
                </c:pt>
                <c:pt idx="93">
                  <c:v>0.86814407013074013</c:v>
                </c:pt>
                <c:pt idx="94">
                  <c:v>0.63160990083713475</c:v>
                </c:pt>
                <c:pt idx="95">
                  <c:v>1.1111669578128722</c:v>
                </c:pt>
                <c:pt idx="96">
                  <c:v>-1.7718878197852961</c:v>
                </c:pt>
                <c:pt idx="97">
                  <c:v>-0.78475620738579233</c:v>
                </c:pt>
                <c:pt idx="98">
                  <c:v>0.70381514991642014</c:v>
                </c:pt>
                <c:pt idx="99">
                  <c:v>-2.1967430034524549</c:v>
                </c:pt>
                <c:pt idx="100">
                  <c:v>0.5872750932781674</c:v>
                </c:pt>
                <c:pt idx="101">
                  <c:v>-3.8806422004577583</c:v>
                </c:pt>
                <c:pt idx="102">
                  <c:v>5.0584918554271994</c:v>
                </c:pt>
                <c:pt idx="103">
                  <c:v>-3.8352777350749516</c:v>
                </c:pt>
                <c:pt idx="104">
                  <c:v>-3.7862252851791838</c:v>
                </c:pt>
                <c:pt idx="105">
                  <c:v>3.2288882005098563</c:v>
                </c:pt>
                <c:pt idx="106">
                  <c:v>2.7402886601761427</c:v>
                </c:pt>
                <c:pt idx="107">
                  <c:v>-0.56508723176469178</c:v>
                </c:pt>
                <c:pt idx="108">
                  <c:v>2.5197855829875819</c:v>
                </c:pt>
                <c:pt idx="109">
                  <c:v>-1.3463126511790171</c:v>
                </c:pt>
                <c:pt idx="110">
                  <c:v>0.97911060012324624</c:v>
                </c:pt>
                <c:pt idx="111">
                  <c:v>0.2522607466414819</c:v>
                </c:pt>
                <c:pt idx="112">
                  <c:v>-1.1793605841721591</c:v>
                </c:pt>
                <c:pt idx="113">
                  <c:v>0.27822346787710606</c:v>
                </c:pt>
                <c:pt idx="114">
                  <c:v>1.3773970317590614</c:v>
                </c:pt>
                <c:pt idx="115">
                  <c:v>1.7891775020191014E-2</c:v>
                </c:pt>
                <c:pt idx="116">
                  <c:v>-0.15000546537551185</c:v>
                </c:pt>
                <c:pt idx="117">
                  <c:v>-0.26002890759939778</c:v>
                </c:pt>
                <c:pt idx="118">
                  <c:v>3.2265030748419425</c:v>
                </c:pt>
                <c:pt idx="119">
                  <c:v>3.3119558529910309</c:v>
                </c:pt>
                <c:pt idx="120">
                  <c:v>-0.32705592265729377</c:v>
                </c:pt>
                <c:pt idx="121">
                  <c:v>-2.5602232678404446E-2</c:v>
                </c:pt>
                <c:pt idx="122">
                  <c:v>1.2479265780494904</c:v>
                </c:pt>
                <c:pt idx="123">
                  <c:v>-0.60826715108719331</c:v>
                </c:pt>
                <c:pt idx="124">
                  <c:v>1.1298496372975668</c:v>
                </c:pt>
                <c:pt idx="125">
                  <c:v>0.67622586772203652</c:v>
                </c:pt>
                <c:pt idx="126">
                  <c:v>1.440757068887494</c:v>
                </c:pt>
                <c:pt idx="127">
                  <c:v>0.94921592306632763</c:v>
                </c:pt>
                <c:pt idx="128">
                  <c:v>0.9449528580672466</c:v>
                </c:pt>
                <c:pt idx="129">
                  <c:v>-0.47982224856460465</c:v>
                </c:pt>
                <c:pt idx="130">
                  <c:v>1.5186063218328554</c:v>
                </c:pt>
                <c:pt idx="131">
                  <c:v>0.12127614442290868</c:v>
                </c:pt>
                <c:pt idx="132">
                  <c:v>1.1362595063981762</c:v>
                </c:pt>
                <c:pt idx="133">
                  <c:v>0.71605052290547322</c:v>
                </c:pt>
                <c:pt idx="134">
                  <c:v>-0.72444846941699881</c:v>
                </c:pt>
                <c:pt idx="135">
                  <c:v>1.0758029196501353</c:v>
                </c:pt>
                <c:pt idx="136">
                  <c:v>0.71768314021107305</c:v>
                </c:pt>
                <c:pt idx="137">
                  <c:v>1.0915683391442266</c:v>
                </c:pt>
                <c:pt idx="138">
                  <c:v>0.68962071999246388</c:v>
                </c:pt>
                <c:pt idx="139">
                  <c:v>0.12735191743658558</c:v>
                </c:pt>
                <c:pt idx="140">
                  <c:v>0.79950786977612154</c:v>
                </c:pt>
                <c:pt idx="141">
                  <c:v>0.97485736380086496</c:v>
                </c:pt>
                <c:pt idx="142">
                  <c:v>7.6399124725960998E-2</c:v>
                </c:pt>
                <c:pt idx="143">
                  <c:v>0.47674198091842407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F40-1240-8FFC-15584F74F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8944784"/>
        <c:axId val="1038302048"/>
      </c:scatterChart>
      <c:valAx>
        <c:axId val="10389447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IG Credit Spread (%)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1038302048"/>
        <c:crosses val="autoZero"/>
        <c:crossBetween val="midCat"/>
      </c:valAx>
      <c:valAx>
        <c:axId val="10383020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Asset Returns (%)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103894478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'Credit, ERP, Inflation'!$F$28:$F$171</c:f>
              <c:numCache>
                <c:formatCode>General</c:formatCode>
                <c:ptCount val="144"/>
                <c:pt idx="0">
                  <c:v>0.34722222222222221</c:v>
                </c:pt>
                <c:pt idx="1">
                  <c:v>1.0416666666666665</c:v>
                </c:pt>
                <c:pt idx="2">
                  <c:v>1.7361111111111112</c:v>
                </c:pt>
                <c:pt idx="3">
                  <c:v>2.4305555555555554</c:v>
                </c:pt>
                <c:pt idx="4">
                  <c:v>3.125</c:v>
                </c:pt>
                <c:pt idx="5">
                  <c:v>3.8194444444444446</c:v>
                </c:pt>
                <c:pt idx="6">
                  <c:v>4.5138888888888884</c:v>
                </c:pt>
                <c:pt idx="7">
                  <c:v>5.208333333333333</c:v>
                </c:pt>
                <c:pt idx="8">
                  <c:v>5.9027777777777777</c:v>
                </c:pt>
                <c:pt idx="9">
                  <c:v>6.5972222222222223</c:v>
                </c:pt>
                <c:pt idx="10">
                  <c:v>7.291666666666667</c:v>
                </c:pt>
                <c:pt idx="11">
                  <c:v>7.9861111111111107</c:v>
                </c:pt>
                <c:pt idx="12">
                  <c:v>8.6805555555555536</c:v>
                </c:pt>
                <c:pt idx="13">
                  <c:v>9.3749999999999982</c:v>
                </c:pt>
                <c:pt idx="14">
                  <c:v>10.069444444444443</c:v>
                </c:pt>
                <c:pt idx="15">
                  <c:v>10.763888888888888</c:v>
                </c:pt>
                <c:pt idx="16">
                  <c:v>11.458333333333332</c:v>
                </c:pt>
                <c:pt idx="17">
                  <c:v>12.152777777777777</c:v>
                </c:pt>
                <c:pt idx="18">
                  <c:v>12.847222222222221</c:v>
                </c:pt>
                <c:pt idx="19">
                  <c:v>13.541666666666666</c:v>
                </c:pt>
                <c:pt idx="20">
                  <c:v>14.236111111111111</c:v>
                </c:pt>
                <c:pt idx="21">
                  <c:v>14.930555555555554</c:v>
                </c:pt>
                <c:pt idx="22">
                  <c:v>15.624999999999998</c:v>
                </c:pt>
                <c:pt idx="23">
                  <c:v>16.319444444444443</c:v>
                </c:pt>
                <c:pt idx="24">
                  <c:v>17.013888888888886</c:v>
                </c:pt>
                <c:pt idx="25">
                  <c:v>17.708333333333332</c:v>
                </c:pt>
                <c:pt idx="26">
                  <c:v>18.402777777777775</c:v>
                </c:pt>
                <c:pt idx="27">
                  <c:v>19.097222222222221</c:v>
                </c:pt>
                <c:pt idx="28">
                  <c:v>19.791666666666664</c:v>
                </c:pt>
                <c:pt idx="29">
                  <c:v>20.486111111111111</c:v>
                </c:pt>
                <c:pt idx="30">
                  <c:v>21.180555555555554</c:v>
                </c:pt>
                <c:pt idx="31">
                  <c:v>21.875</c:v>
                </c:pt>
                <c:pt idx="32">
                  <c:v>22.569444444444443</c:v>
                </c:pt>
                <c:pt idx="33">
                  <c:v>23.263888888888886</c:v>
                </c:pt>
                <c:pt idx="34">
                  <c:v>23.958333333333332</c:v>
                </c:pt>
                <c:pt idx="35">
                  <c:v>24.652777777777775</c:v>
                </c:pt>
                <c:pt idx="36">
                  <c:v>25.347222222222221</c:v>
                </c:pt>
                <c:pt idx="37">
                  <c:v>26.041666666666664</c:v>
                </c:pt>
                <c:pt idx="38">
                  <c:v>26.736111111111111</c:v>
                </c:pt>
                <c:pt idx="39">
                  <c:v>27.430555555555554</c:v>
                </c:pt>
                <c:pt idx="40">
                  <c:v>28.125</c:v>
                </c:pt>
                <c:pt idx="41">
                  <c:v>28.819444444444443</c:v>
                </c:pt>
                <c:pt idx="42">
                  <c:v>29.513888888888886</c:v>
                </c:pt>
                <c:pt idx="43">
                  <c:v>30.208333333333332</c:v>
                </c:pt>
                <c:pt idx="44">
                  <c:v>30.902777777777775</c:v>
                </c:pt>
                <c:pt idx="45">
                  <c:v>31.597222222222221</c:v>
                </c:pt>
                <c:pt idx="46">
                  <c:v>32.291666666666664</c:v>
                </c:pt>
                <c:pt idx="47">
                  <c:v>32.986111111111107</c:v>
                </c:pt>
                <c:pt idx="48">
                  <c:v>33.68055555555555</c:v>
                </c:pt>
                <c:pt idx="49">
                  <c:v>34.375</c:v>
                </c:pt>
                <c:pt idx="50">
                  <c:v>35.069444444444443</c:v>
                </c:pt>
                <c:pt idx="51">
                  <c:v>35.763888888888886</c:v>
                </c:pt>
                <c:pt idx="52">
                  <c:v>36.458333333333329</c:v>
                </c:pt>
                <c:pt idx="53">
                  <c:v>37.152777777777779</c:v>
                </c:pt>
                <c:pt idx="54">
                  <c:v>37.847222222222221</c:v>
                </c:pt>
                <c:pt idx="55">
                  <c:v>38.541666666666664</c:v>
                </c:pt>
                <c:pt idx="56">
                  <c:v>39.236111111111107</c:v>
                </c:pt>
                <c:pt idx="57">
                  <c:v>39.93055555555555</c:v>
                </c:pt>
                <c:pt idx="58">
                  <c:v>40.625</c:v>
                </c:pt>
                <c:pt idx="59">
                  <c:v>41.319444444444443</c:v>
                </c:pt>
                <c:pt idx="60">
                  <c:v>42.013888888888886</c:v>
                </c:pt>
                <c:pt idx="61">
                  <c:v>42.708333333333329</c:v>
                </c:pt>
                <c:pt idx="62">
                  <c:v>43.402777777777779</c:v>
                </c:pt>
                <c:pt idx="63">
                  <c:v>44.097222222222221</c:v>
                </c:pt>
                <c:pt idx="64">
                  <c:v>44.791666666666664</c:v>
                </c:pt>
                <c:pt idx="65">
                  <c:v>45.486111111111107</c:v>
                </c:pt>
                <c:pt idx="66">
                  <c:v>46.18055555555555</c:v>
                </c:pt>
                <c:pt idx="67">
                  <c:v>46.875</c:v>
                </c:pt>
                <c:pt idx="68">
                  <c:v>47.569444444444443</c:v>
                </c:pt>
                <c:pt idx="69">
                  <c:v>48.263888888888886</c:v>
                </c:pt>
                <c:pt idx="70">
                  <c:v>48.958333333333329</c:v>
                </c:pt>
                <c:pt idx="71">
                  <c:v>49.652777777777779</c:v>
                </c:pt>
                <c:pt idx="72">
                  <c:v>50.347222222222221</c:v>
                </c:pt>
                <c:pt idx="73">
                  <c:v>51.041666666666664</c:v>
                </c:pt>
                <c:pt idx="74">
                  <c:v>51.736111111111107</c:v>
                </c:pt>
                <c:pt idx="75">
                  <c:v>52.43055555555555</c:v>
                </c:pt>
                <c:pt idx="76">
                  <c:v>53.125</c:v>
                </c:pt>
                <c:pt idx="77">
                  <c:v>53.819444444444443</c:v>
                </c:pt>
                <c:pt idx="78">
                  <c:v>54.513888888888886</c:v>
                </c:pt>
                <c:pt idx="79">
                  <c:v>55.208333333333329</c:v>
                </c:pt>
                <c:pt idx="80">
                  <c:v>55.902777777777779</c:v>
                </c:pt>
                <c:pt idx="81">
                  <c:v>56.597222222222221</c:v>
                </c:pt>
                <c:pt idx="82">
                  <c:v>57.291666666666664</c:v>
                </c:pt>
                <c:pt idx="83">
                  <c:v>57.986111111111107</c:v>
                </c:pt>
                <c:pt idx="84">
                  <c:v>58.68055555555555</c:v>
                </c:pt>
                <c:pt idx="85">
                  <c:v>59.375</c:v>
                </c:pt>
                <c:pt idx="86">
                  <c:v>60.069444444444443</c:v>
                </c:pt>
                <c:pt idx="87">
                  <c:v>60.763888888888886</c:v>
                </c:pt>
                <c:pt idx="88">
                  <c:v>61.458333333333329</c:v>
                </c:pt>
                <c:pt idx="89">
                  <c:v>62.152777777777771</c:v>
                </c:pt>
                <c:pt idx="90">
                  <c:v>62.847222222222221</c:v>
                </c:pt>
                <c:pt idx="91">
                  <c:v>63.541666666666664</c:v>
                </c:pt>
                <c:pt idx="92">
                  <c:v>64.236111111111114</c:v>
                </c:pt>
                <c:pt idx="93">
                  <c:v>64.930555555555557</c:v>
                </c:pt>
                <c:pt idx="94">
                  <c:v>65.625</c:v>
                </c:pt>
                <c:pt idx="95">
                  <c:v>66.319444444444443</c:v>
                </c:pt>
                <c:pt idx="96">
                  <c:v>67.013888888888886</c:v>
                </c:pt>
                <c:pt idx="97">
                  <c:v>67.708333333333343</c:v>
                </c:pt>
                <c:pt idx="98">
                  <c:v>68.402777777777786</c:v>
                </c:pt>
                <c:pt idx="99">
                  <c:v>69.097222222222229</c:v>
                </c:pt>
                <c:pt idx="100">
                  <c:v>69.791666666666671</c:v>
                </c:pt>
                <c:pt idx="101">
                  <c:v>70.486111111111114</c:v>
                </c:pt>
                <c:pt idx="102">
                  <c:v>71.180555555555557</c:v>
                </c:pt>
                <c:pt idx="103">
                  <c:v>71.875</c:v>
                </c:pt>
                <c:pt idx="104">
                  <c:v>72.569444444444443</c:v>
                </c:pt>
                <c:pt idx="105">
                  <c:v>73.263888888888886</c:v>
                </c:pt>
                <c:pt idx="106">
                  <c:v>73.958333333333343</c:v>
                </c:pt>
                <c:pt idx="107">
                  <c:v>74.652777777777786</c:v>
                </c:pt>
                <c:pt idx="108">
                  <c:v>75.347222222222229</c:v>
                </c:pt>
                <c:pt idx="109">
                  <c:v>76.041666666666671</c:v>
                </c:pt>
                <c:pt idx="110">
                  <c:v>76.736111111111114</c:v>
                </c:pt>
                <c:pt idx="111">
                  <c:v>77.430555555555557</c:v>
                </c:pt>
                <c:pt idx="112">
                  <c:v>78.125</c:v>
                </c:pt>
                <c:pt idx="113">
                  <c:v>78.819444444444443</c:v>
                </c:pt>
                <c:pt idx="114">
                  <c:v>79.513888888888886</c:v>
                </c:pt>
                <c:pt idx="115">
                  <c:v>80.208333333333343</c:v>
                </c:pt>
                <c:pt idx="116">
                  <c:v>80.902777777777786</c:v>
                </c:pt>
                <c:pt idx="117">
                  <c:v>81.597222222222229</c:v>
                </c:pt>
                <c:pt idx="118">
                  <c:v>82.291666666666671</c:v>
                </c:pt>
                <c:pt idx="119">
                  <c:v>82.986111111111114</c:v>
                </c:pt>
                <c:pt idx="120">
                  <c:v>83.680555555555557</c:v>
                </c:pt>
                <c:pt idx="121">
                  <c:v>84.375</c:v>
                </c:pt>
                <c:pt idx="122">
                  <c:v>85.069444444444443</c:v>
                </c:pt>
                <c:pt idx="123">
                  <c:v>85.763888888888886</c:v>
                </c:pt>
                <c:pt idx="124">
                  <c:v>86.458333333333343</c:v>
                </c:pt>
                <c:pt idx="125">
                  <c:v>87.152777777777786</c:v>
                </c:pt>
                <c:pt idx="126">
                  <c:v>87.847222222222229</c:v>
                </c:pt>
                <c:pt idx="127">
                  <c:v>88.541666666666671</c:v>
                </c:pt>
                <c:pt idx="128">
                  <c:v>89.236111111111114</c:v>
                </c:pt>
                <c:pt idx="129">
                  <c:v>89.930555555555557</c:v>
                </c:pt>
                <c:pt idx="130">
                  <c:v>90.625</c:v>
                </c:pt>
                <c:pt idx="131">
                  <c:v>91.319444444444443</c:v>
                </c:pt>
                <c:pt idx="132">
                  <c:v>92.013888888888886</c:v>
                </c:pt>
                <c:pt idx="133">
                  <c:v>92.708333333333343</c:v>
                </c:pt>
                <c:pt idx="134">
                  <c:v>93.402777777777786</c:v>
                </c:pt>
                <c:pt idx="135">
                  <c:v>94.097222222222229</c:v>
                </c:pt>
                <c:pt idx="136">
                  <c:v>94.791666666666671</c:v>
                </c:pt>
                <c:pt idx="137">
                  <c:v>95.486111111111114</c:v>
                </c:pt>
                <c:pt idx="138">
                  <c:v>96.180555555555557</c:v>
                </c:pt>
                <c:pt idx="139">
                  <c:v>96.875</c:v>
                </c:pt>
                <c:pt idx="140">
                  <c:v>97.569444444444443</c:v>
                </c:pt>
                <c:pt idx="141">
                  <c:v>98.263888888888886</c:v>
                </c:pt>
                <c:pt idx="142">
                  <c:v>98.958333333333343</c:v>
                </c:pt>
                <c:pt idx="143">
                  <c:v>99.652777777777786</c:v>
                </c:pt>
              </c:numCache>
            </c:numRef>
          </c:xVal>
          <c:yVal>
            <c:numRef>
              <c:f>'Credit, ERP, Inflation'!$G$28:$G$171</c:f>
              <c:numCache>
                <c:formatCode>General</c:formatCode>
                <c:ptCount val="144"/>
                <c:pt idx="0">
                  <c:v>-7.0047284893671877</c:v>
                </c:pt>
                <c:pt idx="1">
                  <c:v>-4.6868598995851904</c:v>
                </c:pt>
                <c:pt idx="2">
                  <c:v>-4.1526948243374111</c:v>
                </c:pt>
                <c:pt idx="3">
                  <c:v>-3.6875242113072275</c:v>
                </c:pt>
                <c:pt idx="4">
                  <c:v>-3.3442885744124804</c:v>
                </c:pt>
                <c:pt idx="5">
                  <c:v>-3.1231512210139143</c:v>
                </c:pt>
                <c:pt idx="6">
                  <c:v>-2.9682787226250409</c:v>
                </c:pt>
                <c:pt idx="7">
                  <c:v>-2.5680570998352561</c:v>
                </c:pt>
                <c:pt idx="8">
                  <c:v>-2.5280472836281653</c:v>
                </c:pt>
                <c:pt idx="9">
                  <c:v>-2.5046976641667626</c:v>
                </c:pt>
                <c:pt idx="10">
                  <c:v>-2.2568118607420633</c:v>
                </c:pt>
                <c:pt idx="11">
                  <c:v>-1.9001782009329338</c:v>
                </c:pt>
                <c:pt idx="12">
                  <c:v>-1.8423176925388944</c:v>
                </c:pt>
                <c:pt idx="13">
                  <c:v>-1.8267949190726551</c:v>
                </c:pt>
                <c:pt idx="14">
                  <c:v>-1.7163787658669345</c:v>
                </c:pt>
                <c:pt idx="15">
                  <c:v>-1.7024670003016547</c:v>
                </c:pt>
                <c:pt idx="16">
                  <c:v>-1.4912303020014905</c:v>
                </c:pt>
                <c:pt idx="17">
                  <c:v>-1.4816122688402813</c:v>
                </c:pt>
                <c:pt idx="18">
                  <c:v>-1.3850399013585131</c:v>
                </c:pt>
                <c:pt idx="19">
                  <c:v>-1.3845334693391671</c:v>
                </c:pt>
                <c:pt idx="20">
                  <c:v>-1.3312319193447704</c:v>
                </c:pt>
                <c:pt idx="21">
                  <c:v>-1.2793531068196276</c:v>
                </c:pt>
                <c:pt idx="22">
                  <c:v>-1.1425691586862545</c:v>
                </c:pt>
                <c:pt idx="23">
                  <c:v>-1.1072210028407516</c:v>
                </c:pt>
                <c:pt idx="24">
                  <c:v>-1.0801430002995103</c:v>
                </c:pt>
                <c:pt idx="25">
                  <c:v>-0.94912629185626851</c:v>
                </c:pt>
                <c:pt idx="26">
                  <c:v>-0.93339874585644023</c:v>
                </c:pt>
                <c:pt idx="27">
                  <c:v>-0.8739297602339734</c:v>
                </c:pt>
                <c:pt idx="28">
                  <c:v>-0.85098504001589137</c:v>
                </c:pt>
                <c:pt idx="29">
                  <c:v>-0.84486748191592764</c:v>
                </c:pt>
                <c:pt idx="30">
                  <c:v>-0.83998798555617005</c:v>
                </c:pt>
                <c:pt idx="31">
                  <c:v>-0.82038765576752415</c:v>
                </c:pt>
                <c:pt idx="32">
                  <c:v>-0.73047275946122014</c:v>
                </c:pt>
                <c:pt idx="33">
                  <c:v>-0.72114034769675106</c:v>
                </c:pt>
                <c:pt idx="34">
                  <c:v>-0.70844610563042631</c:v>
                </c:pt>
                <c:pt idx="35">
                  <c:v>-0.63980558944311527</c:v>
                </c:pt>
                <c:pt idx="36">
                  <c:v>-0.63321922178810008</c:v>
                </c:pt>
                <c:pt idx="37">
                  <c:v>-0.62523746935851443</c:v>
                </c:pt>
                <c:pt idx="38">
                  <c:v>-0.60205936122706527</c:v>
                </c:pt>
                <c:pt idx="39">
                  <c:v>-0.49649597275839152</c:v>
                </c:pt>
                <c:pt idx="40">
                  <c:v>-0.45287219230992509</c:v>
                </c:pt>
                <c:pt idx="41">
                  <c:v>-0.44945692130845749</c:v>
                </c:pt>
                <c:pt idx="42">
                  <c:v>-0.42414010254649709</c:v>
                </c:pt>
                <c:pt idx="43">
                  <c:v>-0.40587403799491967</c:v>
                </c:pt>
                <c:pt idx="44">
                  <c:v>-0.38364685529762182</c:v>
                </c:pt>
                <c:pt idx="45">
                  <c:v>-0.34952011853591453</c:v>
                </c:pt>
                <c:pt idx="46">
                  <c:v>-0.32059917407416511</c:v>
                </c:pt>
                <c:pt idx="47">
                  <c:v>-0.25809067214290327</c:v>
                </c:pt>
                <c:pt idx="48">
                  <c:v>-0.23417506109101072</c:v>
                </c:pt>
                <c:pt idx="49">
                  <c:v>-0.18651939975316809</c:v>
                </c:pt>
                <c:pt idx="50">
                  <c:v>-0.16023377056929605</c:v>
                </c:pt>
                <c:pt idx="51">
                  <c:v>-0.15960421366991845</c:v>
                </c:pt>
                <c:pt idx="52">
                  <c:v>-0.12574664360828455</c:v>
                </c:pt>
                <c:pt idx="53">
                  <c:v>-3.7635693365227305E-2</c:v>
                </c:pt>
                <c:pt idx="54">
                  <c:v>-2.8872892422191813E-2</c:v>
                </c:pt>
                <c:pt idx="55">
                  <c:v>-2.1093949631446327E-2</c:v>
                </c:pt>
                <c:pt idx="56">
                  <c:v>2.1744398396726858E-3</c:v>
                </c:pt>
                <c:pt idx="57">
                  <c:v>1.3361896540353232E-2</c:v>
                </c:pt>
                <c:pt idx="58">
                  <c:v>1.5244628300109645E-2</c:v>
                </c:pt>
                <c:pt idx="59">
                  <c:v>4.5162099813618559E-2</c:v>
                </c:pt>
                <c:pt idx="60">
                  <c:v>5.5182858323510636E-2</c:v>
                </c:pt>
                <c:pt idx="61">
                  <c:v>6.2862567183433013E-2</c:v>
                </c:pt>
                <c:pt idx="62">
                  <c:v>6.4450144874432388E-2</c:v>
                </c:pt>
                <c:pt idx="63">
                  <c:v>0.17050584189129772</c:v>
                </c:pt>
                <c:pt idx="64">
                  <c:v>0.20128346879376346</c:v>
                </c:pt>
                <c:pt idx="65">
                  <c:v>0.25176219913533959</c:v>
                </c:pt>
                <c:pt idx="66">
                  <c:v>0.27937046819359035</c:v>
                </c:pt>
                <c:pt idx="67">
                  <c:v>0.29248739326307094</c:v>
                </c:pt>
                <c:pt idx="68">
                  <c:v>0.32195109833132546</c:v>
                </c:pt>
                <c:pt idx="69">
                  <c:v>0.3416951439283733</c:v>
                </c:pt>
                <c:pt idx="70">
                  <c:v>0.3941440510082177</c:v>
                </c:pt>
                <c:pt idx="71">
                  <c:v>0.39463790345239053</c:v>
                </c:pt>
                <c:pt idx="72">
                  <c:v>0.44664249623499269</c:v>
                </c:pt>
                <c:pt idx="73">
                  <c:v>0.44906329589973976</c:v>
                </c:pt>
                <c:pt idx="74">
                  <c:v>0.51269214936388086</c:v>
                </c:pt>
                <c:pt idx="75">
                  <c:v>0.54311279831289316</c:v>
                </c:pt>
                <c:pt idx="76">
                  <c:v>0.64991632276644051</c:v>
                </c:pt>
                <c:pt idx="77">
                  <c:v>0.74520035393408268</c:v>
                </c:pt>
                <c:pt idx="78">
                  <c:v>0.76476526172699799</c:v>
                </c:pt>
                <c:pt idx="79">
                  <c:v>0.76715041455256716</c:v>
                </c:pt>
                <c:pt idx="80">
                  <c:v>0.77913542886387466</c:v>
                </c:pt>
                <c:pt idx="81">
                  <c:v>0.79790760681101336</c:v>
                </c:pt>
                <c:pt idx="82">
                  <c:v>0.79930043255834871</c:v>
                </c:pt>
                <c:pt idx="83">
                  <c:v>0.80909571022157933</c:v>
                </c:pt>
                <c:pt idx="84">
                  <c:v>0.8173714702258239</c:v>
                </c:pt>
                <c:pt idx="85">
                  <c:v>0.8220675256694463</c:v>
                </c:pt>
                <c:pt idx="86">
                  <c:v>0.94080499762717185</c:v>
                </c:pt>
                <c:pt idx="87">
                  <c:v>0.98384974618307341</c:v>
                </c:pt>
                <c:pt idx="88">
                  <c:v>1.084910181769061</c:v>
                </c:pt>
                <c:pt idx="89">
                  <c:v>1.088562294937061</c:v>
                </c:pt>
                <c:pt idx="90">
                  <c:v>1.1252408849651883</c:v>
                </c:pt>
                <c:pt idx="91">
                  <c:v>1.1573512190828252</c:v>
                </c:pt>
                <c:pt idx="92">
                  <c:v>1.1607317321410837</c:v>
                </c:pt>
                <c:pt idx="93">
                  <c:v>1.1935119946777377</c:v>
                </c:pt>
                <c:pt idx="94">
                  <c:v>1.2933080083597004</c:v>
                </c:pt>
                <c:pt idx="95">
                  <c:v>1.3006576888791135</c:v>
                </c:pt>
                <c:pt idx="96">
                  <c:v>1.3072997744824202</c:v>
                </c:pt>
                <c:pt idx="97">
                  <c:v>1.3201728926043841</c:v>
                </c:pt>
                <c:pt idx="98">
                  <c:v>1.3282751471537555</c:v>
                </c:pt>
                <c:pt idx="99">
                  <c:v>1.3592930931331151</c:v>
                </c:pt>
                <c:pt idx="100">
                  <c:v>1.3893836371301047</c:v>
                </c:pt>
                <c:pt idx="101">
                  <c:v>1.4570599695124704</c:v>
                </c:pt>
                <c:pt idx="102">
                  <c:v>1.4746501612318974</c:v>
                </c:pt>
                <c:pt idx="103">
                  <c:v>1.4799167353491935</c:v>
                </c:pt>
                <c:pt idx="104">
                  <c:v>1.5120608050198472</c:v>
                </c:pt>
                <c:pt idx="105">
                  <c:v>1.5632378548125487</c:v>
                </c:pt>
                <c:pt idx="106">
                  <c:v>1.5752476292840976</c:v>
                </c:pt>
                <c:pt idx="107">
                  <c:v>1.7130121087748451</c:v>
                </c:pt>
                <c:pt idx="108">
                  <c:v>1.8101887790863302</c:v>
                </c:pt>
                <c:pt idx="109">
                  <c:v>1.8519535193189707</c:v>
                </c:pt>
                <c:pt idx="110">
                  <c:v>1.9551601207275044</c:v>
                </c:pt>
                <c:pt idx="111">
                  <c:v>1.9636320377819911</c:v>
                </c:pt>
                <c:pt idx="112">
                  <c:v>1.9965489332311821</c:v>
                </c:pt>
                <c:pt idx="113">
                  <c:v>2.1127325139720563</c:v>
                </c:pt>
                <c:pt idx="114">
                  <c:v>2.1320616401803507</c:v>
                </c:pt>
                <c:pt idx="115">
                  <c:v>2.1528110708148573</c:v>
                </c:pt>
                <c:pt idx="116">
                  <c:v>2.1554149374730458</c:v>
                </c:pt>
                <c:pt idx="117">
                  <c:v>2.1937669383125291</c:v>
                </c:pt>
                <c:pt idx="118">
                  <c:v>2.2441569439350513</c:v>
                </c:pt>
                <c:pt idx="119">
                  <c:v>2.3109716137805942</c:v>
                </c:pt>
                <c:pt idx="120">
                  <c:v>2.3644571963769208</c:v>
                </c:pt>
                <c:pt idx="121">
                  <c:v>2.3878145236429944</c:v>
                </c:pt>
                <c:pt idx="122">
                  <c:v>2.4047017706743326</c:v>
                </c:pt>
                <c:pt idx="123">
                  <c:v>2.4711222871909655</c:v>
                </c:pt>
                <c:pt idx="124">
                  <c:v>2.5118747000438195</c:v>
                </c:pt>
                <c:pt idx="125">
                  <c:v>2.5198681337412903</c:v>
                </c:pt>
                <c:pt idx="126">
                  <c:v>2.5257042870557784</c:v>
                </c:pt>
                <c:pt idx="127">
                  <c:v>2.5343167951715437</c:v>
                </c:pt>
                <c:pt idx="128">
                  <c:v>2.6303236664701828</c:v>
                </c:pt>
                <c:pt idx="129">
                  <c:v>2.6535892327475388</c:v>
                </c:pt>
                <c:pt idx="130">
                  <c:v>2.664630651168546</c:v>
                </c:pt>
                <c:pt idx="131">
                  <c:v>2.683391280512204</c:v>
                </c:pt>
                <c:pt idx="132">
                  <c:v>2.7070180675265525</c:v>
                </c:pt>
                <c:pt idx="133">
                  <c:v>2.8438546235537174</c:v>
                </c:pt>
                <c:pt idx="134">
                  <c:v>2.8609360739223297</c:v>
                </c:pt>
                <c:pt idx="135">
                  <c:v>3.0698713827378343</c:v>
                </c:pt>
                <c:pt idx="136">
                  <c:v>3.1095108983661892</c:v>
                </c:pt>
                <c:pt idx="137">
                  <c:v>3.1666873562985165</c:v>
                </c:pt>
                <c:pt idx="138">
                  <c:v>3.3950819422879635</c:v>
                </c:pt>
                <c:pt idx="139">
                  <c:v>3.4388141552305238</c:v>
                </c:pt>
                <c:pt idx="140">
                  <c:v>3.580071379617352</c:v>
                </c:pt>
                <c:pt idx="141">
                  <c:v>3.8214888861569447</c:v>
                </c:pt>
                <c:pt idx="142">
                  <c:v>4.5018822436456931</c:v>
                </c:pt>
                <c:pt idx="143">
                  <c:v>5.5867022964527608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06-FA4F-A93D-B3DA9769B2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8784480"/>
        <c:axId val="1038734912"/>
      </c:scatterChart>
      <c:valAx>
        <c:axId val="1038784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38734912"/>
        <c:crosses val="autoZero"/>
        <c:crossBetween val="midCat"/>
      </c:valAx>
      <c:valAx>
        <c:axId val="10387349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Asset Returns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38784480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Average SONIA (%)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Data!$R$2:$R$145</c:f>
              <c:numCache>
                <c:formatCode>0.0000</c:formatCode>
                <c:ptCount val="144"/>
                <c:pt idx="0">
                  <c:v>3.5433333333333303E-2</c:v>
                </c:pt>
                <c:pt idx="1">
                  <c:v>3.5841666666666702E-2</c:v>
                </c:pt>
                <c:pt idx="2">
                  <c:v>3.55833333333333E-2</c:v>
                </c:pt>
                <c:pt idx="3">
                  <c:v>3.5825000000000003E-2</c:v>
                </c:pt>
                <c:pt idx="4">
                  <c:v>3.5941666666666698E-2</c:v>
                </c:pt>
                <c:pt idx="5">
                  <c:v>3.58333333333333E-2</c:v>
                </c:pt>
                <c:pt idx="6">
                  <c:v>3.5125000000000003E-2</c:v>
                </c:pt>
                <c:pt idx="7">
                  <c:v>3.5725E-2</c:v>
                </c:pt>
                <c:pt idx="8">
                  <c:v>3.4974999999999999E-2</c:v>
                </c:pt>
                <c:pt idx="9">
                  <c:v>3.4658333333333298E-2</c:v>
                </c:pt>
                <c:pt idx="10">
                  <c:v>3.51666666666667E-2</c:v>
                </c:pt>
                <c:pt idx="11">
                  <c:v>3.5275000000000001E-2</c:v>
                </c:pt>
                <c:pt idx="12">
                  <c:v>3.5424999999999998E-2</c:v>
                </c:pt>
                <c:pt idx="13">
                  <c:v>3.5691666666666698E-2</c:v>
                </c:pt>
                <c:pt idx="14">
                  <c:v>3.5233333333333297E-2</c:v>
                </c:pt>
                <c:pt idx="15">
                  <c:v>3.59916666666667E-2</c:v>
                </c:pt>
                <c:pt idx="16">
                  <c:v>3.5900000000000001E-2</c:v>
                </c:pt>
                <c:pt idx="17">
                  <c:v>3.6041666666666701E-2</c:v>
                </c:pt>
                <c:pt idx="18">
                  <c:v>3.5666666666666701E-2</c:v>
                </c:pt>
                <c:pt idx="19">
                  <c:v>3.6291666666666701E-2</c:v>
                </c:pt>
                <c:pt idx="20">
                  <c:v>3.7591666666666697E-2</c:v>
                </c:pt>
                <c:pt idx="21">
                  <c:v>3.80666666666667E-2</c:v>
                </c:pt>
                <c:pt idx="22">
                  <c:v>3.8116666666666701E-2</c:v>
                </c:pt>
                <c:pt idx="23">
                  <c:v>3.85E-2</c:v>
                </c:pt>
                <c:pt idx="24">
                  <c:v>3.805E-2</c:v>
                </c:pt>
                <c:pt idx="25">
                  <c:v>3.7908333333333301E-2</c:v>
                </c:pt>
                <c:pt idx="26">
                  <c:v>3.8249999999999999E-2</c:v>
                </c:pt>
                <c:pt idx="27">
                  <c:v>3.7866666666666701E-2</c:v>
                </c:pt>
                <c:pt idx="28">
                  <c:v>3.8516666666666699E-2</c:v>
                </c:pt>
                <c:pt idx="29">
                  <c:v>3.8633333333333297E-2</c:v>
                </c:pt>
                <c:pt idx="30">
                  <c:v>3.8124999999999999E-2</c:v>
                </c:pt>
                <c:pt idx="31">
                  <c:v>3.8824999999999998E-2</c:v>
                </c:pt>
                <c:pt idx="32">
                  <c:v>3.8808333333333299E-2</c:v>
                </c:pt>
                <c:pt idx="33">
                  <c:v>3.8716666666666698E-2</c:v>
                </c:pt>
                <c:pt idx="34">
                  <c:v>3.88583333333333E-2</c:v>
                </c:pt>
                <c:pt idx="35">
                  <c:v>3.86083333333333E-2</c:v>
                </c:pt>
                <c:pt idx="36">
                  <c:v>3.83166666666667E-2</c:v>
                </c:pt>
                <c:pt idx="37">
                  <c:v>3.8141666666666699E-2</c:v>
                </c:pt>
                <c:pt idx="38">
                  <c:v>2.0650000000000002E-2</c:v>
                </c:pt>
                <c:pt idx="39">
                  <c:v>1.7749999999999998E-2</c:v>
                </c:pt>
                <c:pt idx="40">
                  <c:v>1.7666666666666699E-2</c:v>
                </c:pt>
                <c:pt idx="41">
                  <c:v>1.7566666666666699E-2</c:v>
                </c:pt>
                <c:pt idx="42">
                  <c:v>1.7708333333333302E-2</c:v>
                </c:pt>
                <c:pt idx="43">
                  <c:v>1.7791666666666699E-2</c:v>
                </c:pt>
                <c:pt idx="44">
                  <c:v>1.755E-2</c:v>
                </c:pt>
                <c:pt idx="45">
                  <c:v>1.7458333333333301E-2</c:v>
                </c:pt>
                <c:pt idx="46">
                  <c:v>1.7616666666666701E-2</c:v>
                </c:pt>
                <c:pt idx="47">
                  <c:v>1.77166666666667E-2</c:v>
                </c:pt>
                <c:pt idx="48">
                  <c:v>1.7675E-2</c:v>
                </c:pt>
                <c:pt idx="49">
                  <c:v>1.77E-2</c:v>
                </c:pt>
                <c:pt idx="50">
                  <c:v>1.7766666666666701E-2</c:v>
                </c:pt>
                <c:pt idx="51">
                  <c:v>1.7691666666666699E-2</c:v>
                </c:pt>
                <c:pt idx="52">
                  <c:v>1.7583333333333302E-2</c:v>
                </c:pt>
                <c:pt idx="53">
                  <c:v>3.7441666666666699E-2</c:v>
                </c:pt>
                <c:pt idx="54">
                  <c:v>3.8491666666666702E-2</c:v>
                </c:pt>
                <c:pt idx="55">
                  <c:v>3.8591666666666698E-2</c:v>
                </c:pt>
                <c:pt idx="56">
                  <c:v>3.8616666666666702E-2</c:v>
                </c:pt>
                <c:pt idx="57">
                  <c:v>3.8641666666666699E-2</c:v>
                </c:pt>
                <c:pt idx="58">
                  <c:v>3.8475000000000002E-2</c:v>
                </c:pt>
                <c:pt idx="59">
                  <c:v>3.7741666666666701E-2</c:v>
                </c:pt>
                <c:pt idx="60">
                  <c:v>3.7558333333333298E-2</c:v>
                </c:pt>
                <c:pt idx="61">
                  <c:v>3.7874999999999999E-2</c:v>
                </c:pt>
                <c:pt idx="62">
                  <c:v>5.7591666666666701E-2</c:v>
                </c:pt>
                <c:pt idx="63">
                  <c:v>5.8433333333333302E-2</c:v>
                </c:pt>
                <c:pt idx="64">
                  <c:v>5.8424999999999998E-2</c:v>
                </c:pt>
                <c:pt idx="65">
                  <c:v>5.8474999999999999E-2</c:v>
                </c:pt>
                <c:pt idx="66">
                  <c:v>5.8549999999999998E-2</c:v>
                </c:pt>
                <c:pt idx="67">
                  <c:v>5.9174999999999998E-2</c:v>
                </c:pt>
                <c:pt idx="68">
                  <c:v>5.9150000000000001E-2</c:v>
                </c:pt>
                <c:pt idx="69">
                  <c:v>5.9233333333333298E-2</c:v>
                </c:pt>
                <c:pt idx="70">
                  <c:v>5.92083333333333E-2</c:v>
                </c:pt>
                <c:pt idx="71">
                  <c:v>5.9174999999999998E-2</c:v>
                </c:pt>
                <c:pt idx="72">
                  <c:v>5.9275000000000001E-2</c:v>
                </c:pt>
                <c:pt idx="73">
                  <c:v>5.9200000000000003E-2</c:v>
                </c:pt>
                <c:pt idx="74">
                  <c:v>2.6599999999999999E-2</c:v>
                </c:pt>
                <c:pt idx="75">
                  <c:v>5.4916666666666699E-3</c:v>
                </c:pt>
                <c:pt idx="76">
                  <c:v>5.61666666666667E-3</c:v>
                </c:pt>
                <c:pt idx="77">
                  <c:v>5.3833333333333303E-3</c:v>
                </c:pt>
                <c:pt idx="78">
                  <c:v>4.9916666666666703E-3</c:v>
                </c:pt>
                <c:pt idx="79">
                  <c:v>4.6833333333333301E-3</c:v>
                </c:pt>
                <c:pt idx="80">
                  <c:v>4.55833333333333E-3</c:v>
                </c:pt>
                <c:pt idx="81">
                  <c:v>4.4833333333333296E-3</c:v>
                </c:pt>
                <c:pt idx="82">
                  <c:v>4.4749999999999998E-3</c:v>
                </c:pt>
                <c:pt idx="83">
                  <c:v>4.1000000000000003E-3</c:v>
                </c:pt>
                <c:pt idx="84">
                  <c:v>4.1166666666666704E-3</c:v>
                </c:pt>
                <c:pt idx="85">
                  <c:v>4.0499999999999998E-3</c:v>
                </c:pt>
                <c:pt idx="86">
                  <c:v>4.0499999999999998E-3</c:v>
                </c:pt>
                <c:pt idx="87">
                  <c:v>4.0499999999999998E-3</c:v>
                </c:pt>
                <c:pt idx="88">
                  <c:v>4.1250000000000002E-3</c:v>
                </c:pt>
                <c:pt idx="89">
                  <c:v>4.15E-3</c:v>
                </c:pt>
                <c:pt idx="90">
                  <c:v>4.2166666666666698E-3</c:v>
                </c:pt>
                <c:pt idx="91">
                  <c:v>4.1999999999999997E-3</c:v>
                </c:pt>
                <c:pt idx="92">
                  <c:v>4.1666666666666701E-3</c:v>
                </c:pt>
                <c:pt idx="93">
                  <c:v>4.1833333333333297E-3</c:v>
                </c:pt>
                <c:pt idx="94">
                  <c:v>3.8999999999999998E-3</c:v>
                </c:pt>
                <c:pt idx="95">
                  <c:v>9.5083333333333304E-3</c:v>
                </c:pt>
                <c:pt idx="96">
                  <c:v>1.6316666666666702E-2</c:v>
                </c:pt>
                <c:pt idx="97">
                  <c:v>3.4991666666666699E-2</c:v>
                </c:pt>
                <c:pt idx="98">
                  <c:v>4.68583333333333E-2</c:v>
                </c:pt>
                <c:pt idx="99">
                  <c:v>5.7549999999999997E-2</c:v>
                </c:pt>
                <c:pt idx="100">
                  <c:v>7.6316666666666699E-2</c:v>
                </c:pt>
                <c:pt idx="101">
                  <c:v>8.9724999999999999E-2</c:v>
                </c:pt>
                <c:pt idx="102">
                  <c:v>9.9233333333333298E-2</c:v>
                </c:pt>
                <c:pt idx="103">
                  <c:v>0.13516666666666699</c:v>
                </c:pt>
                <c:pt idx="104">
                  <c:v>0.154741666666667</c:v>
                </c:pt>
                <c:pt idx="105">
                  <c:v>0.18214166666666701</c:v>
                </c:pt>
                <c:pt idx="106">
                  <c:v>0.23832500000000001</c:v>
                </c:pt>
                <c:pt idx="107">
                  <c:v>0.26482499999999998</c:v>
                </c:pt>
                <c:pt idx="108">
                  <c:v>0.28562500000000002</c:v>
                </c:pt>
                <c:pt idx="109">
                  <c:v>0.32517499999999999</c:v>
                </c:pt>
                <c:pt idx="110">
                  <c:v>0.33359166666666701</c:v>
                </c:pt>
                <c:pt idx="111">
                  <c:v>0.34811666666666702</c:v>
                </c:pt>
                <c:pt idx="112">
                  <c:v>0.36273333333333302</c:v>
                </c:pt>
                <c:pt idx="113">
                  <c:v>0.38226666666666698</c:v>
                </c:pt>
                <c:pt idx="114">
                  <c:v>0.41084999999999999</c:v>
                </c:pt>
                <c:pt idx="115">
                  <c:v>0.43007499999999999</c:v>
                </c:pt>
                <c:pt idx="116">
                  <c:v>0.43211666666666698</c:v>
                </c:pt>
                <c:pt idx="117">
                  <c:v>0.43225833333333302</c:v>
                </c:pt>
                <c:pt idx="118">
                  <c:v>0.43229166666666702</c:v>
                </c:pt>
                <c:pt idx="119">
                  <c:v>0.43225000000000002</c:v>
                </c:pt>
                <c:pt idx="120">
                  <c:v>0.43229166666666702</c:v>
                </c:pt>
                <c:pt idx="121">
                  <c:v>0.43235833333333301</c:v>
                </c:pt>
                <c:pt idx="122">
                  <c:v>0.432425</c:v>
                </c:pt>
                <c:pt idx="123">
                  <c:v>0.43315833333333298</c:v>
                </c:pt>
                <c:pt idx="124">
                  <c:v>0.43333333333333302</c:v>
                </c:pt>
                <c:pt idx="125">
                  <c:v>0.43333333333333302</c:v>
                </c:pt>
                <c:pt idx="126">
                  <c:v>0.43333333333333302</c:v>
                </c:pt>
                <c:pt idx="127">
                  <c:v>0.41249999999999998</c:v>
                </c:pt>
                <c:pt idx="128">
                  <c:v>0.41249999999999998</c:v>
                </c:pt>
                <c:pt idx="129">
                  <c:v>0.41249999999999998</c:v>
                </c:pt>
                <c:pt idx="130">
                  <c:v>0.395633333333333</c:v>
                </c:pt>
                <c:pt idx="131">
                  <c:v>0.391666666666667</c:v>
                </c:pt>
                <c:pt idx="132">
                  <c:v>0.39168333333333299</c:v>
                </c:pt>
                <c:pt idx="133">
                  <c:v>0.37432500000000002</c:v>
                </c:pt>
                <c:pt idx="134">
                  <c:v>0.37129166666666702</c:v>
                </c:pt>
                <c:pt idx="135">
                  <c:v>0.371475</c:v>
                </c:pt>
                <c:pt idx="136">
                  <c:v>0.35503333333333298</c:v>
                </c:pt>
                <c:pt idx="137">
                  <c:v>0.35120000000000001</c:v>
                </c:pt>
                <c:pt idx="138">
                  <c:v>0.35143333333333299</c:v>
                </c:pt>
                <c:pt idx="139">
                  <c:v>0.33476666666666699</c:v>
                </c:pt>
                <c:pt idx="140">
                  <c:v>0.3306</c:v>
                </c:pt>
                <c:pt idx="141">
                  <c:v>0.330683333333333</c:v>
                </c:pt>
                <c:pt idx="142">
                  <c:v>0.33077499999999999</c:v>
                </c:pt>
                <c:pt idx="143">
                  <c:v>0.32324166666666698</c:v>
                </c:pt>
              </c:numCache>
            </c:numRef>
          </c:xVal>
          <c:yVal>
            <c:numRef>
              <c:f>'SONIA, Credit, Inflation'!$C$28:$C$171</c:f>
              <c:numCache>
                <c:formatCode>General</c:formatCode>
                <c:ptCount val="144"/>
                <c:pt idx="0">
                  <c:v>-1.8189101476788443</c:v>
                </c:pt>
                <c:pt idx="1">
                  <c:v>1.3659593283365452</c:v>
                </c:pt>
                <c:pt idx="2">
                  <c:v>-1.3154534092729209</c:v>
                </c:pt>
                <c:pt idx="3">
                  <c:v>-0.25213491104449237</c:v>
                </c:pt>
                <c:pt idx="4">
                  <c:v>0.79967430125539041</c:v>
                </c:pt>
                <c:pt idx="5">
                  <c:v>-7.9001980323547161E-2</c:v>
                </c:pt>
                <c:pt idx="6">
                  <c:v>0.18761584172826179</c:v>
                </c:pt>
                <c:pt idx="7">
                  <c:v>-1.9443795118355609</c:v>
                </c:pt>
                <c:pt idx="8">
                  <c:v>1.010448650023271</c:v>
                </c:pt>
                <c:pt idx="9">
                  <c:v>-0.49465614925466667</c:v>
                </c:pt>
                <c:pt idx="10">
                  <c:v>-0.17695642466645367</c:v>
                </c:pt>
                <c:pt idx="11">
                  <c:v>0.59677089214234524</c:v>
                </c:pt>
                <c:pt idx="12">
                  <c:v>-0.58309655336975363</c:v>
                </c:pt>
                <c:pt idx="13">
                  <c:v>0.3890901889005467</c:v>
                </c:pt>
                <c:pt idx="14">
                  <c:v>0.28713479621073468</c:v>
                </c:pt>
                <c:pt idx="15">
                  <c:v>0.24081595448216842</c:v>
                </c:pt>
                <c:pt idx="16">
                  <c:v>-0.40014818176828926</c:v>
                </c:pt>
                <c:pt idx="17">
                  <c:v>1.9466287889270308</c:v>
                </c:pt>
                <c:pt idx="18">
                  <c:v>-0.13977893521681559</c:v>
                </c:pt>
                <c:pt idx="19">
                  <c:v>-0.19325802409586368</c:v>
                </c:pt>
                <c:pt idx="20">
                  <c:v>1.1167334616956708</c:v>
                </c:pt>
                <c:pt idx="21">
                  <c:v>0.70335309099923149</c:v>
                </c:pt>
                <c:pt idx="22">
                  <c:v>0.14829563724017802</c:v>
                </c:pt>
                <c:pt idx="23">
                  <c:v>0.31934007816679316</c:v>
                </c:pt>
                <c:pt idx="24">
                  <c:v>-1.2853760790830306</c:v>
                </c:pt>
                <c:pt idx="25">
                  <c:v>0.96440693246830811</c:v>
                </c:pt>
                <c:pt idx="26">
                  <c:v>-1.4769204674856189</c:v>
                </c:pt>
                <c:pt idx="27">
                  <c:v>0.2014332786901184</c:v>
                </c:pt>
                <c:pt idx="28">
                  <c:v>1.0258263314206153</c:v>
                </c:pt>
                <c:pt idx="29">
                  <c:v>1.2044278357846567</c:v>
                </c:pt>
                <c:pt idx="30">
                  <c:v>0.94938869865137754</c:v>
                </c:pt>
                <c:pt idx="31">
                  <c:v>-0.82667768923627993</c:v>
                </c:pt>
                <c:pt idx="32">
                  <c:v>0.49187434622816206</c:v>
                </c:pt>
                <c:pt idx="33">
                  <c:v>-0.91363490489941634</c:v>
                </c:pt>
                <c:pt idx="34">
                  <c:v>-1.0361792184793506</c:v>
                </c:pt>
                <c:pt idx="35">
                  <c:v>0.31691510807990164</c:v>
                </c:pt>
                <c:pt idx="36">
                  <c:v>1.6794442738901294</c:v>
                </c:pt>
                <c:pt idx="37">
                  <c:v>7.5157459680785355E-2</c:v>
                </c:pt>
                <c:pt idx="38">
                  <c:v>-0.78152237651879308</c:v>
                </c:pt>
                <c:pt idx="39">
                  <c:v>0.8709809446512462</c:v>
                </c:pt>
                <c:pt idx="40">
                  <c:v>1.4023833622399708</c:v>
                </c:pt>
                <c:pt idx="41">
                  <c:v>-0.28728133713862247</c:v>
                </c:pt>
                <c:pt idx="42">
                  <c:v>0.55536848002353478</c:v>
                </c:pt>
                <c:pt idx="43">
                  <c:v>-0.58168918272417658</c:v>
                </c:pt>
                <c:pt idx="44">
                  <c:v>0.76911072046329476</c:v>
                </c:pt>
                <c:pt idx="45">
                  <c:v>0.16678605137095132</c:v>
                </c:pt>
                <c:pt idx="46">
                  <c:v>-1.4306919651895351</c:v>
                </c:pt>
                <c:pt idx="47">
                  <c:v>0.6462623030512149</c:v>
                </c:pt>
                <c:pt idx="48">
                  <c:v>-0.74003319749001839</c:v>
                </c:pt>
                <c:pt idx="49">
                  <c:v>-0.19194328141658301</c:v>
                </c:pt>
                <c:pt idx="50">
                  <c:v>0.58313531580667899</c:v>
                </c:pt>
                <c:pt idx="51">
                  <c:v>-0.86684016021241328</c:v>
                </c:pt>
                <c:pt idx="52">
                  <c:v>0.8415353223302463</c:v>
                </c:pt>
                <c:pt idx="53">
                  <c:v>-0.31891292154011436</c:v>
                </c:pt>
                <c:pt idx="54">
                  <c:v>1.3989449285418458</c:v>
                </c:pt>
                <c:pt idx="55">
                  <c:v>-0.69293832191688953</c:v>
                </c:pt>
                <c:pt idx="56">
                  <c:v>-0.52570974289547556</c:v>
                </c:pt>
                <c:pt idx="57">
                  <c:v>-1.6169031972199917</c:v>
                </c:pt>
                <c:pt idx="58">
                  <c:v>1.9227662920694346</c:v>
                </c:pt>
                <c:pt idx="59">
                  <c:v>1.5171053505262637</c:v>
                </c:pt>
                <c:pt idx="60">
                  <c:v>0.28338875176379186</c:v>
                </c:pt>
                <c:pt idx="61">
                  <c:v>0.28259285693980929</c:v>
                </c:pt>
                <c:pt idx="62">
                  <c:v>-0.51658011361783951</c:v>
                </c:pt>
                <c:pt idx="63">
                  <c:v>1.8578249419949719E-2</c:v>
                </c:pt>
                <c:pt idx="64">
                  <c:v>-2.055201445913613</c:v>
                </c:pt>
                <c:pt idx="65">
                  <c:v>0.13109297704305256</c:v>
                </c:pt>
                <c:pt idx="66">
                  <c:v>-2.6340757016626117</c:v>
                </c:pt>
                <c:pt idx="67">
                  <c:v>-2.3086028934085521</c:v>
                </c:pt>
                <c:pt idx="68">
                  <c:v>0.9285375386825796</c:v>
                </c:pt>
                <c:pt idx="69">
                  <c:v>-1.0786091756607128</c:v>
                </c:pt>
                <c:pt idx="70">
                  <c:v>0.8059208240336363</c:v>
                </c:pt>
                <c:pt idx="71">
                  <c:v>-5.4710549137533482E-2</c:v>
                </c:pt>
                <c:pt idx="72">
                  <c:v>-1.1652428944950102</c:v>
                </c:pt>
                <c:pt idx="73">
                  <c:v>-3.1685875174384877</c:v>
                </c:pt>
                <c:pt idx="74">
                  <c:v>0.91038786719759113</c:v>
                </c:pt>
                <c:pt idx="75">
                  <c:v>-0.7673498042576119</c:v>
                </c:pt>
                <c:pt idx="76">
                  <c:v>0.56384132905646389</c:v>
                </c:pt>
                <c:pt idx="77">
                  <c:v>0.43947363590481059</c:v>
                </c:pt>
                <c:pt idx="78">
                  <c:v>-2.8078624908208409</c:v>
                </c:pt>
                <c:pt idx="79">
                  <c:v>1.0562325476286296</c:v>
                </c:pt>
                <c:pt idx="80">
                  <c:v>-6.5435144355041774E-2</c:v>
                </c:pt>
                <c:pt idx="81">
                  <c:v>-2.2995014568329859</c:v>
                </c:pt>
                <c:pt idx="82">
                  <c:v>2.5043369289893964</c:v>
                </c:pt>
                <c:pt idx="83">
                  <c:v>0.48829369559111591</c:v>
                </c:pt>
                <c:pt idx="84">
                  <c:v>-0.51271679742155651</c:v>
                </c:pt>
                <c:pt idx="85">
                  <c:v>0.78120058893035715</c:v>
                </c:pt>
                <c:pt idx="86">
                  <c:v>1.4048779714814963</c:v>
                </c:pt>
                <c:pt idx="87">
                  <c:v>1.5128731471470716</c:v>
                </c:pt>
                <c:pt idx="88">
                  <c:v>-0.48115404039001264</c:v>
                </c:pt>
                <c:pt idx="89">
                  <c:v>0.18522676296566742</c:v>
                </c:pt>
                <c:pt idx="90">
                  <c:v>-7.9887597145819056E-2</c:v>
                </c:pt>
                <c:pt idx="91">
                  <c:v>0.93641116747788411</c:v>
                </c:pt>
                <c:pt idx="92">
                  <c:v>-0.75432150751551585</c:v>
                </c:pt>
                <c:pt idx="93">
                  <c:v>0.91785115389799254</c:v>
                </c:pt>
                <c:pt idx="94">
                  <c:v>-0.20835401810906795</c:v>
                </c:pt>
                <c:pt idx="95">
                  <c:v>0.31345425297851759</c:v>
                </c:pt>
                <c:pt idx="96">
                  <c:v>-0.41905573429766108</c:v>
                </c:pt>
                <c:pt idx="97">
                  <c:v>-0.24674845755609276</c:v>
                </c:pt>
                <c:pt idx="98">
                  <c:v>1.3795945427004905</c:v>
                </c:pt>
                <c:pt idx="99">
                  <c:v>0.5545378967193062</c:v>
                </c:pt>
                <c:pt idx="100">
                  <c:v>-1.3398516876518936</c:v>
                </c:pt>
                <c:pt idx="101">
                  <c:v>0.20972101848645641</c:v>
                </c:pt>
                <c:pt idx="102">
                  <c:v>-1.1975128055209359</c:v>
                </c:pt>
                <c:pt idx="103">
                  <c:v>2.0357858539129481</c:v>
                </c:pt>
                <c:pt idx="104">
                  <c:v>-0.89858709057425301</c:v>
                </c:pt>
                <c:pt idx="105">
                  <c:v>-0.97410320917194682</c:v>
                </c:pt>
                <c:pt idx="106">
                  <c:v>-0.23337173046305049</c:v>
                </c:pt>
                <c:pt idx="107">
                  <c:v>-0.87012082305843541</c:v>
                </c:pt>
                <c:pt idx="108">
                  <c:v>0.4868629172270027</c:v>
                </c:pt>
                <c:pt idx="109">
                  <c:v>1.1121449826611458</c:v>
                </c:pt>
                <c:pt idx="110">
                  <c:v>-1.2970095408357831</c:v>
                </c:pt>
                <c:pt idx="111">
                  <c:v>0.61521834328637015</c:v>
                </c:pt>
                <c:pt idx="112">
                  <c:v>-0.38103112581424758</c:v>
                </c:pt>
                <c:pt idx="113">
                  <c:v>0.41459375871006299</c:v>
                </c:pt>
                <c:pt idx="114">
                  <c:v>0.50440670941992627</c:v>
                </c:pt>
                <c:pt idx="115">
                  <c:v>-0.73335169384992749</c:v>
                </c:pt>
                <c:pt idx="116">
                  <c:v>0.34887561859278937</c:v>
                </c:pt>
                <c:pt idx="117">
                  <c:v>-1.5255954974624539</c:v>
                </c:pt>
                <c:pt idx="118">
                  <c:v>-0.13597421480472427</c:v>
                </c:pt>
                <c:pt idx="119">
                  <c:v>0.19209908191238556</c:v>
                </c:pt>
                <c:pt idx="120">
                  <c:v>0.29879393211936833</c:v>
                </c:pt>
                <c:pt idx="121">
                  <c:v>0.76107388821429944</c:v>
                </c:pt>
                <c:pt idx="122">
                  <c:v>1.2166072527590022</c:v>
                </c:pt>
                <c:pt idx="123">
                  <c:v>4.1852975467878473E-2</c:v>
                </c:pt>
                <c:pt idx="124">
                  <c:v>-3.7012013353078244E-2</c:v>
                </c:pt>
                <c:pt idx="125">
                  <c:v>0.41091498699882134</c:v>
                </c:pt>
                <c:pt idx="126">
                  <c:v>-0.53099022738103707</c:v>
                </c:pt>
                <c:pt idx="127">
                  <c:v>-0.82402462277440636</c:v>
                </c:pt>
                <c:pt idx="128">
                  <c:v>-0.95666375755661515</c:v>
                </c:pt>
                <c:pt idx="129">
                  <c:v>0.42604176891417589</c:v>
                </c:pt>
                <c:pt idx="130">
                  <c:v>0.93746879958188822</c:v>
                </c:pt>
                <c:pt idx="131">
                  <c:v>-0.91164286619604717</c:v>
                </c:pt>
                <c:pt idx="132">
                  <c:v>1.4791924364608708</c:v>
                </c:pt>
                <c:pt idx="133">
                  <c:v>-1.4094005848098483</c:v>
                </c:pt>
                <c:pt idx="134">
                  <c:v>-1.8965181396406836</c:v>
                </c:pt>
                <c:pt idx="135">
                  <c:v>-1.2590815975295166</c:v>
                </c:pt>
                <c:pt idx="136">
                  <c:v>1.6130016029619174</c:v>
                </c:pt>
                <c:pt idx="137">
                  <c:v>0.14494119192764088</c:v>
                </c:pt>
                <c:pt idx="138">
                  <c:v>1.611359581426673</c:v>
                </c:pt>
                <c:pt idx="139">
                  <c:v>-0.22993729208072311</c:v>
                </c:pt>
                <c:pt idx="140">
                  <c:v>0.65272433740094038</c:v>
                </c:pt>
                <c:pt idx="141">
                  <c:v>1.5918603235843509</c:v>
                </c:pt>
                <c:pt idx="142">
                  <c:v>-7.4470922943758636E-2</c:v>
                </c:pt>
                <c:pt idx="143">
                  <c:v>0.11191666083002882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B0E-FB41-9BF5-368164632C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9795408"/>
        <c:axId val="1059746960"/>
      </c:scatterChart>
      <c:valAx>
        <c:axId val="10597954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Average SONIA (%)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1059746960"/>
        <c:crosses val="autoZero"/>
        <c:crossBetween val="midCat"/>
      </c:valAx>
      <c:valAx>
        <c:axId val="1059746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59795408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Average SONIA (%)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Asset Returns (%)</c:v>
          </c:tx>
          <c:spPr>
            <a:ln w="19050">
              <a:noFill/>
            </a:ln>
          </c:spPr>
          <c:xVal>
            <c:numRef>
              <c:f>Data!$R$2:$R$145</c:f>
              <c:numCache>
                <c:formatCode>0.0000</c:formatCode>
                <c:ptCount val="144"/>
                <c:pt idx="0">
                  <c:v>3.5433333333333303E-2</c:v>
                </c:pt>
                <c:pt idx="1">
                  <c:v>3.5841666666666702E-2</c:v>
                </c:pt>
                <c:pt idx="2">
                  <c:v>3.55833333333333E-2</c:v>
                </c:pt>
                <c:pt idx="3">
                  <c:v>3.5825000000000003E-2</c:v>
                </c:pt>
                <c:pt idx="4">
                  <c:v>3.5941666666666698E-2</c:v>
                </c:pt>
                <c:pt idx="5">
                  <c:v>3.58333333333333E-2</c:v>
                </c:pt>
                <c:pt idx="6">
                  <c:v>3.5125000000000003E-2</c:v>
                </c:pt>
                <c:pt idx="7">
                  <c:v>3.5725E-2</c:v>
                </c:pt>
                <c:pt idx="8">
                  <c:v>3.4974999999999999E-2</c:v>
                </c:pt>
                <c:pt idx="9">
                  <c:v>3.4658333333333298E-2</c:v>
                </c:pt>
                <c:pt idx="10">
                  <c:v>3.51666666666667E-2</c:v>
                </c:pt>
                <c:pt idx="11">
                  <c:v>3.5275000000000001E-2</c:v>
                </c:pt>
                <c:pt idx="12">
                  <c:v>3.5424999999999998E-2</c:v>
                </c:pt>
                <c:pt idx="13">
                  <c:v>3.5691666666666698E-2</c:v>
                </c:pt>
                <c:pt idx="14">
                  <c:v>3.5233333333333297E-2</c:v>
                </c:pt>
                <c:pt idx="15">
                  <c:v>3.59916666666667E-2</c:v>
                </c:pt>
                <c:pt idx="16">
                  <c:v>3.5900000000000001E-2</c:v>
                </c:pt>
                <c:pt idx="17">
                  <c:v>3.6041666666666701E-2</c:v>
                </c:pt>
                <c:pt idx="18">
                  <c:v>3.5666666666666701E-2</c:v>
                </c:pt>
                <c:pt idx="19">
                  <c:v>3.6291666666666701E-2</c:v>
                </c:pt>
                <c:pt idx="20">
                  <c:v>3.7591666666666697E-2</c:v>
                </c:pt>
                <c:pt idx="21">
                  <c:v>3.80666666666667E-2</c:v>
                </c:pt>
                <c:pt idx="22">
                  <c:v>3.8116666666666701E-2</c:v>
                </c:pt>
                <c:pt idx="23">
                  <c:v>3.85E-2</c:v>
                </c:pt>
                <c:pt idx="24">
                  <c:v>3.805E-2</c:v>
                </c:pt>
                <c:pt idx="25">
                  <c:v>3.7908333333333301E-2</c:v>
                </c:pt>
                <c:pt idx="26">
                  <c:v>3.8249999999999999E-2</c:v>
                </c:pt>
                <c:pt idx="27">
                  <c:v>3.7866666666666701E-2</c:v>
                </c:pt>
                <c:pt idx="28">
                  <c:v>3.8516666666666699E-2</c:v>
                </c:pt>
                <c:pt idx="29">
                  <c:v>3.8633333333333297E-2</c:v>
                </c:pt>
                <c:pt idx="30">
                  <c:v>3.8124999999999999E-2</c:v>
                </c:pt>
                <c:pt idx="31">
                  <c:v>3.8824999999999998E-2</c:v>
                </c:pt>
                <c:pt idx="32">
                  <c:v>3.8808333333333299E-2</c:v>
                </c:pt>
                <c:pt idx="33">
                  <c:v>3.8716666666666698E-2</c:v>
                </c:pt>
                <c:pt idx="34">
                  <c:v>3.88583333333333E-2</c:v>
                </c:pt>
                <c:pt idx="35">
                  <c:v>3.86083333333333E-2</c:v>
                </c:pt>
                <c:pt idx="36">
                  <c:v>3.83166666666667E-2</c:v>
                </c:pt>
                <c:pt idx="37">
                  <c:v>3.8141666666666699E-2</c:v>
                </c:pt>
                <c:pt idx="38">
                  <c:v>2.0650000000000002E-2</c:v>
                </c:pt>
                <c:pt idx="39">
                  <c:v>1.7749999999999998E-2</c:v>
                </c:pt>
                <c:pt idx="40">
                  <c:v>1.7666666666666699E-2</c:v>
                </c:pt>
                <c:pt idx="41">
                  <c:v>1.7566666666666699E-2</c:v>
                </c:pt>
                <c:pt idx="42">
                  <c:v>1.7708333333333302E-2</c:v>
                </c:pt>
                <c:pt idx="43">
                  <c:v>1.7791666666666699E-2</c:v>
                </c:pt>
                <c:pt idx="44">
                  <c:v>1.755E-2</c:v>
                </c:pt>
                <c:pt idx="45">
                  <c:v>1.7458333333333301E-2</c:v>
                </c:pt>
                <c:pt idx="46">
                  <c:v>1.7616666666666701E-2</c:v>
                </c:pt>
                <c:pt idx="47">
                  <c:v>1.77166666666667E-2</c:v>
                </c:pt>
                <c:pt idx="48">
                  <c:v>1.7675E-2</c:v>
                </c:pt>
                <c:pt idx="49">
                  <c:v>1.77E-2</c:v>
                </c:pt>
                <c:pt idx="50">
                  <c:v>1.7766666666666701E-2</c:v>
                </c:pt>
                <c:pt idx="51">
                  <c:v>1.7691666666666699E-2</c:v>
                </c:pt>
                <c:pt idx="52">
                  <c:v>1.7583333333333302E-2</c:v>
                </c:pt>
                <c:pt idx="53">
                  <c:v>3.7441666666666699E-2</c:v>
                </c:pt>
                <c:pt idx="54">
                  <c:v>3.8491666666666702E-2</c:v>
                </c:pt>
                <c:pt idx="55">
                  <c:v>3.8591666666666698E-2</c:v>
                </c:pt>
                <c:pt idx="56">
                  <c:v>3.8616666666666702E-2</c:v>
                </c:pt>
                <c:pt idx="57">
                  <c:v>3.8641666666666699E-2</c:v>
                </c:pt>
                <c:pt idx="58">
                  <c:v>3.8475000000000002E-2</c:v>
                </c:pt>
                <c:pt idx="59">
                  <c:v>3.7741666666666701E-2</c:v>
                </c:pt>
                <c:pt idx="60">
                  <c:v>3.7558333333333298E-2</c:v>
                </c:pt>
                <c:pt idx="61">
                  <c:v>3.7874999999999999E-2</c:v>
                </c:pt>
                <c:pt idx="62">
                  <c:v>5.7591666666666701E-2</c:v>
                </c:pt>
                <c:pt idx="63">
                  <c:v>5.8433333333333302E-2</c:v>
                </c:pt>
                <c:pt idx="64">
                  <c:v>5.8424999999999998E-2</c:v>
                </c:pt>
                <c:pt idx="65">
                  <c:v>5.8474999999999999E-2</c:v>
                </c:pt>
                <c:pt idx="66">
                  <c:v>5.8549999999999998E-2</c:v>
                </c:pt>
                <c:pt idx="67">
                  <c:v>5.9174999999999998E-2</c:v>
                </c:pt>
                <c:pt idx="68">
                  <c:v>5.9150000000000001E-2</c:v>
                </c:pt>
                <c:pt idx="69">
                  <c:v>5.9233333333333298E-2</c:v>
                </c:pt>
                <c:pt idx="70">
                  <c:v>5.92083333333333E-2</c:v>
                </c:pt>
                <c:pt idx="71">
                  <c:v>5.9174999999999998E-2</c:v>
                </c:pt>
                <c:pt idx="72">
                  <c:v>5.9275000000000001E-2</c:v>
                </c:pt>
                <c:pt idx="73">
                  <c:v>5.9200000000000003E-2</c:v>
                </c:pt>
                <c:pt idx="74">
                  <c:v>2.6599999999999999E-2</c:v>
                </c:pt>
                <c:pt idx="75">
                  <c:v>5.4916666666666699E-3</c:v>
                </c:pt>
                <c:pt idx="76">
                  <c:v>5.61666666666667E-3</c:v>
                </c:pt>
                <c:pt idx="77">
                  <c:v>5.3833333333333303E-3</c:v>
                </c:pt>
                <c:pt idx="78">
                  <c:v>4.9916666666666703E-3</c:v>
                </c:pt>
                <c:pt idx="79">
                  <c:v>4.6833333333333301E-3</c:v>
                </c:pt>
                <c:pt idx="80">
                  <c:v>4.55833333333333E-3</c:v>
                </c:pt>
                <c:pt idx="81">
                  <c:v>4.4833333333333296E-3</c:v>
                </c:pt>
                <c:pt idx="82">
                  <c:v>4.4749999999999998E-3</c:v>
                </c:pt>
                <c:pt idx="83">
                  <c:v>4.1000000000000003E-3</c:v>
                </c:pt>
                <c:pt idx="84">
                  <c:v>4.1166666666666704E-3</c:v>
                </c:pt>
                <c:pt idx="85">
                  <c:v>4.0499999999999998E-3</c:v>
                </c:pt>
                <c:pt idx="86">
                  <c:v>4.0499999999999998E-3</c:v>
                </c:pt>
                <c:pt idx="87">
                  <c:v>4.0499999999999998E-3</c:v>
                </c:pt>
                <c:pt idx="88">
                  <c:v>4.1250000000000002E-3</c:v>
                </c:pt>
                <c:pt idx="89">
                  <c:v>4.15E-3</c:v>
                </c:pt>
                <c:pt idx="90">
                  <c:v>4.2166666666666698E-3</c:v>
                </c:pt>
                <c:pt idx="91">
                  <c:v>4.1999999999999997E-3</c:v>
                </c:pt>
                <c:pt idx="92">
                  <c:v>4.1666666666666701E-3</c:v>
                </c:pt>
                <c:pt idx="93">
                  <c:v>4.1833333333333297E-3</c:v>
                </c:pt>
                <c:pt idx="94">
                  <c:v>3.8999999999999998E-3</c:v>
                </c:pt>
                <c:pt idx="95">
                  <c:v>9.5083333333333304E-3</c:v>
                </c:pt>
                <c:pt idx="96">
                  <c:v>1.6316666666666702E-2</c:v>
                </c:pt>
                <c:pt idx="97">
                  <c:v>3.4991666666666699E-2</c:v>
                </c:pt>
                <c:pt idx="98">
                  <c:v>4.68583333333333E-2</c:v>
                </c:pt>
                <c:pt idx="99">
                  <c:v>5.7549999999999997E-2</c:v>
                </c:pt>
                <c:pt idx="100">
                  <c:v>7.6316666666666699E-2</c:v>
                </c:pt>
                <c:pt idx="101">
                  <c:v>8.9724999999999999E-2</c:v>
                </c:pt>
                <c:pt idx="102">
                  <c:v>9.9233333333333298E-2</c:v>
                </c:pt>
                <c:pt idx="103">
                  <c:v>0.13516666666666699</c:v>
                </c:pt>
                <c:pt idx="104">
                  <c:v>0.154741666666667</c:v>
                </c:pt>
                <c:pt idx="105">
                  <c:v>0.18214166666666701</c:v>
                </c:pt>
                <c:pt idx="106">
                  <c:v>0.23832500000000001</c:v>
                </c:pt>
                <c:pt idx="107">
                  <c:v>0.26482499999999998</c:v>
                </c:pt>
                <c:pt idx="108">
                  <c:v>0.28562500000000002</c:v>
                </c:pt>
                <c:pt idx="109">
                  <c:v>0.32517499999999999</c:v>
                </c:pt>
                <c:pt idx="110">
                  <c:v>0.33359166666666701</c:v>
                </c:pt>
                <c:pt idx="111">
                  <c:v>0.34811666666666702</c:v>
                </c:pt>
                <c:pt idx="112">
                  <c:v>0.36273333333333302</c:v>
                </c:pt>
                <c:pt idx="113">
                  <c:v>0.38226666666666698</c:v>
                </c:pt>
                <c:pt idx="114">
                  <c:v>0.41084999999999999</c:v>
                </c:pt>
                <c:pt idx="115">
                  <c:v>0.43007499999999999</c:v>
                </c:pt>
                <c:pt idx="116">
                  <c:v>0.43211666666666698</c:v>
                </c:pt>
                <c:pt idx="117">
                  <c:v>0.43225833333333302</c:v>
                </c:pt>
                <c:pt idx="118">
                  <c:v>0.43229166666666702</c:v>
                </c:pt>
                <c:pt idx="119">
                  <c:v>0.43225000000000002</c:v>
                </c:pt>
                <c:pt idx="120">
                  <c:v>0.43229166666666702</c:v>
                </c:pt>
                <c:pt idx="121">
                  <c:v>0.43235833333333301</c:v>
                </c:pt>
                <c:pt idx="122">
                  <c:v>0.432425</c:v>
                </c:pt>
                <c:pt idx="123">
                  <c:v>0.43315833333333298</c:v>
                </c:pt>
                <c:pt idx="124">
                  <c:v>0.43333333333333302</c:v>
                </c:pt>
                <c:pt idx="125">
                  <c:v>0.43333333333333302</c:v>
                </c:pt>
                <c:pt idx="126">
                  <c:v>0.43333333333333302</c:v>
                </c:pt>
                <c:pt idx="127">
                  <c:v>0.41249999999999998</c:v>
                </c:pt>
                <c:pt idx="128">
                  <c:v>0.41249999999999998</c:v>
                </c:pt>
                <c:pt idx="129">
                  <c:v>0.41249999999999998</c:v>
                </c:pt>
                <c:pt idx="130">
                  <c:v>0.395633333333333</c:v>
                </c:pt>
                <c:pt idx="131">
                  <c:v>0.391666666666667</c:v>
                </c:pt>
                <c:pt idx="132">
                  <c:v>0.39168333333333299</c:v>
                </c:pt>
                <c:pt idx="133">
                  <c:v>0.37432500000000002</c:v>
                </c:pt>
                <c:pt idx="134">
                  <c:v>0.37129166666666702</c:v>
                </c:pt>
                <c:pt idx="135">
                  <c:v>0.371475</c:v>
                </c:pt>
                <c:pt idx="136">
                  <c:v>0.35503333333333298</c:v>
                </c:pt>
                <c:pt idx="137">
                  <c:v>0.35120000000000001</c:v>
                </c:pt>
                <c:pt idx="138">
                  <c:v>0.35143333333333299</c:v>
                </c:pt>
                <c:pt idx="139">
                  <c:v>0.33476666666666699</c:v>
                </c:pt>
                <c:pt idx="140">
                  <c:v>0.3306</c:v>
                </c:pt>
                <c:pt idx="141">
                  <c:v>0.330683333333333</c:v>
                </c:pt>
                <c:pt idx="142">
                  <c:v>0.33077499999999999</c:v>
                </c:pt>
                <c:pt idx="143">
                  <c:v>0.32324166666666698</c:v>
                </c:pt>
              </c:numCache>
            </c:numRef>
          </c:xVal>
          <c:yVal>
            <c:numRef>
              <c:f>Data!$O$2:$O$145</c:f>
              <c:numCache>
                <c:formatCode>0.0000</c:formatCode>
                <c:ptCount val="144"/>
                <c:pt idx="0">
                  <c:v>-3.1231512210139143</c:v>
                </c:pt>
                <c:pt idx="1">
                  <c:v>3.4388141552305238</c:v>
                </c:pt>
                <c:pt idx="2">
                  <c:v>-1.8423176925388944</c:v>
                </c:pt>
                <c:pt idx="3">
                  <c:v>0.76476526172699799</c:v>
                </c:pt>
                <c:pt idx="4">
                  <c:v>2.8438546235537174</c:v>
                </c:pt>
                <c:pt idx="5">
                  <c:v>-0.40587403799491967</c:v>
                </c:pt>
                <c:pt idx="6">
                  <c:v>0.39463790345239053</c:v>
                </c:pt>
                <c:pt idx="7">
                  <c:v>-0.84486748191592764</c:v>
                </c:pt>
                <c:pt idx="8">
                  <c:v>2.1320616401803507</c:v>
                </c:pt>
                <c:pt idx="9">
                  <c:v>-0.42414010254649709</c:v>
                </c:pt>
                <c:pt idx="10">
                  <c:v>0.74520035393408268</c:v>
                </c:pt>
                <c:pt idx="11">
                  <c:v>1.3893836371301047</c:v>
                </c:pt>
                <c:pt idx="12">
                  <c:v>-0.15960421366991845</c:v>
                </c:pt>
                <c:pt idx="13">
                  <c:v>2.1744398396726858E-3</c:v>
                </c:pt>
                <c:pt idx="14">
                  <c:v>2.1528110708148573</c:v>
                </c:pt>
                <c:pt idx="15">
                  <c:v>-0.63321922178810008</c:v>
                </c:pt>
                <c:pt idx="16">
                  <c:v>0.54311279831289316</c:v>
                </c:pt>
                <c:pt idx="17">
                  <c:v>2.6535892327475388</c:v>
                </c:pt>
                <c:pt idx="18">
                  <c:v>-0.18651939975316809</c:v>
                </c:pt>
                <c:pt idx="19">
                  <c:v>2.4047017706743326</c:v>
                </c:pt>
                <c:pt idx="20">
                  <c:v>0.8220675256694463</c:v>
                </c:pt>
                <c:pt idx="21">
                  <c:v>0.79790760681101336</c:v>
                </c:pt>
                <c:pt idx="22">
                  <c:v>-0.23417506109101072</c:v>
                </c:pt>
                <c:pt idx="23">
                  <c:v>0.44906329589973976</c:v>
                </c:pt>
                <c:pt idx="24">
                  <c:v>-3.3442885744124804</c:v>
                </c:pt>
                <c:pt idx="25">
                  <c:v>1.9551601207275044</c:v>
                </c:pt>
                <c:pt idx="26">
                  <c:v>-2.9682787226250409</c:v>
                </c:pt>
                <c:pt idx="27">
                  <c:v>-0.94912629185626851</c:v>
                </c:pt>
                <c:pt idx="28">
                  <c:v>2.683391280512204</c:v>
                </c:pt>
                <c:pt idx="29">
                  <c:v>1.084910181769061</c:v>
                </c:pt>
                <c:pt idx="30">
                  <c:v>-0.60205936122706527</c:v>
                </c:pt>
                <c:pt idx="31">
                  <c:v>-1.3845334693391671</c:v>
                </c:pt>
                <c:pt idx="32">
                  <c:v>0.51269214936388086</c:v>
                </c:pt>
                <c:pt idx="33">
                  <c:v>2.1127325139720563</c:v>
                </c:pt>
                <c:pt idx="34">
                  <c:v>0.44664249623499269</c:v>
                </c:pt>
                <c:pt idx="35">
                  <c:v>0.80909571022157933</c:v>
                </c:pt>
                <c:pt idx="36">
                  <c:v>3.3950819422879635</c:v>
                </c:pt>
                <c:pt idx="37">
                  <c:v>3.1095108983661892</c:v>
                </c:pt>
                <c:pt idx="38">
                  <c:v>1.5752476292840976</c:v>
                </c:pt>
                <c:pt idx="39">
                  <c:v>0.3941440510082177</c:v>
                </c:pt>
                <c:pt idx="40">
                  <c:v>0.29248739326307094</c:v>
                </c:pt>
                <c:pt idx="41">
                  <c:v>-0.93339874585644023</c:v>
                </c:pt>
                <c:pt idx="42">
                  <c:v>2.8609360739223297</c:v>
                </c:pt>
                <c:pt idx="43">
                  <c:v>-0.44945692130845749</c:v>
                </c:pt>
                <c:pt idx="44">
                  <c:v>2.5257042870557784</c:v>
                </c:pt>
                <c:pt idx="45">
                  <c:v>0.32195109833132546</c:v>
                </c:pt>
                <c:pt idx="46">
                  <c:v>-0.38364685529762182</c:v>
                </c:pt>
                <c:pt idx="47">
                  <c:v>1.8101887790863302</c:v>
                </c:pt>
                <c:pt idx="48">
                  <c:v>-0.8739297602339734</c:v>
                </c:pt>
                <c:pt idx="49">
                  <c:v>0.77913542886387466</c:v>
                </c:pt>
                <c:pt idx="50">
                  <c:v>1.1252408849651883</c:v>
                </c:pt>
                <c:pt idx="51">
                  <c:v>-1.0801430002995103</c:v>
                </c:pt>
                <c:pt idx="52">
                  <c:v>1.2933080083597004</c:v>
                </c:pt>
                <c:pt idx="53">
                  <c:v>-0.34952011853591453</c:v>
                </c:pt>
                <c:pt idx="54">
                  <c:v>2.1937669383125291</c:v>
                </c:pt>
                <c:pt idx="55">
                  <c:v>-0.70844610563042631</c:v>
                </c:pt>
                <c:pt idx="56">
                  <c:v>-1.1425691586862545</c:v>
                </c:pt>
                <c:pt idx="57">
                  <c:v>-1.4912303020014905</c:v>
                </c:pt>
                <c:pt idx="58">
                  <c:v>2.4711222871909655</c:v>
                </c:pt>
                <c:pt idx="59">
                  <c:v>1.5632378548125487</c:v>
                </c:pt>
                <c:pt idx="60">
                  <c:v>0.17050584189129772</c:v>
                </c:pt>
                <c:pt idx="61">
                  <c:v>1.3282751471537555</c:v>
                </c:pt>
                <c:pt idx="62">
                  <c:v>1.3361896540353232E-2</c:v>
                </c:pt>
                <c:pt idx="63">
                  <c:v>4.5162099813618559E-2</c:v>
                </c:pt>
                <c:pt idx="64">
                  <c:v>-2.5280472836281653</c:v>
                </c:pt>
                <c:pt idx="65">
                  <c:v>-0.85098504001589137</c:v>
                </c:pt>
                <c:pt idx="66">
                  <c:v>-2.5046976641667626</c:v>
                </c:pt>
                <c:pt idx="67">
                  <c:v>-1.2793531068196276</c:v>
                </c:pt>
                <c:pt idx="68">
                  <c:v>1.3201728926043841</c:v>
                </c:pt>
                <c:pt idx="69">
                  <c:v>-0.83998798555617005</c:v>
                </c:pt>
                <c:pt idx="70">
                  <c:v>1.3072997744824202</c:v>
                </c:pt>
                <c:pt idx="71">
                  <c:v>0.79930043255834871</c:v>
                </c:pt>
                <c:pt idx="72">
                  <c:v>-2.1093949631446327E-2</c:v>
                </c:pt>
                <c:pt idx="73">
                  <c:v>-4.1526948243374111</c:v>
                </c:pt>
                <c:pt idx="74">
                  <c:v>-7.0047284893671877</c:v>
                </c:pt>
                <c:pt idx="75">
                  <c:v>4.5018822436456931</c:v>
                </c:pt>
                <c:pt idx="76">
                  <c:v>2.7070180675265525</c:v>
                </c:pt>
                <c:pt idx="77">
                  <c:v>1.4570599695124704</c:v>
                </c:pt>
                <c:pt idx="78">
                  <c:v>-0.45287219230992509</c:v>
                </c:pt>
                <c:pt idx="79">
                  <c:v>1.4746501612318974</c:v>
                </c:pt>
                <c:pt idx="80">
                  <c:v>-0.32059917407416511</c:v>
                </c:pt>
                <c:pt idx="81">
                  <c:v>-1.9001782009329338</c:v>
                </c:pt>
                <c:pt idx="82">
                  <c:v>5.5867022964527608</c:v>
                </c:pt>
                <c:pt idx="83">
                  <c:v>1.8519535193189707</c:v>
                </c:pt>
                <c:pt idx="84">
                  <c:v>-0.72114034769675106</c:v>
                </c:pt>
                <c:pt idx="85">
                  <c:v>-2.8872892422191813E-2</c:v>
                </c:pt>
                <c:pt idx="86">
                  <c:v>2.1554149374730458</c:v>
                </c:pt>
                <c:pt idx="87">
                  <c:v>2.3109716137805942</c:v>
                </c:pt>
                <c:pt idx="88">
                  <c:v>0.25176219913533959</c:v>
                </c:pt>
                <c:pt idx="89">
                  <c:v>1.1935119946777377</c:v>
                </c:pt>
                <c:pt idx="90">
                  <c:v>1.088562294937061</c:v>
                </c:pt>
                <c:pt idx="91">
                  <c:v>1.4799167353491935</c:v>
                </c:pt>
                <c:pt idx="92">
                  <c:v>-1.3312319193447704</c:v>
                </c:pt>
                <c:pt idx="93">
                  <c:v>1.7130121087748451</c:v>
                </c:pt>
                <c:pt idx="94">
                  <c:v>0.3416951439283733</c:v>
                </c:pt>
                <c:pt idx="95">
                  <c:v>1.3592930931331151</c:v>
                </c:pt>
                <c:pt idx="96">
                  <c:v>-2.2568118607420633</c:v>
                </c:pt>
                <c:pt idx="97">
                  <c:v>-1.1072210028407516</c:v>
                </c:pt>
                <c:pt idx="98">
                  <c:v>1.9965489332311821</c:v>
                </c:pt>
                <c:pt idx="99">
                  <c:v>-1.7163787658669345</c:v>
                </c:pt>
                <c:pt idx="100">
                  <c:v>-0.82038765576752415</c:v>
                </c:pt>
                <c:pt idx="101">
                  <c:v>-3.6875242113072275</c:v>
                </c:pt>
                <c:pt idx="102">
                  <c:v>3.8214888861569447</c:v>
                </c:pt>
                <c:pt idx="103">
                  <c:v>-1.8267949190726551</c:v>
                </c:pt>
                <c:pt idx="104">
                  <c:v>-4.6868598995851904</c:v>
                </c:pt>
                <c:pt idx="105">
                  <c:v>2.2441569439350513</c:v>
                </c:pt>
                <c:pt idx="106">
                  <c:v>2.5198681337412903</c:v>
                </c:pt>
                <c:pt idx="107">
                  <c:v>-1.3850399013585131</c:v>
                </c:pt>
                <c:pt idx="108">
                  <c:v>3.0698713827378343</c:v>
                </c:pt>
                <c:pt idx="109">
                  <c:v>-0.16023377056929605</c:v>
                </c:pt>
                <c:pt idx="110">
                  <c:v>-0.25809067214290327</c:v>
                </c:pt>
                <c:pt idx="111">
                  <c:v>0.94080499762717185</c:v>
                </c:pt>
                <c:pt idx="112">
                  <c:v>-1.4816122688402813</c:v>
                </c:pt>
                <c:pt idx="113">
                  <c:v>0.76715041455256716</c:v>
                </c:pt>
                <c:pt idx="114">
                  <c:v>1.9636320377819911</c:v>
                </c:pt>
                <c:pt idx="115">
                  <c:v>-0.62523746935851443</c:v>
                </c:pt>
                <c:pt idx="116">
                  <c:v>0.27937046819359035</c:v>
                </c:pt>
                <c:pt idx="117">
                  <c:v>-1.7024670003016547</c:v>
                </c:pt>
                <c:pt idx="118">
                  <c:v>3.1666873562985165</c:v>
                </c:pt>
                <c:pt idx="119">
                  <c:v>3.580071379617352</c:v>
                </c:pt>
                <c:pt idx="120">
                  <c:v>5.5182858323510636E-2</c:v>
                </c:pt>
                <c:pt idx="121">
                  <c:v>0.8173714702258239</c:v>
                </c:pt>
                <c:pt idx="122">
                  <c:v>2.5343167951715437</c:v>
                </c:pt>
                <c:pt idx="123">
                  <c:v>-0.49649597275839152</c:v>
                </c:pt>
                <c:pt idx="124">
                  <c:v>1.1573512190828252</c:v>
                </c:pt>
                <c:pt idx="125">
                  <c:v>1.1607317321410837</c:v>
                </c:pt>
                <c:pt idx="126">
                  <c:v>0.98384974618307341</c:v>
                </c:pt>
                <c:pt idx="127">
                  <c:v>0.20128346879376346</c:v>
                </c:pt>
                <c:pt idx="128">
                  <c:v>6.2862567183433013E-2</c:v>
                </c:pt>
                <c:pt idx="129">
                  <c:v>1.5244628300109645E-2</c:v>
                </c:pt>
                <c:pt idx="130">
                  <c:v>2.5118747000438195</c:v>
                </c:pt>
                <c:pt idx="131">
                  <c:v>-0.73047275946122014</c:v>
                </c:pt>
                <c:pt idx="132">
                  <c:v>2.664630651168546</c:v>
                </c:pt>
                <c:pt idx="133">
                  <c:v>-0.63980558944311527</c:v>
                </c:pt>
                <c:pt idx="134">
                  <c:v>-2.5680570998352561</c:v>
                </c:pt>
                <c:pt idx="135">
                  <c:v>-0.12574664360828455</c:v>
                </c:pt>
                <c:pt idx="136">
                  <c:v>2.3878145236429944</c:v>
                </c:pt>
                <c:pt idx="137">
                  <c:v>1.3006576888791135</c:v>
                </c:pt>
                <c:pt idx="138">
                  <c:v>2.3644571963769208</c:v>
                </c:pt>
                <c:pt idx="139">
                  <c:v>-3.7635693365227305E-2</c:v>
                </c:pt>
                <c:pt idx="140">
                  <c:v>1.5120608050198472</c:v>
                </c:pt>
                <c:pt idx="141">
                  <c:v>2.6303236664701828</c:v>
                </c:pt>
                <c:pt idx="142">
                  <c:v>6.4450144874432388E-2</c:v>
                </c:pt>
                <c:pt idx="143">
                  <c:v>0.64991632276644051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87-D24A-A1A3-9119B70B467A}"/>
            </c:ext>
          </c:extLst>
        </c:ser>
        <c:ser>
          <c:idx val="1"/>
          <c:order val="1"/>
          <c:tx>
            <c:v>Predicted Asset Returns (%)</c:v>
          </c:tx>
          <c:spPr>
            <a:ln w="19050">
              <a:noFill/>
            </a:ln>
          </c:spPr>
          <c:xVal>
            <c:numRef>
              <c:f>Data!$R$2:$R$145</c:f>
              <c:numCache>
                <c:formatCode>0.0000</c:formatCode>
                <c:ptCount val="144"/>
                <c:pt idx="0">
                  <c:v>3.5433333333333303E-2</c:v>
                </c:pt>
                <c:pt idx="1">
                  <c:v>3.5841666666666702E-2</c:v>
                </c:pt>
                <c:pt idx="2">
                  <c:v>3.55833333333333E-2</c:v>
                </c:pt>
                <c:pt idx="3">
                  <c:v>3.5825000000000003E-2</c:v>
                </c:pt>
                <c:pt idx="4">
                  <c:v>3.5941666666666698E-2</c:v>
                </c:pt>
                <c:pt idx="5">
                  <c:v>3.58333333333333E-2</c:v>
                </c:pt>
                <c:pt idx="6">
                  <c:v>3.5125000000000003E-2</c:v>
                </c:pt>
                <c:pt idx="7">
                  <c:v>3.5725E-2</c:v>
                </c:pt>
                <c:pt idx="8">
                  <c:v>3.4974999999999999E-2</c:v>
                </c:pt>
                <c:pt idx="9">
                  <c:v>3.4658333333333298E-2</c:v>
                </c:pt>
                <c:pt idx="10">
                  <c:v>3.51666666666667E-2</c:v>
                </c:pt>
                <c:pt idx="11">
                  <c:v>3.5275000000000001E-2</c:v>
                </c:pt>
                <c:pt idx="12">
                  <c:v>3.5424999999999998E-2</c:v>
                </c:pt>
                <c:pt idx="13">
                  <c:v>3.5691666666666698E-2</c:v>
                </c:pt>
                <c:pt idx="14">
                  <c:v>3.5233333333333297E-2</c:v>
                </c:pt>
                <c:pt idx="15">
                  <c:v>3.59916666666667E-2</c:v>
                </c:pt>
                <c:pt idx="16">
                  <c:v>3.5900000000000001E-2</c:v>
                </c:pt>
                <c:pt idx="17">
                  <c:v>3.6041666666666701E-2</c:v>
                </c:pt>
                <c:pt idx="18">
                  <c:v>3.5666666666666701E-2</c:v>
                </c:pt>
                <c:pt idx="19">
                  <c:v>3.6291666666666701E-2</c:v>
                </c:pt>
                <c:pt idx="20">
                  <c:v>3.7591666666666697E-2</c:v>
                </c:pt>
                <c:pt idx="21">
                  <c:v>3.80666666666667E-2</c:v>
                </c:pt>
                <c:pt idx="22">
                  <c:v>3.8116666666666701E-2</c:v>
                </c:pt>
                <c:pt idx="23">
                  <c:v>3.85E-2</c:v>
                </c:pt>
                <c:pt idx="24">
                  <c:v>3.805E-2</c:v>
                </c:pt>
                <c:pt idx="25">
                  <c:v>3.7908333333333301E-2</c:v>
                </c:pt>
                <c:pt idx="26">
                  <c:v>3.8249999999999999E-2</c:v>
                </c:pt>
                <c:pt idx="27">
                  <c:v>3.7866666666666701E-2</c:v>
                </c:pt>
                <c:pt idx="28">
                  <c:v>3.8516666666666699E-2</c:v>
                </c:pt>
                <c:pt idx="29">
                  <c:v>3.8633333333333297E-2</c:v>
                </c:pt>
                <c:pt idx="30">
                  <c:v>3.8124999999999999E-2</c:v>
                </c:pt>
                <c:pt idx="31">
                  <c:v>3.8824999999999998E-2</c:v>
                </c:pt>
                <c:pt idx="32">
                  <c:v>3.8808333333333299E-2</c:v>
                </c:pt>
                <c:pt idx="33">
                  <c:v>3.8716666666666698E-2</c:v>
                </c:pt>
                <c:pt idx="34">
                  <c:v>3.88583333333333E-2</c:v>
                </c:pt>
                <c:pt idx="35">
                  <c:v>3.86083333333333E-2</c:v>
                </c:pt>
                <c:pt idx="36">
                  <c:v>3.83166666666667E-2</c:v>
                </c:pt>
                <c:pt idx="37">
                  <c:v>3.8141666666666699E-2</c:v>
                </c:pt>
                <c:pt idx="38">
                  <c:v>2.0650000000000002E-2</c:v>
                </c:pt>
                <c:pt idx="39">
                  <c:v>1.7749999999999998E-2</c:v>
                </c:pt>
                <c:pt idx="40">
                  <c:v>1.7666666666666699E-2</c:v>
                </c:pt>
                <c:pt idx="41">
                  <c:v>1.7566666666666699E-2</c:v>
                </c:pt>
                <c:pt idx="42">
                  <c:v>1.7708333333333302E-2</c:v>
                </c:pt>
                <c:pt idx="43">
                  <c:v>1.7791666666666699E-2</c:v>
                </c:pt>
                <c:pt idx="44">
                  <c:v>1.755E-2</c:v>
                </c:pt>
                <c:pt idx="45">
                  <c:v>1.7458333333333301E-2</c:v>
                </c:pt>
                <c:pt idx="46">
                  <c:v>1.7616666666666701E-2</c:v>
                </c:pt>
                <c:pt idx="47">
                  <c:v>1.77166666666667E-2</c:v>
                </c:pt>
                <c:pt idx="48">
                  <c:v>1.7675E-2</c:v>
                </c:pt>
                <c:pt idx="49">
                  <c:v>1.77E-2</c:v>
                </c:pt>
                <c:pt idx="50">
                  <c:v>1.7766666666666701E-2</c:v>
                </c:pt>
                <c:pt idx="51">
                  <c:v>1.7691666666666699E-2</c:v>
                </c:pt>
                <c:pt idx="52">
                  <c:v>1.7583333333333302E-2</c:v>
                </c:pt>
                <c:pt idx="53">
                  <c:v>3.7441666666666699E-2</c:v>
                </c:pt>
                <c:pt idx="54">
                  <c:v>3.8491666666666702E-2</c:v>
                </c:pt>
                <c:pt idx="55">
                  <c:v>3.8591666666666698E-2</c:v>
                </c:pt>
                <c:pt idx="56">
                  <c:v>3.8616666666666702E-2</c:v>
                </c:pt>
                <c:pt idx="57">
                  <c:v>3.8641666666666699E-2</c:v>
                </c:pt>
                <c:pt idx="58">
                  <c:v>3.8475000000000002E-2</c:v>
                </c:pt>
                <c:pt idx="59">
                  <c:v>3.7741666666666701E-2</c:v>
                </c:pt>
                <c:pt idx="60">
                  <c:v>3.7558333333333298E-2</c:v>
                </c:pt>
                <c:pt idx="61">
                  <c:v>3.7874999999999999E-2</c:v>
                </c:pt>
                <c:pt idx="62">
                  <c:v>5.7591666666666701E-2</c:v>
                </c:pt>
                <c:pt idx="63">
                  <c:v>5.8433333333333302E-2</c:v>
                </c:pt>
                <c:pt idx="64">
                  <c:v>5.8424999999999998E-2</c:v>
                </c:pt>
                <c:pt idx="65">
                  <c:v>5.8474999999999999E-2</c:v>
                </c:pt>
                <c:pt idx="66">
                  <c:v>5.8549999999999998E-2</c:v>
                </c:pt>
                <c:pt idx="67">
                  <c:v>5.9174999999999998E-2</c:v>
                </c:pt>
                <c:pt idx="68">
                  <c:v>5.9150000000000001E-2</c:v>
                </c:pt>
                <c:pt idx="69">
                  <c:v>5.9233333333333298E-2</c:v>
                </c:pt>
                <c:pt idx="70">
                  <c:v>5.92083333333333E-2</c:v>
                </c:pt>
                <c:pt idx="71">
                  <c:v>5.9174999999999998E-2</c:v>
                </c:pt>
                <c:pt idx="72">
                  <c:v>5.9275000000000001E-2</c:v>
                </c:pt>
                <c:pt idx="73">
                  <c:v>5.9200000000000003E-2</c:v>
                </c:pt>
                <c:pt idx="74">
                  <c:v>2.6599999999999999E-2</c:v>
                </c:pt>
                <c:pt idx="75">
                  <c:v>5.4916666666666699E-3</c:v>
                </c:pt>
                <c:pt idx="76">
                  <c:v>5.61666666666667E-3</c:v>
                </c:pt>
                <c:pt idx="77">
                  <c:v>5.3833333333333303E-3</c:v>
                </c:pt>
                <c:pt idx="78">
                  <c:v>4.9916666666666703E-3</c:v>
                </c:pt>
                <c:pt idx="79">
                  <c:v>4.6833333333333301E-3</c:v>
                </c:pt>
                <c:pt idx="80">
                  <c:v>4.55833333333333E-3</c:v>
                </c:pt>
                <c:pt idx="81">
                  <c:v>4.4833333333333296E-3</c:v>
                </c:pt>
                <c:pt idx="82">
                  <c:v>4.4749999999999998E-3</c:v>
                </c:pt>
                <c:pt idx="83">
                  <c:v>4.1000000000000003E-3</c:v>
                </c:pt>
                <c:pt idx="84">
                  <c:v>4.1166666666666704E-3</c:v>
                </c:pt>
                <c:pt idx="85">
                  <c:v>4.0499999999999998E-3</c:v>
                </c:pt>
                <c:pt idx="86">
                  <c:v>4.0499999999999998E-3</c:v>
                </c:pt>
                <c:pt idx="87">
                  <c:v>4.0499999999999998E-3</c:v>
                </c:pt>
                <c:pt idx="88">
                  <c:v>4.1250000000000002E-3</c:v>
                </c:pt>
                <c:pt idx="89">
                  <c:v>4.15E-3</c:v>
                </c:pt>
                <c:pt idx="90">
                  <c:v>4.2166666666666698E-3</c:v>
                </c:pt>
                <c:pt idx="91">
                  <c:v>4.1999999999999997E-3</c:v>
                </c:pt>
                <c:pt idx="92">
                  <c:v>4.1666666666666701E-3</c:v>
                </c:pt>
                <c:pt idx="93">
                  <c:v>4.1833333333333297E-3</c:v>
                </c:pt>
                <c:pt idx="94">
                  <c:v>3.8999999999999998E-3</c:v>
                </c:pt>
                <c:pt idx="95">
                  <c:v>9.5083333333333304E-3</c:v>
                </c:pt>
                <c:pt idx="96">
                  <c:v>1.6316666666666702E-2</c:v>
                </c:pt>
                <c:pt idx="97">
                  <c:v>3.4991666666666699E-2</c:v>
                </c:pt>
                <c:pt idx="98">
                  <c:v>4.68583333333333E-2</c:v>
                </c:pt>
                <c:pt idx="99">
                  <c:v>5.7549999999999997E-2</c:v>
                </c:pt>
                <c:pt idx="100">
                  <c:v>7.6316666666666699E-2</c:v>
                </c:pt>
                <c:pt idx="101">
                  <c:v>8.9724999999999999E-2</c:v>
                </c:pt>
                <c:pt idx="102">
                  <c:v>9.9233333333333298E-2</c:v>
                </c:pt>
                <c:pt idx="103">
                  <c:v>0.13516666666666699</c:v>
                </c:pt>
                <c:pt idx="104">
                  <c:v>0.154741666666667</c:v>
                </c:pt>
                <c:pt idx="105">
                  <c:v>0.18214166666666701</c:v>
                </c:pt>
                <c:pt idx="106">
                  <c:v>0.23832500000000001</c:v>
                </c:pt>
                <c:pt idx="107">
                  <c:v>0.26482499999999998</c:v>
                </c:pt>
                <c:pt idx="108">
                  <c:v>0.28562500000000002</c:v>
                </c:pt>
                <c:pt idx="109">
                  <c:v>0.32517499999999999</c:v>
                </c:pt>
                <c:pt idx="110">
                  <c:v>0.33359166666666701</c:v>
                </c:pt>
                <c:pt idx="111">
                  <c:v>0.34811666666666702</c:v>
                </c:pt>
                <c:pt idx="112">
                  <c:v>0.36273333333333302</c:v>
                </c:pt>
                <c:pt idx="113">
                  <c:v>0.38226666666666698</c:v>
                </c:pt>
                <c:pt idx="114">
                  <c:v>0.41084999999999999</c:v>
                </c:pt>
                <c:pt idx="115">
                  <c:v>0.43007499999999999</c:v>
                </c:pt>
                <c:pt idx="116">
                  <c:v>0.43211666666666698</c:v>
                </c:pt>
                <c:pt idx="117">
                  <c:v>0.43225833333333302</c:v>
                </c:pt>
                <c:pt idx="118">
                  <c:v>0.43229166666666702</c:v>
                </c:pt>
                <c:pt idx="119">
                  <c:v>0.43225000000000002</c:v>
                </c:pt>
                <c:pt idx="120">
                  <c:v>0.43229166666666702</c:v>
                </c:pt>
                <c:pt idx="121">
                  <c:v>0.43235833333333301</c:v>
                </c:pt>
                <c:pt idx="122">
                  <c:v>0.432425</c:v>
                </c:pt>
                <c:pt idx="123">
                  <c:v>0.43315833333333298</c:v>
                </c:pt>
                <c:pt idx="124">
                  <c:v>0.43333333333333302</c:v>
                </c:pt>
                <c:pt idx="125">
                  <c:v>0.43333333333333302</c:v>
                </c:pt>
                <c:pt idx="126">
                  <c:v>0.43333333333333302</c:v>
                </c:pt>
                <c:pt idx="127">
                  <c:v>0.41249999999999998</c:v>
                </c:pt>
                <c:pt idx="128">
                  <c:v>0.41249999999999998</c:v>
                </c:pt>
                <c:pt idx="129">
                  <c:v>0.41249999999999998</c:v>
                </c:pt>
                <c:pt idx="130">
                  <c:v>0.395633333333333</c:v>
                </c:pt>
                <c:pt idx="131">
                  <c:v>0.391666666666667</c:v>
                </c:pt>
                <c:pt idx="132">
                  <c:v>0.39168333333333299</c:v>
                </c:pt>
                <c:pt idx="133">
                  <c:v>0.37432500000000002</c:v>
                </c:pt>
                <c:pt idx="134">
                  <c:v>0.37129166666666702</c:v>
                </c:pt>
                <c:pt idx="135">
                  <c:v>0.371475</c:v>
                </c:pt>
                <c:pt idx="136">
                  <c:v>0.35503333333333298</c:v>
                </c:pt>
                <c:pt idx="137">
                  <c:v>0.35120000000000001</c:v>
                </c:pt>
                <c:pt idx="138">
                  <c:v>0.35143333333333299</c:v>
                </c:pt>
                <c:pt idx="139">
                  <c:v>0.33476666666666699</c:v>
                </c:pt>
                <c:pt idx="140">
                  <c:v>0.3306</c:v>
                </c:pt>
                <c:pt idx="141">
                  <c:v>0.330683333333333</c:v>
                </c:pt>
                <c:pt idx="142">
                  <c:v>0.33077499999999999</c:v>
                </c:pt>
                <c:pt idx="143">
                  <c:v>0.32324166666666698</c:v>
                </c:pt>
              </c:numCache>
            </c:numRef>
          </c:xVal>
          <c:yVal>
            <c:numRef>
              <c:f>'SONIA, Credit, Inflation'!$B$28:$B$171</c:f>
              <c:numCache>
                <c:formatCode>General</c:formatCode>
                <c:ptCount val="144"/>
                <c:pt idx="0">
                  <c:v>-1.30424107333507</c:v>
                </c:pt>
                <c:pt idx="1">
                  <c:v>2.0728548268939786</c:v>
                </c:pt>
                <c:pt idx="2">
                  <c:v>-0.52686428326597357</c:v>
                </c:pt>
                <c:pt idx="3">
                  <c:v>1.0169001727714904</c:v>
                </c:pt>
                <c:pt idx="4">
                  <c:v>2.044180322298327</c:v>
                </c:pt>
                <c:pt idx="5">
                  <c:v>-0.32687205767137251</c:v>
                </c:pt>
                <c:pt idx="6">
                  <c:v>0.20702206172412874</c:v>
                </c:pt>
                <c:pt idx="7">
                  <c:v>1.0995120299196333</c:v>
                </c:pt>
                <c:pt idx="8">
                  <c:v>1.1216129901570797</c:v>
                </c:pt>
                <c:pt idx="9">
                  <c:v>7.0516046708169577E-2</c:v>
                </c:pt>
                <c:pt idx="10">
                  <c:v>0.92215677860053635</c:v>
                </c:pt>
                <c:pt idx="11">
                  <c:v>0.79261274498775947</c:v>
                </c:pt>
                <c:pt idx="12">
                  <c:v>0.42349233969983513</c:v>
                </c:pt>
                <c:pt idx="13">
                  <c:v>-0.386915749060874</c:v>
                </c:pt>
                <c:pt idx="14">
                  <c:v>1.8656762746041227</c:v>
                </c:pt>
                <c:pt idx="15">
                  <c:v>-0.8740351762702685</c:v>
                </c:pt>
                <c:pt idx="16">
                  <c:v>0.94326098008118242</c:v>
                </c:pt>
                <c:pt idx="17">
                  <c:v>0.70696044382050782</c:v>
                </c:pt>
                <c:pt idx="18">
                  <c:v>-4.67404645363525E-2</c:v>
                </c:pt>
                <c:pt idx="19">
                  <c:v>2.5979597947701962</c:v>
                </c:pt>
                <c:pt idx="20">
                  <c:v>-0.29466593602622448</c:v>
                </c:pt>
                <c:pt idx="21">
                  <c:v>9.455451581178187E-2</c:v>
                </c:pt>
                <c:pt idx="22">
                  <c:v>-0.38247069833118874</c:v>
                </c:pt>
                <c:pt idx="23">
                  <c:v>0.12972321773294659</c:v>
                </c:pt>
                <c:pt idx="24">
                  <c:v>-2.0589124953294498</c:v>
                </c:pt>
                <c:pt idx="25">
                  <c:v>0.99075318825919634</c:v>
                </c:pt>
                <c:pt idx="26">
                  <c:v>-1.491358255139422</c:v>
                </c:pt>
                <c:pt idx="27">
                  <c:v>-1.1505595705463869</c:v>
                </c:pt>
                <c:pt idx="28">
                  <c:v>1.6575649490915887</c:v>
                </c:pt>
                <c:pt idx="29">
                  <c:v>-0.11951765401559578</c:v>
                </c:pt>
                <c:pt idx="30">
                  <c:v>-1.5514480598784428</c:v>
                </c:pt>
                <c:pt idx="31">
                  <c:v>-0.55785578010288717</c:v>
                </c:pt>
                <c:pt idx="32">
                  <c:v>2.0817803135718793E-2</c:v>
                </c:pt>
                <c:pt idx="33">
                  <c:v>3.0263674188714726</c:v>
                </c:pt>
                <c:pt idx="34">
                  <c:v>1.4828217147143432</c:v>
                </c:pt>
                <c:pt idx="35">
                  <c:v>0.49218060214167769</c:v>
                </c:pt>
                <c:pt idx="36">
                  <c:v>1.715637668397834</c:v>
                </c:pt>
                <c:pt idx="37">
                  <c:v>3.0343534386854039</c:v>
                </c:pt>
                <c:pt idx="38">
                  <c:v>2.3567700058028906</c:v>
                </c:pt>
                <c:pt idx="39">
                  <c:v>-0.4768368936430285</c:v>
                </c:pt>
                <c:pt idx="40">
                  <c:v>-1.1098959689768999</c:v>
                </c:pt>
                <c:pt idx="41">
                  <c:v>-0.64611740871781775</c:v>
                </c:pt>
                <c:pt idx="42">
                  <c:v>2.305567593898795</c:v>
                </c:pt>
                <c:pt idx="43">
                  <c:v>0.13223226141571909</c:v>
                </c:pt>
                <c:pt idx="44">
                  <c:v>1.7565935665924837</c:v>
                </c:pt>
                <c:pt idx="45">
                  <c:v>0.15516504696037414</c:v>
                </c:pt>
                <c:pt idx="46">
                  <c:v>1.0470451098919134</c:v>
                </c:pt>
                <c:pt idx="47">
                  <c:v>1.1639264760351153</c:v>
                </c:pt>
                <c:pt idx="48">
                  <c:v>-0.13389656274395501</c:v>
                </c:pt>
                <c:pt idx="49">
                  <c:v>0.97107871028045767</c:v>
                </c:pt>
                <c:pt idx="50">
                  <c:v>0.54210556915850927</c:v>
                </c:pt>
                <c:pt idx="51">
                  <c:v>-0.21330284008709699</c:v>
                </c:pt>
                <c:pt idx="52">
                  <c:v>0.45177268602945408</c:v>
                </c:pt>
                <c:pt idx="53">
                  <c:v>-3.0607196995800168E-2</c:v>
                </c:pt>
                <c:pt idx="54">
                  <c:v>0.79482200977068329</c:v>
                </c:pt>
                <c:pt idx="55">
                  <c:v>-1.5507783713536782E-2</c:v>
                </c:pt>
                <c:pt idx="56">
                  <c:v>-0.61685941579077896</c:v>
                </c:pt>
                <c:pt idx="57">
                  <c:v>0.12567289521850122</c:v>
                </c:pt>
                <c:pt idx="58">
                  <c:v>0.54835599512153099</c:v>
                </c:pt>
                <c:pt idx="59">
                  <c:v>4.6132504286285014E-2</c:v>
                </c:pt>
                <c:pt idx="60">
                  <c:v>-0.11288290987249416</c:v>
                </c:pt>
                <c:pt idx="61">
                  <c:v>1.0456822902139462</c:v>
                </c:pt>
                <c:pt idx="62">
                  <c:v>0.52994201015819276</c:v>
                </c:pt>
                <c:pt idx="63">
                  <c:v>2.658385039366884E-2</c:v>
                </c:pt>
                <c:pt idx="64">
                  <c:v>-0.47284583771455246</c:v>
                </c:pt>
                <c:pt idx="65">
                  <c:v>-0.98207801705894393</c:v>
                </c:pt>
                <c:pt idx="66">
                  <c:v>0.12937803749584909</c:v>
                </c:pt>
                <c:pt idx="67">
                  <c:v>1.0292497865889243</c:v>
                </c:pt>
                <c:pt idx="68">
                  <c:v>0.39163535392180449</c:v>
                </c:pt>
                <c:pt idx="69">
                  <c:v>0.23862119010454286</c:v>
                </c:pt>
                <c:pt idx="70">
                  <c:v>0.50137895044878389</c:v>
                </c:pt>
                <c:pt idx="71">
                  <c:v>0.85401098169588219</c:v>
                </c:pt>
                <c:pt idx="72">
                  <c:v>1.1441489448635638</c:v>
                </c:pt>
                <c:pt idx="73">
                  <c:v>-0.98410730689892356</c:v>
                </c:pt>
                <c:pt idx="74">
                  <c:v>-7.9151163565647789</c:v>
                </c:pt>
                <c:pt idx="75">
                  <c:v>5.269232047903305</c:v>
                </c:pt>
                <c:pt idx="76">
                  <c:v>2.1431767384700886</c:v>
                </c:pt>
                <c:pt idx="77">
                  <c:v>1.0175863336076598</c:v>
                </c:pt>
                <c:pt idx="78">
                  <c:v>2.3549902985109159</c:v>
                </c:pt>
                <c:pt idx="79">
                  <c:v>0.4184176136032679</c:v>
                </c:pt>
                <c:pt idx="80">
                  <c:v>-0.25516402971912333</c:v>
                </c:pt>
                <c:pt idx="81">
                  <c:v>0.39932325590005197</c:v>
                </c:pt>
                <c:pt idx="82">
                  <c:v>3.0823653674633644</c:v>
                </c:pt>
                <c:pt idx="83">
                  <c:v>1.3636598237278548</c:v>
                </c:pt>
                <c:pt idx="84">
                  <c:v>-0.20842355027519455</c:v>
                </c:pt>
                <c:pt idx="85">
                  <c:v>-0.81007348135254897</c:v>
                </c:pt>
                <c:pt idx="86">
                  <c:v>0.75053696599154951</c:v>
                </c:pt>
                <c:pt idx="87">
                  <c:v>0.79809846663352269</c:v>
                </c:pt>
                <c:pt idx="88">
                  <c:v>0.73291623952535223</c:v>
                </c:pt>
                <c:pt idx="89">
                  <c:v>1.0082852317120703</c:v>
                </c:pt>
                <c:pt idx="90">
                  <c:v>1.1684498920828801</c:v>
                </c:pt>
                <c:pt idx="91">
                  <c:v>0.54350556787130944</c:v>
                </c:pt>
                <c:pt idx="92">
                  <c:v>-0.57691041182925451</c:v>
                </c:pt>
                <c:pt idx="93">
                  <c:v>0.79516095487685257</c:v>
                </c:pt>
                <c:pt idx="94">
                  <c:v>0.55004916203744125</c:v>
                </c:pt>
                <c:pt idx="95">
                  <c:v>1.0458388401545975</c:v>
                </c:pt>
                <c:pt idx="96">
                  <c:v>-1.8377561264444022</c:v>
                </c:pt>
                <c:pt idx="97">
                  <c:v>-0.86047254528465889</c:v>
                </c:pt>
                <c:pt idx="98">
                  <c:v>0.61695439053069157</c:v>
                </c:pt>
                <c:pt idx="99">
                  <c:v>-2.2709166625862407</c:v>
                </c:pt>
                <c:pt idx="100">
                  <c:v>0.51946403188436929</c:v>
                </c:pt>
                <c:pt idx="101">
                  <c:v>-3.8972452297936839</c:v>
                </c:pt>
                <c:pt idx="102">
                  <c:v>5.0190016916778806</c:v>
                </c:pt>
                <c:pt idx="103">
                  <c:v>-3.862580772985603</c:v>
                </c:pt>
                <c:pt idx="104">
                  <c:v>-3.7882728090109374</c:v>
                </c:pt>
                <c:pt idx="105">
                  <c:v>3.2182601531069981</c:v>
                </c:pt>
                <c:pt idx="106">
                  <c:v>2.7532398642043407</c:v>
                </c:pt>
                <c:pt idx="107">
                  <c:v>-0.51491907830007766</c:v>
                </c:pt>
                <c:pt idx="108">
                  <c:v>2.5830084655108316</c:v>
                </c:pt>
                <c:pt idx="109">
                  <c:v>-1.2723787532304418</c:v>
                </c:pt>
                <c:pt idx="110">
                  <c:v>1.0389188686928799</c:v>
                </c:pt>
                <c:pt idx="111">
                  <c:v>0.3255866543408017</c:v>
                </c:pt>
                <c:pt idx="112">
                  <c:v>-1.1005811430260337</c:v>
                </c:pt>
                <c:pt idx="113">
                  <c:v>0.35255665584250417</c:v>
                </c:pt>
                <c:pt idx="114">
                  <c:v>1.4592253283620649</c:v>
                </c:pt>
                <c:pt idx="115">
                  <c:v>0.10811422449141306</c:v>
                </c:pt>
                <c:pt idx="116">
                  <c:v>-6.9505150399199023E-2</c:v>
                </c:pt>
                <c:pt idx="117">
                  <c:v>-0.17687150283920072</c:v>
                </c:pt>
                <c:pt idx="118">
                  <c:v>3.3026615711032408</c:v>
                </c:pt>
                <c:pt idx="119">
                  <c:v>3.3879722977049664</c:v>
                </c:pt>
                <c:pt idx="120">
                  <c:v>-0.24361107379585767</c:v>
                </c:pt>
                <c:pt idx="121">
                  <c:v>5.6297582011524461E-2</c:v>
                </c:pt>
                <c:pt idx="122">
                  <c:v>1.3177095424125416</c:v>
                </c:pt>
                <c:pt idx="123">
                  <c:v>-0.53834894822627</c:v>
                </c:pt>
                <c:pt idx="124">
                  <c:v>1.1943632324359035</c:v>
                </c:pt>
                <c:pt idx="125">
                  <c:v>0.74981674514226238</c:v>
                </c:pt>
                <c:pt idx="126">
                  <c:v>1.5148399735641105</c:v>
                </c:pt>
                <c:pt idx="127">
                  <c:v>1.0253080915681698</c:v>
                </c:pt>
                <c:pt idx="128">
                  <c:v>1.0195263247400481</c:v>
                </c:pt>
                <c:pt idx="129">
                  <c:v>-0.41079714061406625</c:v>
                </c:pt>
                <c:pt idx="130">
                  <c:v>1.5744059004619313</c:v>
                </c:pt>
                <c:pt idx="131">
                  <c:v>0.18117010673482703</c:v>
                </c:pt>
                <c:pt idx="132">
                  <c:v>1.1854382147076752</c:v>
                </c:pt>
                <c:pt idx="133">
                  <c:v>0.76959499536673293</c:v>
                </c:pt>
                <c:pt idx="134">
                  <c:v>-0.67153896019457249</c:v>
                </c:pt>
                <c:pt idx="135">
                  <c:v>1.1333349539212321</c:v>
                </c:pt>
                <c:pt idx="136">
                  <c:v>0.7748129206810771</c:v>
                </c:pt>
                <c:pt idx="137">
                  <c:v>1.1557164969514726</c:v>
                </c:pt>
                <c:pt idx="138">
                  <c:v>0.75309761495024774</c:v>
                </c:pt>
                <c:pt idx="139">
                  <c:v>0.19230159871549579</c:v>
                </c:pt>
                <c:pt idx="140">
                  <c:v>0.85933646761890681</c:v>
                </c:pt>
                <c:pt idx="141">
                  <c:v>1.0384633428858319</c:v>
                </c:pt>
                <c:pt idx="142">
                  <c:v>0.13892106781819102</c:v>
                </c:pt>
                <c:pt idx="143">
                  <c:v>0.53799966193641169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187-D24A-A1A3-9119B70B4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1178000"/>
        <c:axId val="1051180000"/>
      </c:scatterChart>
      <c:valAx>
        <c:axId val="1051178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Average SONIA (%)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1051180000"/>
        <c:crosses val="autoZero"/>
        <c:crossBetween val="midCat"/>
      </c:valAx>
      <c:valAx>
        <c:axId val="10511800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Asset Returns (%)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105117800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'SONIA, Credit, Inflation'!$F$28:$F$171</c:f>
              <c:numCache>
                <c:formatCode>General</c:formatCode>
                <c:ptCount val="144"/>
                <c:pt idx="0">
                  <c:v>0.34722222222222221</c:v>
                </c:pt>
                <c:pt idx="1">
                  <c:v>1.0416666666666665</c:v>
                </c:pt>
                <c:pt idx="2">
                  <c:v>1.7361111111111112</c:v>
                </c:pt>
                <c:pt idx="3">
                  <c:v>2.4305555555555554</c:v>
                </c:pt>
                <c:pt idx="4">
                  <c:v>3.125</c:v>
                </c:pt>
                <c:pt idx="5">
                  <c:v>3.8194444444444446</c:v>
                </c:pt>
                <c:pt idx="6">
                  <c:v>4.5138888888888884</c:v>
                </c:pt>
                <c:pt idx="7">
                  <c:v>5.208333333333333</c:v>
                </c:pt>
                <c:pt idx="8">
                  <c:v>5.9027777777777777</c:v>
                </c:pt>
                <c:pt idx="9">
                  <c:v>6.5972222222222223</c:v>
                </c:pt>
                <c:pt idx="10">
                  <c:v>7.291666666666667</c:v>
                </c:pt>
                <c:pt idx="11">
                  <c:v>7.9861111111111107</c:v>
                </c:pt>
                <c:pt idx="12">
                  <c:v>8.6805555555555536</c:v>
                </c:pt>
                <c:pt idx="13">
                  <c:v>9.3749999999999982</c:v>
                </c:pt>
                <c:pt idx="14">
                  <c:v>10.069444444444443</c:v>
                </c:pt>
                <c:pt idx="15">
                  <c:v>10.763888888888888</c:v>
                </c:pt>
                <c:pt idx="16">
                  <c:v>11.458333333333332</c:v>
                </c:pt>
                <c:pt idx="17">
                  <c:v>12.152777777777777</c:v>
                </c:pt>
                <c:pt idx="18">
                  <c:v>12.847222222222221</c:v>
                </c:pt>
                <c:pt idx="19">
                  <c:v>13.541666666666666</c:v>
                </c:pt>
                <c:pt idx="20">
                  <c:v>14.236111111111111</c:v>
                </c:pt>
                <c:pt idx="21">
                  <c:v>14.930555555555554</c:v>
                </c:pt>
                <c:pt idx="22">
                  <c:v>15.624999999999998</c:v>
                </c:pt>
                <c:pt idx="23">
                  <c:v>16.319444444444443</c:v>
                </c:pt>
                <c:pt idx="24">
                  <c:v>17.013888888888886</c:v>
                </c:pt>
                <c:pt idx="25">
                  <c:v>17.708333333333332</c:v>
                </c:pt>
                <c:pt idx="26">
                  <c:v>18.402777777777775</c:v>
                </c:pt>
                <c:pt idx="27">
                  <c:v>19.097222222222221</c:v>
                </c:pt>
                <c:pt idx="28">
                  <c:v>19.791666666666664</c:v>
                </c:pt>
                <c:pt idx="29">
                  <c:v>20.486111111111111</c:v>
                </c:pt>
                <c:pt idx="30">
                  <c:v>21.180555555555554</c:v>
                </c:pt>
                <c:pt idx="31">
                  <c:v>21.875</c:v>
                </c:pt>
                <c:pt idx="32">
                  <c:v>22.569444444444443</c:v>
                </c:pt>
                <c:pt idx="33">
                  <c:v>23.263888888888886</c:v>
                </c:pt>
                <c:pt idx="34">
                  <c:v>23.958333333333332</c:v>
                </c:pt>
                <c:pt idx="35">
                  <c:v>24.652777777777775</c:v>
                </c:pt>
                <c:pt idx="36">
                  <c:v>25.347222222222221</c:v>
                </c:pt>
                <c:pt idx="37">
                  <c:v>26.041666666666664</c:v>
                </c:pt>
                <c:pt idx="38">
                  <c:v>26.736111111111111</c:v>
                </c:pt>
                <c:pt idx="39">
                  <c:v>27.430555555555554</c:v>
                </c:pt>
                <c:pt idx="40">
                  <c:v>28.125</c:v>
                </c:pt>
                <c:pt idx="41">
                  <c:v>28.819444444444443</c:v>
                </c:pt>
                <c:pt idx="42">
                  <c:v>29.513888888888886</c:v>
                </c:pt>
                <c:pt idx="43">
                  <c:v>30.208333333333332</c:v>
                </c:pt>
                <c:pt idx="44">
                  <c:v>30.902777777777775</c:v>
                </c:pt>
                <c:pt idx="45">
                  <c:v>31.597222222222221</c:v>
                </c:pt>
                <c:pt idx="46">
                  <c:v>32.291666666666664</c:v>
                </c:pt>
                <c:pt idx="47">
                  <c:v>32.986111111111107</c:v>
                </c:pt>
                <c:pt idx="48">
                  <c:v>33.68055555555555</c:v>
                </c:pt>
                <c:pt idx="49">
                  <c:v>34.375</c:v>
                </c:pt>
                <c:pt idx="50">
                  <c:v>35.069444444444443</c:v>
                </c:pt>
                <c:pt idx="51">
                  <c:v>35.763888888888886</c:v>
                </c:pt>
                <c:pt idx="52">
                  <c:v>36.458333333333329</c:v>
                </c:pt>
                <c:pt idx="53">
                  <c:v>37.152777777777779</c:v>
                </c:pt>
                <c:pt idx="54">
                  <c:v>37.847222222222221</c:v>
                </c:pt>
                <c:pt idx="55">
                  <c:v>38.541666666666664</c:v>
                </c:pt>
                <c:pt idx="56">
                  <c:v>39.236111111111107</c:v>
                </c:pt>
                <c:pt idx="57">
                  <c:v>39.93055555555555</c:v>
                </c:pt>
                <c:pt idx="58">
                  <c:v>40.625</c:v>
                </c:pt>
                <c:pt idx="59">
                  <c:v>41.319444444444443</c:v>
                </c:pt>
                <c:pt idx="60">
                  <c:v>42.013888888888886</c:v>
                </c:pt>
                <c:pt idx="61">
                  <c:v>42.708333333333329</c:v>
                </c:pt>
                <c:pt idx="62">
                  <c:v>43.402777777777779</c:v>
                </c:pt>
                <c:pt idx="63">
                  <c:v>44.097222222222221</c:v>
                </c:pt>
                <c:pt idx="64">
                  <c:v>44.791666666666664</c:v>
                </c:pt>
                <c:pt idx="65">
                  <c:v>45.486111111111107</c:v>
                </c:pt>
                <c:pt idx="66">
                  <c:v>46.18055555555555</c:v>
                </c:pt>
                <c:pt idx="67">
                  <c:v>46.875</c:v>
                </c:pt>
                <c:pt idx="68">
                  <c:v>47.569444444444443</c:v>
                </c:pt>
                <c:pt idx="69">
                  <c:v>48.263888888888886</c:v>
                </c:pt>
                <c:pt idx="70">
                  <c:v>48.958333333333329</c:v>
                </c:pt>
                <c:pt idx="71">
                  <c:v>49.652777777777779</c:v>
                </c:pt>
                <c:pt idx="72">
                  <c:v>50.347222222222221</c:v>
                </c:pt>
                <c:pt idx="73">
                  <c:v>51.041666666666664</c:v>
                </c:pt>
                <c:pt idx="74">
                  <c:v>51.736111111111107</c:v>
                </c:pt>
                <c:pt idx="75">
                  <c:v>52.43055555555555</c:v>
                </c:pt>
                <c:pt idx="76">
                  <c:v>53.125</c:v>
                </c:pt>
                <c:pt idx="77">
                  <c:v>53.819444444444443</c:v>
                </c:pt>
                <c:pt idx="78">
                  <c:v>54.513888888888886</c:v>
                </c:pt>
                <c:pt idx="79">
                  <c:v>55.208333333333329</c:v>
                </c:pt>
                <c:pt idx="80">
                  <c:v>55.902777777777779</c:v>
                </c:pt>
                <c:pt idx="81">
                  <c:v>56.597222222222221</c:v>
                </c:pt>
                <c:pt idx="82">
                  <c:v>57.291666666666664</c:v>
                </c:pt>
                <c:pt idx="83">
                  <c:v>57.986111111111107</c:v>
                </c:pt>
                <c:pt idx="84">
                  <c:v>58.68055555555555</c:v>
                </c:pt>
                <c:pt idx="85">
                  <c:v>59.375</c:v>
                </c:pt>
                <c:pt idx="86">
                  <c:v>60.069444444444443</c:v>
                </c:pt>
                <c:pt idx="87">
                  <c:v>60.763888888888886</c:v>
                </c:pt>
                <c:pt idx="88">
                  <c:v>61.458333333333329</c:v>
                </c:pt>
                <c:pt idx="89">
                  <c:v>62.152777777777771</c:v>
                </c:pt>
                <c:pt idx="90">
                  <c:v>62.847222222222221</c:v>
                </c:pt>
                <c:pt idx="91">
                  <c:v>63.541666666666664</c:v>
                </c:pt>
                <c:pt idx="92">
                  <c:v>64.236111111111114</c:v>
                </c:pt>
                <c:pt idx="93">
                  <c:v>64.930555555555557</c:v>
                </c:pt>
                <c:pt idx="94">
                  <c:v>65.625</c:v>
                </c:pt>
                <c:pt idx="95">
                  <c:v>66.319444444444443</c:v>
                </c:pt>
                <c:pt idx="96">
                  <c:v>67.013888888888886</c:v>
                </c:pt>
                <c:pt idx="97">
                  <c:v>67.708333333333343</c:v>
                </c:pt>
                <c:pt idx="98">
                  <c:v>68.402777777777786</c:v>
                </c:pt>
                <c:pt idx="99">
                  <c:v>69.097222222222229</c:v>
                </c:pt>
                <c:pt idx="100">
                  <c:v>69.791666666666671</c:v>
                </c:pt>
                <c:pt idx="101">
                  <c:v>70.486111111111114</c:v>
                </c:pt>
                <c:pt idx="102">
                  <c:v>71.180555555555557</c:v>
                </c:pt>
                <c:pt idx="103">
                  <c:v>71.875</c:v>
                </c:pt>
                <c:pt idx="104">
                  <c:v>72.569444444444443</c:v>
                </c:pt>
                <c:pt idx="105">
                  <c:v>73.263888888888886</c:v>
                </c:pt>
                <c:pt idx="106">
                  <c:v>73.958333333333343</c:v>
                </c:pt>
                <c:pt idx="107">
                  <c:v>74.652777777777786</c:v>
                </c:pt>
                <c:pt idx="108">
                  <c:v>75.347222222222229</c:v>
                </c:pt>
                <c:pt idx="109">
                  <c:v>76.041666666666671</c:v>
                </c:pt>
                <c:pt idx="110">
                  <c:v>76.736111111111114</c:v>
                </c:pt>
                <c:pt idx="111">
                  <c:v>77.430555555555557</c:v>
                </c:pt>
                <c:pt idx="112">
                  <c:v>78.125</c:v>
                </c:pt>
                <c:pt idx="113">
                  <c:v>78.819444444444443</c:v>
                </c:pt>
                <c:pt idx="114">
                  <c:v>79.513888888888886</c:v>
                </c:pt>
                <c:pt idx="115">
                  <c:v>80.208333333333343</c:v>
                </c:pt>
                <c:pt idx="116">
                  <c:v>80.902777777777786</c:v>
                </c:pt>
                <c:pt idx="117">
                  <c:v>81.597222222222229</c:v>
                </c:pt>
                <c:pt idx="118">
                  <c:v>82.291666666666671</c:v>
                </c:pt>
                <c:pt idx="119">
                  <c:v>82.986111111111114</c:v>
                </c:pt>
                <c:pt idx="120">
                  <c:v>83.680555555555557</c:v>
                </c:pt>
                <c:pt idx="121">
                  <c:v>84.375</c:v>
                </c:pt>
                <c:pt idx="122">
                  <c:v>85.069444444444443</c:v>
                </c:pt>
                <c:pt idx="123">
                  <c:v>85.763888888888886</c:v>
                </c:pt>
                <c:pt idx="124">
                  <c:v>86.458333333333343</c:v>
                </c:pt>
                <c:pt idx="125">
                  <c:v>87.152777777777786</c:v>
                </c:pt>
                <c:pt idx="126">
                  <c:v>87.847222222222229</c:v>
                </c:pt>
                <c:pt idx="127">
                  <c:v>88.541666666666671</c:v>
                </c:pt>
                <c:pt idx="128">
                  <c:v>89.236111111111114</c:v>
                </c:pt>
                <c:pt idx="129">
                  <c:v>89.930555555555557</c:v>
                </c:pt>
                <c:pt idx="130">
                  <c:v>90.625</c:v>
                </c:pt>
                <c:pt idx="131">
                  <c:v>91.319444444444443</c:v>
                </c:pt>
                <c:pt idx="132">
                  <c:v>92.013888888888886</c:v>
                </c:pt>
                <c:pt idx="133">
                  <c:v>92.708333333333343</c:v>
                </c:pt>
                <c:pt idx="134">
                  <c:v>93.402777777777786</c:v>
                </c:pt>
                <c:pt idx="135">
                  <c:v>94.097222222222229</c:v>
                </c:pt>
                <c:pt idx="136">
                  <c:v>94.791666666666671</c:v>
                </c:pt>
                <c:pt idx="137">
                  <c:v>95.486111111111114</c:v>
                </c:pt>
                <c:pt idx="138">
                  <c:v>96.180555555555557</c:v>
                </c:pt>
                <c:pt idx="139">
                  <c:v>96.875</c:v>
                </c:pt>
                <c:pt idx="140">
                  <c:v>97.569444444444443</c:v>
                </c:pt>
                <c:pt idx="141">
                  <c:v>98.263888888888886</c:v>
                </c:pt>
                <c:pt idx="142">
                  <c:v>98.958333333333343</c:v>
                </c:pt>
                <c:pt idx="143">
                  <c:v>99.652777777777786</c:v>
                </c:pt>
              </c:numCache>
            </c:numRef>
          </c:xVal>
          <c:yVal>
            <c:numRef>
              <c:f>'SONIA, Credit, Inflation'!$G$28:$G$171</c:f>
              <c:numCache>
                <c:formatCode>General</c:formatCode>
                <c:ptCount val="144"/>
                <c:pt idx="0">
                  <c:v>-7.0047284893671877</c:v>
                </c:pt>
                <c:pt idx="1">
                  <c:v>-4.6868598995851904</c:v>
                </c:pt>
                <c:pt idx="2">
                  <c:v>-4.1526948243374111</c:v>
                </c:pt>
                <c:pt idx="3">
                  <c:v>-3.6875242113072275</c:v>
                </c:pt>
                <c:pt idx="4">
                  <c:v>-3.3442885744124804</c:v>
                </c:pt>
                <c:pt idx="5">
                  <c:v>-3.1231512210139143</c:v>
                </c:pt>
                <c:pt idx="6">
                  <c:v>-2.9682787226250409</c:v>
                </c:pt>
                <c:pt idx="7">
                  <c:v>-2.5680570998352561</c:v>
                </c:pt>
                <c:pt idx="8">
                  <c:v>-2.5280472836281653</c:v>
                </c:pt>
                <c:pt idx="9">
                  <c:v>-2.5046976641667626</c:v>
                </c:pt>
                <c:pt idx="10">
                  <c:v>-2.2568118607420633</c:v>
                </c:pt>
                <c:pt idx="11">
                  <c:v>-1.9001782009329338</c:v>
                </c:pt>
                <c:pt idx="12">
                  <c:v>-1.8423176925388944</c:v>
                </c:pt>
                <c:pt idx="13">
                  <c:v>-1.8267949190726551</c:v>
                </c:pt>
                <c:pt idx="14">
                  <c:v>-1.7163787658669345</c:v>
                </c:pt>
                <c:pt idx="15">
                  <c:v>-1.7024670003016547</c:v>
                </c:pt>
                <c:pt idx="16">
                  <c:v>-1.4912303020014905</c:v>
                </c:pt>
                <c:pt idx="17">
                  <c:v>-1.4816122688402813</c:v>
                </c:pt>
                <c:pt idx="18">
                  <c:v>-1.3850399013585131</c:v>
                </c:pt>
                <c:pt idx="19">
                  <c:v>-1.3845334693391671</c:v>
                </c:pt>
                <c:pt idx="20">
                  <c:v>-1.3312319193447704</c:v>
                </c:pt>
                <c:pt idx="21">
                  <c:v>-1.2793531068196276</c:v>
                </c:pt>
                <c:pt idx="22">
                  <c:v>-1.1425691586862545</c:v>
                </c:pt>
                <c:pt idx="23">
                  <c:v>-1.1072210028407516</c:v>
                </c:pt>
                <c:pt idx="24">
                  <c:v>-1.0801430002995103</c:v>
                </c:pt>
                <c:pt idx="25">
                  <c:v>-0.94912629185626851</c:v>
                </c:pt>
                <c:pt idx="26">
                  <c:v>-0.93339874585644023</c:v>
                </c:pt>
                <c:pt idx="27">
                  <c:v>-0.8739297602339734</c:v>
                </c:pt>
                <c:pt idx="28">
                  <c:v>-0.85098504001589137</c:v>
                </c:pt>
                <c:pt idx="29">
                  <c:v>-0.84486748191592764</c:v>
                </c:pt>
                <c:pt idx="30">
                  <c:v>-0.83998798555617005</c:v>
                </c:pt>
                <c:pt idx="31">
                  <c:v>-0.82038765576752415</c:v>
                </c:pt>
                <c:pt idx="32">
                  <c:v>-0.73047275946122014</c:v>
                </c:pt>
                <c:pt idx="33">
                  <c:v>-0.72114034769675106</c:v>
                </c:pt>
                <c:pt idx="34">
                  <c:v>-0.70844610563042631</c:v>
                </c:pt>
                <c:pt idx="35">
                  <c:v>-0.63980558944311527</c:v>
                </c:pt>
                <c:pt idx="36">
                  <c:v>-0.63321922178810008</c:v>
                </c:pt>
                <c:pt idx="37">
                  <c:v>-0.62523746935851443</c:v>
                </c:pt>
                <c:pt idx="38">
                  <c:v>-0.60205936122706527</c:v>
                </c:pt>
                <c:pt idx="39">
                  <c:v>-0.49649597275839152</c:v>
                </c:pt>
                <c:pt idx="40">
                  <c:v>-0.45287219230992509</c:v>
                </c:pt>
                <c:pt idx="41">
                  <c:v>-0.44945692130845749</c:v>
                </c:pt>
                <c:pt idx="42">
                  <c:v>-0.42414010254649709</c:v>
                </c:pt>
                <c:pt idx="43">
                  <c:v>-0.40587403799491967</c:v>
                </c:pt>
                <c:pt idx="44">
                  <c:v>-0.38364685529762182</c:v>
                </c:pt>
                <c:pt idx="45">
                  <c:v>-0.34952011853591453</c:v>
                </c:pt>
                <c:pt idx="46">
                  <c:v>-0.32059917407416511</c:v>
                </c:pt>
                <c:pt idx="47">
                  <c:v>-0.25809067214290327</c:v>
                </c:pt>
                <c:pt idx="48">
                  <c:v>-0.23417506109101072</c:v>
                </c:pt>
                <c:pt idx="49">
                  <c:v>-0.18651939975316809</c:v>
                </c:pt>
                <c:pt idx="50">
                  <c:v>-0.16023377056929605</c:v>
                </c:pt>
                <c:pt idx="51">
                  <c:v>-0.15960421366991845</c:v>
                </c:pt>
                <c:pt idx="52">
                  <c:v>-0.12574664360828455</c:v>
                </c:pt>
                <c:pt idx="53">
                  <c:v>-3.7635693365227305E-2</c:v>
                </c:pt>
                <c:pt idx="54">
                  <c:v>-2.8872892422191813E-2</c:v>
                </c:pt>
                <c:pt idx="55">
                  <c:v>-2.1093949631446327E-2</c:v>
                </c:pt>
                <c:pt idx="56">
                  <c:v>2.1744398396726858E-3</c:v>
                </c:pt>
                <c:pt idx="57">
                  <c:v>1.3361896540353232E-2</c:v>
                </c:pt>
                <c:pt idx="58">
                  <c:v>1.5244628300109645E-2</c:v>
                </c:pt>
                <c:pt idx="59">
                  <c:v>4.5162099813618559E-2</c:v>
                </c:pt>
                <c:pt idx="60">
                  <c:v>5.5182858323510636E-2</c:v>
                </c:pt>
                <c:pt idx="61">
                  <c:v>6.2862567183433013E-2</c:v>
                </c:pt>
                <c:pt idx="62">
                  <c:v>6.4450144874432388E-2</c:v>
                </c:pt>
                <c:pt idx="63">
                  <c:v>0.17050584189129772</c:v>
                </c:pt>
                <c:pt idx="64">
                  <c:v>0.20128346879376346</c:v>
                </c:pt>
                <c:pt idx="65">
                  <c:v>0.25176219913533959</c:v>
                </c:pt>
                <c:pt idx="66">
                  <c:v>0.27937046819359035</c:v>
                </c:pt>
                <c:pt idx="67">
                  <c:v>0.29248739326307094</c:v>
                </c:pt>
                <c:pt idx="68">
                  <c:v>0.32195109833132546</c:v>
                </c:pt>
                <c:pt idx="69">
                  <c:v>0.3416951439283733</c:v>
                </c:pt>
                <c:pt idx="70">
                  <c:v>0.3941440510082177</c:v>
                </c:pt>
                <c:pt idx="71">
                  <c:v>0.39463790345239053</c:v>
                </c:pt>
                <c:pt idx="72">
                  <c:v>0.44664249623499269</c:v>
                </c:pt>
                <c:pt idx="73">
                  <c:v>0.44906329589973976</c:v>
                </c:pt>
                <c:pt idx="74">
                  <c:v>0.51269214936388086</c:v>
                </c:pt>
                <c:pt idx="75">
                  <c:v>0.54311279831289316</c:v>
                </c:pt>
                <c:pt idx="76">
                  <c:v>0.64991632276644051</c:v>
                </c:pt>
                <c:pt idx="77">
                  <c:v>0.74520035393408268</c:v>
                </c:pt>
                <c:pt idx="78">
                  <c:v>0.76476526172699799</c:v>
                </c:pt>
                <c:pt idx="79">
                  <c:v>0.76715041455256716</c:v>
                </c:pt>
                <c:pt idx="80">
                  <c:v>0.77913542886387466</c:v>
                </c:pt>
                <c:pt idx="81">
                  <c:v>0.79790760681101336</c:v>
                </c:pt>
                <c:pt idx="82">
                  <c:v>0.79930043255834871</c:v>
                </c:pt>
                <c:pt idx="83">
                  <c:v>0.80909571022157933</c:v>
                </c:pt>
                <c:pt idx="84">
                  <c:v>0.8173714702258239</c:v>
                </c:pt>
                <c:pt idx="85">
                  <c:v>0.8220675256694463</c:v>
                </c:pt>
                <c:pt idx="86">
                  <c:v>0.94080499762717185</c:v>
                </c:pt>
                <c:pt idx="87">
                  <c:v>0.98384974618307341</c:v>
                </c:pt>
                <c:pt idx="88">
                  <c:v>1.084910181769061</c:v>
                </c:pt>
                <c:pt idx="89">
                  <c:v>1.088562294937061</c:v>
                </c:pt>
                <c:pt idx="90">
                  <c:v>1.1252408849651883</c:v>
                </c:pt>
                <c:pt idx="91">
                  <c:v>1.1573512190828252</c:v>
                </c:pt>
                <c:pt idx="92">
                  <c:v>1.1607317321410837</c:v>
                </c:pt>
                <c:pt idx="93">
                  <c:v>1.1935119946777377</c:v>
                </c:pt>
                <c:pt idx="94">
                  <c:v>1.2933080083597004</c:v>
                </c:pt>
                <c:pt idx="95">
                  <c:v>1.3006576888791135</c:v>
                </c:pt>
                <c:pt idx="96">
                  <c:v>1.3072997744824202</c:v>
                </c:pt>
                <c:pt idx="97">
                  <c:v>1.3201728926043841</c:v>
                </c:pt>
                <c:pt idx="98">
                  <c:v>1.3282751471537555</c:v>
                </c:pt>
                <c:pt idx="99">
                  <c:v>1.3592930931331151</c:v>
                </c:pt>
                <c:pt idx="100">
                  <c:v>1.3893836371301047</c:v>
                </c:pt>
                <c:pt idx="101">
                  <c:v>1.4570599695124704</c:v>
                </c:pt>
                <c:pt idx="102">
                  <c:v>1.4746501612318974</c:v>
                </c:pt>
                <c:pt idx="103">
                  <c:v>1.4799167353491935</c:v>
                </c:pt>
                <c:pt idx="104">
                  <c:v>1.5120608050198472</c:v>
                </c:pt>
                <c:pt idx="105">
                  <c:v>1.5632378548125487</c:v>
                </c:pt>
                <c:pt idx="106">
                  <c:v>1.5752476292840976</c:v>
                </c:pt>
                <c:pt idx="107">
                  <c:v>1.7130121087748451</c:v>
                </c:pt>
                <c:pt idx="108">
                  <c:v>1.8101887790863302</c:v>
                </c:pt>
                <c:pt idx="109">
                  <c:v>1.8519535193189707</c:v>
                </c:pt>
                <c:pt idx="110">
                  <c:v>1.9551601207275044</c:v>
                </c:pt>
                <c:pt idx="111">
                  <c:v>1.9636320377819911</c:v>
                </c:pt>
                <c:pt idx="112">
                  <c:v>1.9965489332311821</c:v>
                </c:pt>
                <c:pt idx="113">
                  <c:v>2.1127325139720563</c:v>
                </c:pt>
                <c:pt idx="114">
                  <c:v>2.1320616401803507</c:v>
                </c:pt>
                <c:pt idx="115">
                  <c:v>2.1528110708148573</c:v>
                </c:pt>
                <c:pt idx="116">
                  <c:v>2.1554149374730458</c:v>
                </c:pt>
                <c:pt idx="117">
                  <c:v>2.1937669383125291</c:v>
                </c:pt>
                <c:pt idx="118">
                  <c:v>2.2441569439350513</c:v>
                </c:pt>
                <c:pt idx="119">
                  <c:v>2.3109716137805942</c:v>
                </c:pt>
                <c:pt idx="120">
                  <c:v>2.3644571963769208</c:v>
                </c:pt>
                <c:pt idx="121">
                  <c:v>2.3878145236429944</c:v>
                </c:pt>
                <c:pt idx="122">
                  <c:v>2.4047017706743326</c:v>
                </c:pt>
                <c:pt idx="123">
                  <c:v>2.4711222871909655</c:v>
                </c:pt>
                <c:pt idx="124">
                  <c:v>2.5118747000438195</c:v>
                </c:pt>
                <c:pt idx="125">
                  <c:v>2.5198681337412903</c:v>
                </c:pt>
                <c:pt idx="126">
                  <c:v>2.5257042870557784</c:v>
                </c:pt>
                <c:pt idx="127">
                  <c:v>2.5343167951715437</c:v>
                </c:pt>
                <c:pt idx="128">
                  <c:v>2.6303236664701828</c:v>
                </c:pt>
                <c:pt idx="129">
                  <c:v>2.6535892327475388</c:v>
                </c:pt>
                <c:pt idx="130">
                  <c:v>2.664630651168546</c:v>
                </c:pt>
                <c:pt idx="131">
                  <c:v>2.683391280512204</c:v>
                </c:pt>
                <c:pt idx="132">
                  <c:v>2.7070180675265525</c:v>
                </c:pt>
                <c:pt idx="133">
                  <c:v>2.8438546235537174</c:v>
                </c:pt>
                <c:pt idx="134">
                  <c:v>2.8609360739223297</c:v>
                </c:pt>
                <c:pt idx="135">
                  <c:v>3.0698713827378343</c:v>
                </c:pt>
                <c:pt idx="136">
                  <c:v>3.1095108983661892</c:v>
                </c:pt>
                <c:pt idx="137">
                  <c:v>3.1666873562985165</c:v>
                </c:pt>
                <c:pt idx="138">
                  <c:v>3.3950819422879635</c:v>
                </c:pt>
                <c:pt idx="139">
                  <c:v>3.4388141552305238</c:v>
                </c:pt>
                <c:pt idx="140">
                  <c:v>3.580071379617352</c:v>
                </c:pt>
                <c:pt idx="141">
                  <c:v>3.8214888861569447</c:v>
                </c:pt>
                <c:pt idx="142">
                  <c:v>4.5018822436456931</c:v>
                </c:pt>
                <c:pt idx="143">
                  <c:v>5.5867022964527608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42-5D4C-BE86-BD468B51C7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0062448"/>
        <c:axId val="1060064176"/>
      </c:scatterChart>
      <c:valAx>
        <c:axId val="1060062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60064176"/>
        <c:crosses val="autoZero"/>
        <c:crossBetween val="midCat"/>
      </c:valAx>
      <c:valAx>
        <c:axId val="10600641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Asset Returns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60062448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IG Credit Spread (%)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Data!$W$2:$W$145</c:f>
              <c:numCache>
                <c:formatCode>0.0000</c:formatCode>
                <c:ptCount val="144"/>
                <c:pt idx="0">
                  <c:v>-5.1387194346069833</c:v>
                </c:pt>
                <c:pt idx="1">
                  <c:v>2.3484491421995508</c:v>
                </c:pt>
                <c:pt idx="2">
                  <c:v>-0.92319478819390199</c:v>
                </c:pt>
                <c:pt idx="3">
                  <c:v>0.82434767702086331</c:v>
                </c:pt>
                <c:pt idx="4">
                  <c:v>2.0252115715454142</c:v>
                </c:pt>
                <c:pt idx="5">
                  <c:v>-1.4083021680096535</c:v>
                </c:pt>
                <c:pt idx="6">
                  <c:v>-0.89531690384682072</c:v>
                </c:pt>
                <c:pt idx="7">
                  <c:v>2.0846292055168538</c:v>
                </c:pt>
                <c:pt idx="8">
                  <c:v>0.18815829103602541</c:v>
                </c:pt>
                <c:pt idx="9">
                  <c:v>-0.30403984882426438</c:v>
                </c:pt>
                <c:pt idx="10">
                  <c:v>1.2224064307019109</c:v>
                </c:pt>
                <c:pt idx="11">
                  <c:v>1.1188106566869516</c:v>
                </c:pt>
                <c:pt idx="12">
                  <c:v>-0.39386738542473537</c:v>
                </c:pt>
                <c:pt idx="13">
                  <c:v>0.23199314515441699</c:v>
                </c:pt>
                <c:pt idx="14">
                  <c:v>3.0510319131719719</c:v>
                </c:pt>
                <c:pt idx="15">
                  <c:v>-0.57569475557887417</c:v>
                </c:pt>
                <c:pt idx="16">
                  <c:v>0.34508593485068878</c:v>
                </c:pt>
                <c:pt idx="17">
                  <c:v>2.4668637873530348</c:v>
                </c:pt>
                <c:pt idx="18">
                  <c:v>1.3828982966028573</c:v>
                </c:pt>
                <c:pt idx="19">
                  <c:v>5.9348906527047323</c:v>
                </c:pt>
                <c:pt idx="20">
                  <c:v>-3.7396932352934624</c:v>
                </c:pt>
                <c:pt idx="21">
                  <c:v>1.0994857308880885</c:v>
                </c:pt>
                <c:pt idx="22">
                  <c:v>-2.3264834455409638</c:v>
                </c:pt>
                <c:pt idx="23">
                  <c:v>0.27399978476401698</c:v>
                </c:pt>
                <c:pt idx="24">
                  <c:v>-3.7708043023703515</c:v>
                </c:pt>
                <c:pt idx="25">
                  <c:v>2.4312561086316236</c:v>
                </c:pt>
                <c:pt idx="26">
                  <c:v>-2.163876747359093</c:v>
                </c:pt>
                <c:pt idx="27">
                  <c:v>0.5025858772171532</c:v>
                </c:pt>
                <c:pt idx="28">
                  <c:v>1.5012701524955124E-2</c:v>
                </c:pt>
                <c:pt idx="29">
                  <c:v>2.0734306549589543</c:v>
                </c:pt>
                <c:pt idx="30">
                  <c:v>-1.4165022256805997</c:v>
                </c:pt>
                <c:pt idx="31">
                  <c:v>0.66815720708482551</c:v>
                </c:pt>
                <c:pt idx="32">
                  <c:v>-0.80775400785913054</c:v>
                </c:pt>
                <c:pt idx="33">
                  <c:v>3.5954167685518694</c:v>
                </c:pt>
                <c:pt idx="34">
                  <c:v>0.91190414214845739</c:v>
                </c:pt>
                <c:pt idx="35">
                  <c:v>0.85468808124803441</c:v>
                </c:pt>
                <c:pt idx="36">
                  <c:v>3.5664770305249829</c:v>
                </c:pt>
                <c:pt idx="37">
                  <c:v>5.0465169683722939</c:v>
                </c:pt>
                <c:pt idx="38">
                  <c:v>3.4210472846484357</c:v>
                </c:pt>
                <c:pt idx="39">
                  <c:v>-1.9050206096671818</c:v>
                </c:pt>
                <c:pt idx="40">
                  <c:v>-4.4556526959210885</c:v>
                </c:pt>
                <c:pt idx="41">
                  <c:v>-1.6600067055434231</c:v>
                </c:pt>
                <c:pt idx="42">
                  <c:v>2.9503559863160107</c:v>
                </c:pt>
                <c:pt idx="43">
                  <c:v>-1.5202579266307075</c:v>
                </c:pt>
                <c:pt idx="44">
                  <c:v>2.6350509941130018</c:v>
                </c:pt>
                <c:pt idx="45">
                  <c:v>-0.17390455263532517</c:v>
                </c:pt>
                <c:pt idx="46">
                  <c:v>0.72625925846252182</c:v>
                </c:pt>
                <c:pt idx="47">
                  <c:v>1.5534992085354618</c:v>
                </c:pt>
                <c:pt idx="48">
                  <c:v>-1.3128763768352263</c:v>
                </c:pt>
                <c:pt idx="49">
                  <c:v>1.0235515044919676</c:v>
                </c:pt>
                <c:pt idx="50">
                  <c:v>0.87915557139737288</c:v>
                </c:pt>
                <c:pt idx="51">
                  <c:v>-2.0519560737810645</c:v>
                </c:pt>
                <c:pt idx="52">
                  <c:v>0.34628136161819018</c:v>
                </c:pt>
                <c:pt idx="53">
                  <c:v>-0.35419358995709715</c:v>
                </c:pt>
                <c:pt idx="54">
                  <c:v>1.858001601839639</c:v>
                </c:pt>
                <c:pt idx="55">
                  <c:v>-0.8877688063153264</c:v>
                </c:pt>
                <c:pt idx="56">
                  <c:v>-1.3769514272096248</c:v>
                </c:pt>
                <c:pt idx="57">
                  <c:v>0.20136749777207796</c:v>
                </c:pt>
                <c:pt idx="58">
                  <c:v>0.12731740286215751</c:v>
                </c:pt>
                <c:pt idx="59">
                  <c:v>-0.371473926792939</c:v>
                </c:pt>
                <c:pt idx="60">
                  <c:v>-0.41320150136606915</c:v>
                </c:pt>
                <c:pt idx="61">
                  <c:v>0.2551971584802315</c:v>
                </c:pt>
                <c:pt idx="62">
                  <c:v>0.54532839444733927</c:v>
                </c:pt>
                <c:pt idx="63">
                  <c:v>-1.1987084485525838</c:v>
                </c:pt>
                <c:pt idx="64">
                  <c:v>0.20365796077345244</c:v>
                </c:pt>
                <c:pt idx="65">
                  <c:v>-2.1905269483508447</c:v>
                </c:pt>
                <c:pt idx="66">
                  <c:v>1.357859374712971</c:v>
                </c:pt>
                <c:pt idx="67">
                  <c:v>1.0678641457547986</c:v>
                </c:pt>
                <c:pt idx="68">
                  <c:v>-4.062169850005945E-3</c:v>
                </c:pt>
                <c:pt idx="69">
                  <c:v>-0.25340601070870289</c:v>
                </c:pt>
                <c:pt idx="70">
                  <c:v>-0.20371933742089599</c:v>
                </c:pt>
                <c:pt idx="71">
                  <c:v>-6.8036926882462212E-2</c:v>
                </c:pt>
                <c:pt idx="72">
                  <c:v>3.0998066900760599</c:v>
                </c:pt>
                <c:pt idx="73">
                  <c:v>-1.5756409548922983</c:v>
                </c:pt>
                <c:pt idx="74">
                  <c:v>-6.5893968100260576</c:v>
                </c:pt>
                <c:pt idx="75">
                  <c:v>7.3665586735762902</c:v>
                </c:pt>
                <c:pt idx="76">
                  <c:v>1.0916617932992878</c:v>
                </c:pt>
                <c:pt idx="77">
                  <c:v>1.0163751457846373</c:v>
                </c:pt>
                <c:pt idx="78">
                  <c:v>2.1435700279400138</c:v>
                </c:pt>
                <c:pt idx="79">
                  <c:v>-1.204767361587278</c:v>
                </c:pt>
                <c:pt idx="80">
                  <c:v>-1.9469169716171044E-3</c:v>
                </c:pt>
                <c:pt idx="81">
                  <c:v>0.28979934223811843</c:v>
                </c:pt>
                <c:pt idx="82">
                  <c:v>2.3639052440224098</c:v>
                </c:pt>
                <c:pt idx="83">
                  <c:v>1.5490140567033936</c:v>
                </c:pt>
                <c:pt idx="84">
                  <c:v>-1.6477775578392471</c:v>
                </c:pt>
                <c:pt idx="85">
                  <c:v>-3.4798493915758022</c:v>
                </c:pt>
                <c:pt idx="86">
                  <c:v>1.7190145145590065E-2</c:v>
                </c:pt>
                <c:pt idx="87">
                  <c:v>0.3804319559628988</c:v>
                </c:pt>
                <c:pt idx="88">
                  <c:v>0.31001431749484604</c:v>
                </c:pt>
                <c:pt idx="89">
                  <c:v>0.85502216530240871</c:v>
                </c:pt>
                <c:pt idx="90">
                  <c:v>1.6132309956574875</c:v>
                </c:pt>
                <c:pt idx="91">
                  <c:v>-0.22870458134476115</c:v>
                </c:pt>
                <c:pt idx="92">
                  <c:v>-2.8087660797989829</c:v>
                </c:pt>
                <c:pt idx="93">
                  <c:v>0.69722145982741013</c:v>
                </c:pt>
                <c:pt idx="94">
                  <c:v>0.99547551042253035</c:v>
                </c:pt>
                <c:pt idx="95">
                  <c:v>-1.12353903746557</c:v>
                </c:pt>
                <c:pt idx="96">
                  <c:v>-4.0342794589013895</c:v>
                </c:pt>
                <c:pt idx="97">
                  <c:v>-3.1651689144312303</c:v>
                </c:pt>
                <c:pt idx="98">
                  <c:v>0.13326767049501004</c:v>
                </c:pt>
                <c:pt idx="99">
                  <c:v>-3.8653528730622675</c:v>
                </c:pt>
                <c:pt idx="100">
                  <c:v>-1.556403524525015</c:v>
                </c:pt>
                <c:pt idx="101">
                  <c:v>-3.4565692008015478</c:v>
                </c:pt>
                <c:pt idx="102">
                  <c:v>4.373127894277208</c:v>
                </c:pt>
                <c:pt idx="103">
                  <c:v>-8.1411935429504894</c:v>
                </c:pt>
                <c:pt idx="104">
                  <c:v>-9.1415438687040886</c:v>
                </c:pt>
                <c:pt idx="105">
                  <c:v>4.9981561061963475</c:v>
                </c:pt>
                <c:pt idx="106">
                  <c:v>3.7315693621188237</c:v>
                </c:pt>
                <c:pt idx="107">
                  <c:v>-1.6930601373866518</c:v>
                </c:pt>
                <c:pt idx="108">
                  <c:v>3.2693974797429637</c:v>
                </c:pt>
                <c:pt idx="109">
                  <c:v>-3.4044713219137206</c:v>
                </c:pt>
                <c:pt idx="110">
                  <c:v>1.1229372544900045</c:v>
                </c:pt>
                <c:pt idx="111">
                  <c:v>-4.5251950847142508E-2</c:v>
                </c:pt>
                <c:pt idx="112">
                  <c:v>-3.2207902839867755</c:v>
                </c:pt>
                <c:pt idx="113">
                  <c:v>-1.5304704600210068</c:v>
                </c:pt>
                <c:pt idx="114">
                  <c:v>2.0217015238879137</c:v>
                </c:pt>
                <c:pt idx="115">
                  <c:v>-0.73548575994241516</c:v>
                </c:pt>
                <c:pt idx="116">
                  <c:v>-0.41335762746622851</c:v>
                </c:pt>
                <c:pt idx="117">
                  <c:v>-0.46656124638286833</c:v>
                </c:pt>
                <c:pt idx="118">
                  <c:v>3.4138089910941942</c:v>
                </c:pt>
                <c:pt idx="119">
                  <c:v>4.4012225363925044</c:v>
                </c:pt>
                <c:pt idx="120">
                  <c:v>-1.5196917747234271</c:v>
                </c:pt>
                <c:pt idx="121">
                  <c:v>-1.062073375074631</c:v>
                </c:pt>
                <c:pt idx="122">
                  <c:v>1.477489362217179</c:v>
                </c:pt>
                <c:pt idx="123">
                  <c:v>-2.3781283099238917</c:v>
                </c:pt>
                <c:pt idx="124">
                  <c:v>0.47811004572060589</c:v>
                </c:pt>
                <c:pt idx="125">
                  <c:v>0.44551959930867541</c:v>
                </c:pt>
                <c:pt idx="126">
                  <c:v>1.3614075313738643</c:v>
                </c:pt>
                <c:pt idx="127">
                  <c:v>-7.7650136808625758E-3</c:v>
                </c:pt>
                <c:pt idx="128">
                  <c:v>-0.12972116439056908</c:v>
                </c:pt>
                <c:pt idx="129">
                  <c:v>-1.6695833580904584</c:v>
                </c:pt>
                <c:pt idx="130">
                  <c:v>1.4530967525660716</c:v>
                </c:pt>
                <c:pt idx="131">
                  <c:v>-0.78143310266141697</c:v>
                </c:pt>
                <c:pt idx="132">
                  <c:v>0.34908255979636738</c:v>
                </c:pt>
                <c:pt idx="133">
                  <c:v>0.13535969057984193</c:v>
                </c:pt>
                <c:pt idx="134">
                  <c:v>-1.8716624465378884</c:v>
                </c:pt>
                <c:pt idx="135">
                  <c:v>1.2656565827966442</c:v>
                </c:pt>
                <c:pt idx="136">
                  <c:v>-0.42014204580768427</c:v>
                </c:pt>
                <c:pt idx="137">
                  <c:v>1.4055246320234833</c:v>
                </c:pt>
                <c:pt idx="138">
                  <c:v>-2.3798636141916241E-2</c:v>
                </c:pt>
                <c:pt idx="139">
                  <c:v>-0.94564972218921284</c:v>
                </c:pt>
                <c:pt idx="140">
                  <c:v>0.73546966098117694</c:v>
                </c:pt>
                <c:pt idx="141">
                  <c:v>1.7116922764778253</c:v>
                </c:pt>
                <c:pt idx="142">
                  <c:v>-0.26362362275971585</c:v>
                </c:pt>
                <c:pt idx="143">
                  <c:v>0.22777557059858333</c:v>
                </c:pt>
              </c:numCache>
            </c:numRef>
          </c:xVal>
          <c:yVal>
            <c:numRef>
              <c:f>'Credit, Inflation'!$C$27:$C$170</c:f>
              <c:numCache>
                <c:formatCode>General</c:formatCode>
                <c:ptCount val="144"/>
                <c:pt idx="0">
                  <c:v>-1.8178269677124375</c:v>
                </c:pt>
                <c:pt idx="1">
                  <c:v>1.3555947720886201</c:v>
                </c:pt>
                <c:pt idx="2">
                  <c:v>-1.3230133796908892</c:v>
                </c:pt>
                <c:pt idx="3">
                  <c:v>-0.26247478164776528</c:v>
                </c:pt>
                <c:pt idx="4">
                  <c:v>0.78618568108258913</c:v>
                </c:pt>
                <c:pt idx="5">
                  <c:v>-8.6622664114920755E-2</c:v>
                </c:pt>
                <c:pt idx="6">
                  <c:v>0.17686022568348642</c:v>
                </c:pt>
                <c:pt idx="7">
                  <c:v>-1.9547621376802473</c:v>
                </c:pt>
                <c:pt idx="8">
                  <c:v>0.9992756879140634</c:v>
                </c:pt>
                <c:pt idx="9">
                  <c:v>-0.50521432683786971</c:v>
                </c:pt>
                <c:pt idx="10">
                  <c:v>-0.19057773719499249</c:v>
                </c:pt>
                <c:pt idx="11">
                  <c:v>0.58550282132316755</c:v>
                </c:pt>
                <c:pt idx="12">
                  <c:v>-0.59309486090611441</c:v>
                </c:pt>
                <c:pt idx="13">
                  <c:v>0.37984365933958086</c:v>
                </c:pt>
                <c:pt idx="14">
                  <c:v>0.27299712620007499</c:v>
                </c:pt>
                <c:pt idx="15">
                  <c:v>0.23443647284350422</c:v>
                </c:pt>
                <c:pt idx="16">
                  <c:v>-0.40570989705692995</c:v>
                </c:pt>
                <c:pt idx="17">
                  <c:v>1.9412503750362675</c:v>
                </c:pt>
                <c:pt idx="18">
                  <c:v>-0.14409853458725305</c:v>
                </c:pt>
                <c:pt idx="19">
                  <c:v>-0.19741482814138145</c:v>
                </c:pt>
                <c:pt idx="20">
                  <c:v>1.1181477646621816</c:v>
                </c:pt>
                <c:pt idx="21">
                  <c:v>0.6994682266623159</c:v>
                </c:pt>
                <c:pt idx="22">
                  <c:v>0.14378964607348954</c:v>
                </c:pt>
                <c:pt idx="23">
                  <c:v>0.31442639783916199</c:v>
                </c:pt>
                <c:pt idx="24">
                  <c:v>-1.2869386088363113</c:v>
                </c:pt>
                <c:pt idx="25">
                  <c:v>0.95922474391807722</c:v>
                </c:pt>
                <c:pt idx="26">
                  <c:v>-1.4734088381818995</c:v>
                </c:pt>
                <c:pt idx="27">
                  <c:v>0.20180884114366104</c:v>
                </c:pt>
                <c:pt idx="28">
                  <c:v>1.0233303870155326</c:v>
                </c:pt>
                <c:pt idx="29">
                  <c:v>1.2020212605265757</c:v>
                </c:pt>
                <c:pt idx="30">
                  <c:v>0.95253191845629948</c:v>
                </c:pt>
                <c:pt idx="31">
                  <c:v>-0.82535169311765177</c:v>
                </c:pt>
                <c:pt idx="32">
                  <c:v>0.49794252873519218</c:v>
                </c:pt>
                <c:pt idx="33">
                  <c:v>-0.9203452254029405</c:v>
                </c:pt>
                <c:pt idx="34">
                  <c:v>-1.0407431728200465</c:v>
                </c:pt>
                <c:pt idx="35">
                  <c:v>0.31495680152923661</c:v>
                </c:pt>
                <c:pt idx="36">
                  <c:v>1.6713844475335713</c:v>
                </c:pt>
                <c:pt idx="37">
                  <c:v>6.2657885128483137E-2</c:v>
                </c:pt>
                <c:pt idx="38">
                  <c:v>-0.79859149206636038</c:v>
                </c:pt>
                <c:pt idx="39">
                  <c:v>0.86067723146870256</c:v>
                </c:pt>
                <c:pt idx="40">
                  <c:v>1.3867053574993249</c:v>
                </c:pt>
                <c:pt idx="41">
                  <c:v>-0.30259443994129753</c:v>
                </c:pt>
                <c:pt idx="42">
                  <c:v>0.53290218278686652</c:v>
                </c:pt>
                <c:pt idx="43">
                  <c:v>-0.60323248205813584</c:v>
                </c:pt>
                <c:pt idx="44">
                  <c:v>0.74800631231148396</c:v>
                </c:pt>
                <c:pt idx="45">
                  <c:v>0.14471915108761485</c:v>
                </c:pt>
                <c:pt idx="46">
                  <c:v>-1.4508609350596804</c:v>
                </c:pt>
                <c:pt idx="47">
                  <c:v>0.62659249563063257</c:v>
                </c:pt>
                <c:pt idx="48">
                  <c:v>-0.75562754803456644</c:v>
                </c:pt>
                <c:pt idx="49">
                  <c:v>-0.20852019497134033</c:v>
                </c:pt>
                <c:pt idx="50">
                  <c:v>0.56605796462383351</c:v>
                </c:pt>
                <c:pt idx="51">
                  <c:v>-0.88239312980924756</c:v>
                </c:pt>
                <c:pt idx="52">
                  <c:v>0.82542807851357669</c:v>
                </c:pt>
                <c:pt idx="53">
                  <c:v>-0.32989408045607721</c:v>
                </c:pt>
                <c:pt idx="54">
                  <c:v>1.3872398119299425</c:v>
                </c:pt>
                <c:pt idx="55">
                  <c:v>-0.70373833339791947</c:v>
                </c:pt>
                <c:pt idx="56">
                  <c:v>-0.53374185093319892</c:v>
                </c:pt>
                <c:pt idx="57">
                  <c:v>-1.6313460962292874</c:v>
                </c:pt>
                <c:pt idx="58">
                  <c:v>1.9101521375714616</c:v>
                </c:pt>
                <c:pt idx="59">
                  <c:v>1.5041223519227387</c:v>
                </c:pt>
                <c:pt idx="60">
                  <c:v>0.27163803719116497</c:v>
                </c:pt>
                <c:pt idx="61">
                  <c:v>0.26955419563576366</c:v>
                </c:pt>
                <c:pt idx="62">
                  <c:v>-0.52655155741503834</c:v>
                </c:pt>
                <c:pt idx="63">
                  <c:v>6.1638841967768671E-3</c:v>
                </c:pt>
                <c:pt idx="64">
                  <c:v>-2.063724416071643</c:v>
                </c:pt>
                <c:pt idx="65">
                  <c:v>0.12278674569542303</c:v>
                </c:pt>
                <c:pt idx="66">
                  <c:v>-2.6473832652426807</c:v>
                </c:pt>
                <c:pt idx="67">
                  <c:v>-2.3264418586195044</c:v>
                </c:pt>
                <c:pt idx="68">
                  <c:v>0.91092388866919427</c:v>
                </c:pt>
                <c:pt idx="69">
                  <c:v>-1.08797763817108</c:v>
                </c:pt>
                <c:pt idx="70">
                  <c:v>0.79790590608108847</c:v>
                </c:pt>
                <c:pt idx="71">
                  <c:v>-6.3653469821628561E-2</c:v>
                </c:pt>
                <c:pt idx="72">
                  <c:v>-1.1760835112377928</c:v>
                </c:pt>
                <c:pt idx="73">
                  <c:v>-3.1722234502761784</c:v>
                </c:pt>
                <c:pt idx="74">
                  <c:v>0.91356417666027134</c:v>
                </c:pt>
                <c:pt idx="75">
                  <c:v>-0.78707641668438999</c:v>
                </c:pt>
                <c:pt idx="76">
                  <c:v>0.54557044241658526</c:v>
                </c:pt>
                <c:pt idx="77">
                  <c:v>0.42473249579018835</c:v>
                </c:pt>
                <c:pt idx="78">
                  <c:v>-2.8275181590804235</c:v>
                </c:pt>
                <c:pt idx="79">
                  <c:v>1.0363956934616914</c:v>
                </c:pt>
                <c:pt idx="80">
                  <c:v>-8.4298864223093573E-2</c:v>
                </c:pt>
                <c:pt idx="81">
                  <c:v>-2.3200254022987603</c:v>
                </c:pt>
                <c:pt idx="82">
                  <c:v>2.4795476369932721</c:v>
                </c:pt>
                <c:pt idx="83">
                  <c:v>0.46761530671611795</c:v>
                </c:pt>
                <c:pt idx="84">
                  <c:v>-0.53339473577717433</c:v>
                </c:pt>
                <c:pt idx="85">
                  <c:v>0.76020568514563269</c:v>
                </c:pt>
                <c:pt idx="86">
                  <c:v>1.3765712462199593</c:v>
                </c:pt>
                <c:pt idx="87">
                  <c:v>1.4867514131828585</c:v>
                </c:pt>
                <c:pt idx="88">
                  <c:v>-0.51080817986654603</c:v>
                </c:pt>
                <c:pt idx="89">
                  <c:v>0.16015262149623766</c:v>
                </c:pt>
                <c:pt idx="90">
                  <c:v>-0.10874481772891231</c:v>
                </c:pt>
                <c:pt idx="91">
                  <c:v>0.90788672852190477</c:v>
                </c:pt>
                <c:pt idx="92">
                  <c:v>-0.78857016203079522</c:v>
                </c:pt>
                <c:pt idx="93">
                  <c:v>0.87573542720793141</c:v>
                </c:pt>
                <c:pt idx="94">
                  <c:v>-0.25544274238631681</c:v>
                </c:pt>
                <c:pt idx="95">
                  <c:v>0.27622981762205678</c:v>
                </c:pt>
                <c:pt idx="96">
                  <c:v>-0.45573769273598819</c:v>
                </c:pt>
                <c:pt idx="97">
                  <c:v>-0.28770313860811791</c:v>
                </c:pt>
                <c:pt idx="98">
                  <c:v>1.3323075194195362</c:v>
                </c:pt>
                <c:pt idx="99">
                  <c:v>0.51489159281572716</c:v>
                </c:pt>
                <c:pt idx="100">
                  <c:v>-1.3769541544759885</c:v>
                </c:pt>
                <c:pt idx="101">
                  <c:v>0.20124546235631069</c:v>
                </c:pt>
                <c:pt idx="102">
                  <c:v>-1.2221031578276174</c:v>
                </c:pt>
                <c:pt idx="103">
                  <c:v>2.0178207706514435</c:v>
                </c:pt>
                <c:pt idx="104">
                  <c:v>-0.90156642481650007</c:v>
                </c:pt>
                <c:pt idx="105">
                  <c:v>-0.98355411600590603</c:v>
                </c:pt>
                <c:pt idx="106">
                  <c:v>-0.22914826105629826</c:v>
                </c:pt>
                <c:pt idx="107">
                  <c:v>-0.84397739464551291</c:v>
                </c:pt>
                <c:pt idx="108">
                  <c:v>0.52051432849136026</c:v>
                </c:pt>
                <c:pt idx="109">
                  <c:v>1.1538957276009165</c:v>
                </c:pt>
                <c:pt idx="110">
                  <c:v>-1.263359010724397</c:v>
                </c:pt>
                <c:pt idx="111">
                  <c:v>0.65674220674106598</c:v>
                </c:pt>
                <c:pt idx="112">
                  <c:v>-0.33642609145946945</c:v>
                </c:pt>
                <c:pt idx="113">
                  <c:v>0.4577592023014565</c:v>
                </c:pt>
                <c:pt idx="114">
                  <c:v>0.55367992910270014</c:v>
                </c:pt>
                <c:pt idx="115">
                  <c:v>-0.67880031965122134</c:v>
                </c:pt>
                <c:pt idx="116">
                  <c:v>0.39802542352525905</c:v>
                </c:pt>
                <c:pt idx="117">
                  <c:v>-1.4747482237717005</c:v>
                </c:pt>
                <c:pt idx="118">
                  <c:v>-8.9585853704517326E-2</c:v>
                </c:pt>
                <c:pt idx="119">
                  <c:v>0.238298030340653</c:v>
                </c:pt>
                <c:pt idx="120">
                  <c:v>0.34954007345186444</c:v>
                </c:pt>
                <c:pt idx="121">
                  <c:v>0.81079088080390793</c:v>
                </c:pt>
                <c:pt idx="122">
                  <c:v>1.2591216692991178</c:v>
                </c:pt>
                <c:pt idx="123">
                  <c:v>8.4717995064409024E-2</c:v>
                </c:pt>
                <c:pt idx="124">
                  <c:v>2.5452752318615435E-3</c:v>
                </c:pt>
                <c:pt idx="125">
                  <c:v>0.45570544453617945</c:v>
                </c:pt>
                <c:pt idx="126">
                  <c:v>-0.48602734627507582</c:v>
                </c:pt>
                <c:pt idx="127">
                  <c:v>-0.77940523498190373</c:v>
                </c:pt>
                <c:pt idx="128">
                  <c:v>-0.91181833608070362</c:v>
                </c:pt>
                <c:pt idx="129">
                  <c:v>0.46950918002176356</c:v>
                </c:pt>
                <c:pt idx="130">
                  <c:v>0.97289671746396422</c:v>
                </c:pt>
                <c:pt idx="131">
                  <c:v>-0.87309336414528449</c:v>
                </c:pt>
                <c:pt idx="132">
                  <c:v>1.5123537544870138</c:v>
                </c:pt>
                <c:pt idx="133">
                  <c:v>-1.3749960929915743</c:v>
                </c:pt>
                <c:pt idx="134">
                  <c:v>-1.8624000796644984</c:v>
                </c:pt>
                <c:pt idx="135">
                  <c:v>-1.2222573651585342</c:v>
                </c:pt>
                <c:pt idx="136">
                  <c:v>1.6481742967728643</c:v>
                </c:pt>
                <c:pt idx="137">
                  <c:v>0.18378145865465467</c:v>
                </c:pt>
                <c:pt idx="138">
                  <c:v>1.6497996891664335</c:v>
                </c:pt>
                <c:pt idx="139">
                  <c:v>-0.19186341216415781</c:v>
                </c:pt>
                <c:pt idx="140">
                  <c:v>0.68807381414063906</c:v>
                </c:pt>
                <c:pt idx="141">
                  <c:v>1.6301452454298695</c:v>
                </c:pt>
                <c:pt idx="142">
                  <c:v>-3.5456323640183876E-2</c:v>
                </c:pt>
                <c:pt idx="143">
                  <c:v>0.15053049554748732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11E-B24D-8EF6-E36D34D91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3481920"/>
        <c:axId val="1038614064"/>
      </c:scatterChart>
      <c:valAx>
        <c:axId val="1073481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IG Credit Spread (%)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1038614064"/>
        <c:crosses val="autoZero"/>
        <c:crossBetween val="midCat"/>
      </c:valAx>
      <c:valAx>
        <c:axId val="1038614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73481920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'Credit, Inflation'!$F$27:$F$170</c:f>
              <c:numCache>
                <c:formatCode>General</c:formatCode>
                <c:ptCount val="144"/>
                <c:pt idx="0">
                  <c:v>0.34722222222222221</c:v>
                </c:pt>
                <c:pt idx="1">
                  <c:v>1.0416666666666665</c:v>
                </c:pt>
                <c:pt idx="2">
                  <c:v>1.7361111111111112</c:v>
                </c:pt>
                <c:pt idx="3">
                  <c:v>2.4305555555555554</c:v>
                </c:pt>
                <c:pt idx="4">
                  <c:v>3.125</c:v>
                </c:pt>
                <c:pt idx="5">
                  <c:v>3.8194444444444446</c:v>
                </c:pt>
                <c:pt idx="6">
                  <c:v>4.5138888888888884</c:v>
                </c:pt>
                <c:pt idx="7">
                  <c:v>5.208333333333333</c:v>
                </c:pt>
                <c:pt idx="8">
                  <c:v>5.9027777777777777</c:v>
                </c:pt>
                <c:pt idx="9">
                  <c:v>6.5972222222222223</c:v>
                </c:pt>
                <c:pt idx="10">
                  <c:v>7.291666666666667</c:v>
                </c:pt>
                <c:pt idx="11">
                  <c:v>7.9861111111111107</c:v>
                </c:pt>
                <c:pt idx="12">
                  <c:v>8.6805555555555536</c:v>
                </c:pt>
                <c:pt idx="13">
                  <c:v>9.3749999999999982</c:v>
                </c:pt>
                <c:pt idx="14">
                  <c:v>10.069444444444443</c:v>
                </c:pt>
                <c:pt idx="15">
                  <c:v>10.763888888888888</c:v>
                </c:pt>
                <c:pt idx="16">
                  <c:v>11.458333333333332</c:v>
                </c:pt>
                <c:pt idx="17">
                  <c:v>12.152777777777777</c:v>
                </c:pt>
                <c:pt idx="18">
                  <c:v>12.847222222222221</c:v>
                </c:pt>
                <c:pt idx="19">
                  <c:v>13.541666666666666</c:v>
                </c:pt>
                <c:pt idx="20">
                  <c:v>14.236111111111111</c:v>
                </c:pt>
                <c:pt idx="21">
                  <c:v>14.930555555555554</c:v>
                </c:pt>
                <c:pt idx="22">
                  <c:v>15.624999999999998</c:v>
                </c:pt>
                <c:pt idx="23">
                  <c:v>16.319444444444443</c:v>
                </c:pt>
                <c:pt idx="24">
                  <c:v>17.013888888888886</c:v>
                </c:pt>
                <c:pt idx="25">
                  <c:v>17.708333333333332</c:v>
                </c:pt>
                <c:pt idx="26">
                  <c:v>18.402777777777775</c:v>
                </c:pt>
                <c:pt idx="27">
                  <c:v>19.097222222222221</c:v>
                </c:pt>
                <c:pt idx="28">
                  <c:v>19.791666666666664</c:v>
                </c:pt>
                <c:pt idx="29">
                  <c:v>20.486111111111111</c:v>
                </c:pt>
                <c:pt idx="30">
                  <c:v>21.180555555555554</c:v>
                </c:pt>
                <c:pt idx="31">
                  <c:v>21.875</c:v>
                </c:pt>
                <c:pt idx="32">
                  <c:v>22.569444444444443</c:v>
                </c:pt>
                <c:pt idx="33">
                  <c:v>23.263888888888886</c:v>
                </c:pt>
                <c:pt idx="34">
                  <c:v>23.958333333333332</c:v>
                </c:pt>
                <c:pt idx="35">
                  <c:v>24.652777777777775</c:v>
                </c:pt>
                <c:pt idx="36">
                  <c:v>25.347222222222221</c:v>
                </c:pt>
                <c:pt idx="37">
                  <c:v>26.041666666666664</c:v>
                </c:pt>
                <c:pt idx="38">
                  <c:v>26.736111111111111</c:v>
                </c:pt>
                <c:pt idx="39">
                  <c:v>27.430555555555554</c:v>
                </c:pt>
                <c:pt idx="40">
                  <c:v>28.125</c:v>
                </c:pt>
                <c:pt idx="41">
                  <c:v>28.819444444444443</c:v>
                </c:pt>
                <c:pt idx="42">
                  <c:v>29.513888888888886</c:v>
                </c:pt>
                <c:pt idx="43">
                  <c:v>30.208333333333332</c:v>
                </c:pt>
                <c:pt idx="44">
                  <c:v>30.902777777777775</c:v>
                </c:pt>
                <c:pt idx="45">
                  <c:v>31.597222222222221</c:v>
                </c:pt>
                <c:pt idx="46">
                  <c:v>32.291666666666664</c:v>
                </c:pt>
                <c:pt idx="47">
                  <c:v>32.986111111111107</c:v>
                </c:pt>
                <c:pt idx="48">
                  <c:v>33.68055555555555</c:v>
                </c:pt>
                <c:pt idx="49">
                  <c:v>34.375</c:v>
                </c:pt>
                <c:pt idx="50">
                  <c:v>35.069444444444443</c:v>
                </c:pt>
                <c:pt idx="51">
                  <c:v>35.763888888888886</c:v>
                </c:pt>
                <c:pt idx="52">
                  <c:v>36.458333333333329</c:v>
                </c:pt>
                <c:pt idx="53">
                  <c:v>37.152777777777779</c:v>
                </c:pt>
                <c:pt idx="54">
                  <c:v>37.847222222222221</c:v>
                </c:pt>
                <c:pt idx="55">
                  <c:v>38.541666666666664</c:v>
                </c:pt>
                <c:pt idx="56">
                  <c:v>39.236111111111107</c:v>
                </c:pt>
                <c:pt idx="57">
                  <c:v>39.93055555555555</c:v>
                </c:pt>
                <c:pt idx="58">
                  <c:v>40.625</c:v>
                </c:pt>
                <c:pt idx="59">
                  <c:v>41.319444444444443</c:v>
                </c:pt>
                <c:pt idx="60">
                  <c:v>42.013888888888886</c:v>
                </c:pt>
                <c:pt idx="61">
                  <c:v>42.708333333333329</c:v>
                </c:pt>
                <c:pt idx="62">
                  <c:v>43.402777777777779</c:v>
                </c:pt>
                <c:pt idx="63">
                  <c:v>44.097222222222221</c:v>
                </c:pt>
                <c:pt idx="64">
                  <c:v>44.791666666666664</c:v>
                </c:pt>
                <c:pt idx="65">
                  <c:v>45.486111111111107</c:v>
                </c:pt>
                <c:pt idx="66">
                  <c:v>46.18055555555555</c:v>
                </c:pt>
                <c:pt idx="67">
                  <c:v>46.875</c:v>
                </c:pt>
                <c:pt idx="68">
                  <c:v>47.569444444444443</c:v>
                </c:pt>
                <c:pt idx="69">
                  <c:v>48.263888888888886</c:v>
                </c:pt>
                <c:pt idx="70">
                  <c:v>48.958333333333329</c:v>
                </c:pt>
                <c:pt idx="71">
                  <c:v>49.652777777777779</c:v>
                </c:pt>
                <c:pt idx="72">
                  <c:v>50.347222222222221</c:v>
                </c:pt>
                <c:pt idx="73">
                  <c:v>51.041666666666664</c:v>
                </c:pt>
                <c:pt idx="74">
                  <c:v>51.736111111111107</c:v>
                </c:pt>
                <c:pt idx="75">
                  <c:v>52.43055555555555</c:v>
                </c:pt>
                <c:pt idx="76">
                  <c:v>53.125</c:v>
                </c:pt>
                <c:pt idx="77">
                  <c:v>53.819444444444443</c:v>
                </c:pt>
                <c:pt idx="78">
                  <c:v>54.513888888888886</c:v>
                </c:pt>
                <c:pt idx="79">
                  <c:v>55.208333333333329</c:v>
                </c:pt>
                <c:pt idx="80">
                  <c:v>55.902777777777779</c:v>
                </c:pt>
                <c:pt idx="81">
                  <c:v>56.597222222222221</c:v>
                </c:pt>
                <c:pt idx="82">
                  <c:v>57.291666666666664</c:v>
                </c:pt>
                <c:pt idx="83">
                  <c:v>57.986111111111107</c:v>
                </c:pt>
                <c:pt idx="84">
                  <c:v>58.68055555555555</c:v>
                </c:pt>
                <c:pt idx="85">
                  <c:v>59.375</c:v>
                </c:pt>
                <c:pt idx="86">
                  <c:v>60.069444444444443</c:v>
                </c:pt>
                <c:pt idx="87">
                  <c:v>60.763888888888886</c:v>
                </c:pt>
                <c:pt idx="88">
                  <c:v>61.458333333333329</c:v>
                </c:pt>
                <c:pt idx="89">
                  <c:v>62.152777777777771</c:v>
                </c:pt>
                <c:pt idx="90">
                  <c:v>62.847222222222221</c:v>
                </c:pt>
                <c:pt idx="91">
                  <c:v>63.541666666666664</c:v>
                </c:pt>
                <c:pt idx="92">
                  <c:v>64.236111111111114</c:v>
                </c:pt>
                <c:pt idx="93">
                  <c:v>64.930555555555557</c:v>
                </c:pt>
                <c:pt idx="94">
                  <c:v>65.625</c:v>
                </c:pt>
                <c:pt idx="95">
                  <c:v>66.319444444444443</c:v>
                </c:pt>
                <c:pt idx="96">
                  <c:v>67.013888888888886</c:v>
                </c:pt>
                <c:pt idx="97">
                  <c:v>67.708333333333343</c:v>
                </c:pt>
                <c:pt idx="98">
                  <c:v>68.402777777777786</c:v>
                </c:pt>
                <c:pt idx="99">
                  <c:v>69.097222222222229</c:v>
                </c:pt>
                <c:pt idx="100">
                  <c:v>69.791666666666671</c:v>
                </c:pt>
                <c:pt idx="101">
                  <c:v>70.486111111111114</c:v>
                </c:pt>
                <c:pt idx="102">
                  <c:v>71.180555555555557</c:v>
                </c:pt>
                <c:pt idx="103">
                  <c:v>71.875</c:v>
                </c:pt>
                <c:pt idx="104">
                  <c:v>72.569444444444443</c:v>
                </c:pt>
                <c:pt idx="105">
                  <c:v>73.263888888888886</c:v>
                </c:pt>
                <c:pt idx="106">
                  <c:v>73.958333333333343</c:v>
                </c:pt>
                <c:pt idx="107">
                  <c:v>74.652777777777786</c:v>
                </c:pt>
                <c:pt idx="108">
                  <c:v>75.347222222222229</c:v>
                </c:pt>
                <c:pt idx="109">
                  <c:v>76.041666666666671</c:v>
                </c:pt>
                <c:pt idx="110">
                  <c:v>76.736111111111114</c:v>
                </c:pt>
                <c:pt idx="111">
                  <c:v>77.430555555555557</c:v>
                </c:pt>
                <c:pt idx="112">
                  <c:v>78.125</c:v>
                </c:pt>
                <c:pt idx="113">
                  <c:v>78.819444444444443</c:v>
                </c:pt>
                <c:pt idx="114">
                  <c:v>79.513888888888886</c:v>
                </c:pt>
                <c:pt idx="115">
                  <c:v>80.208333333333343</c:v>
                </c:pt>
                <c:pt idx="116">
                  <c:v>80.902777777777786</c:v>
                </c:pt>
                <c:pt idx="117">
                  <c:v>81.597222222222229</c:v>
                </c:pt>
                <c:pt idx="118">
                  <c:v>82.291666666666671</c:v>
                </c:pt>
                <c:pt idx="119">
                  <c:v>82.986111111111114</c:v>
                </c:pt>
                <c:pt idx="120">
                  <c:v>83.680555555555557</c:v>
                </c:pt>
                <c:pt idx="121">
                  <c:v>84.375</c:v>
                </c:pt>
                <c:pt idx="122">
                  <c:v>85.069444444444443</c:v>
                </c:pt>
                <c:pt idx="123">
                  <c:v>85.763888888888886</c:v>
                </c:pt>
                <c:pt idx="124">
                  <c:v>86.458333333333343</c:v>
                </c:pt>
                <c:pt idx="125">
                  <c:v>87.152777777777786</c:v>
                </c:pt>
                <c:pt idx="126">
                  <c:v>87.847222222222229</c:v>
                </c:pt>
                <c:pt idx="127">
                  <c:v>88.541666666666671</c:v>
                </c:pt>
                <c:pt idx="128">
                  <c:v>89.236111111111114</c:v>
                </c:pt>
                <c:pt idx="129">
                  <c:v>89.930555555555557</c:v>
                </c:pt>
                <c:pt idx="130">
                  <c:v>90.625</c:v>
                </c:pt>
                <c:pt idx="131">
                  <c:v>91.319444444444443</c:v>
                </c:pt>
                <c:pt idx="132">
                  <c:v>92.013888888888886</c:v>
                </c:pt>
                <c:pt idx="133">
                  <c:v>92.708333333333343</c:v>
                </c:pt>
                <c:pt idx="134">
                  <c:v>93.402777777777786</c:v>
                </c:pt>
                <c:pt idx="135">
                  <c:v>94.097222222222229</c:v>
                </c:pt>
                <c:pt idx="136">
                  <c:v>94.791666666666671</c:v>
                </c:pt>
                <c:pt idx="137">
                  <c:v>95.486111111111114</c:v>
                </c:pt>
                <c:pt idx="138">
                  <c:v>96.180555555555557</c:v>
                </c:pt>
                <c:pt idx="139">
                  <c:v>96.875</c:v>
                </c:pt>
                <c:pt idx="140">
                  <c:v>97.569444444444443</c:v>
                </c:pt>
                <c:pt idx="141">
                  <c:v>98.263888888888886</c:v>
                </c:pt>
                <c:pt idx="142">
                  <c:v>98.958333333333343</c:v>
                </c:pt>
                <c:pt idx="143">
                  <c:v>99.652777777777786</c:v>
                </c:pt>
              </c:numCache>
            </c:numRef>
          </c:xVal>
          <c:yVal>
            <c:numRef>
              <c:f>'Credit, Inflation'!$G$27:$G$170</c:f>
              <c:numCache>
                <c:formatCode>General</c:formatCode>
                <c:ptCount val="144"/>
                <c:pt idx="0">
                  <c:v>-7.0047284893671877</c:v>
                </c:pt>
                <c:pt idx="1">
                  <c:v>-4.6868598995851904</c:v>
                </c:pt>
                <c:pt idx="2">
                  <c:v>-4.1526948243374111</c:v>
                </c:pt>
                <c:pt idx="3">
                  <c:v>-3.6875242113072275</c:v>
                </c:pt>
                <c:pt idx="4">
                  <c:v>-3.3442885744124804</c:v>
                </c:pt>
                <c:pt idx="5">
                  <c:v>-3.1231512210139143</c:v>
                </c:pt>
                <c:pt idx="6">
                  <c:v>-2.9682787226250409</c:v>
                </c:pt>
                <c:pt idx="7">
                  <c:v>-2.5680570998352561</c:v>
                </c:pt>
                <c:pt idx="8">
                  <c:v>-2.5280472836281653</c:v>
                </c:pt>
                <c:pt idx="9">
                  <c:v>-2.5046976641667626</c:v>
                </c:pt>
                <c:pt idx="10">
                  <c:v>-2.2568118607420633</c:v>
                </c:pt>
                <c:pt idx="11">
                  <c:v>-1.9001782009329338</c:v>
                </c:pt>
                <c:pt idx="12">
                  <c:v>-1.8423176925388944</c:v>
                </c:pt>
                <c:pt idx="13">
                  <c:v>-1.8267949190726551</c:v>
                </c:pt>
                <c:pt idx="14">
                  <c:v>-1.7163787658669345</c:v>
                </c:pt>
                <c:pt idx="15">
                  <c:v>-1.7024670003016547</c:v>
                </c:pt>
                <c:pt idx="16">
                  <c:v>-1.4912303020014905</c:v>
                </c:pt>
                <c:pt idx="17">
                  <c:v>-1.4816122688402813</c:v>
                </c:pt>
                <c:pt idx="18">
                  <c:v>-1.3850399013585131</c:v>
                </c:pt>
                <c:pt idx="19">
                  <c:v>-1.3845334693391671</c:v>
                </c:pt>
                <c:pt idx="20">
                  <c:v>-1.3312319193447704</c:v>
                </c:pt>
                <c:pt idx="21">
                  <c:v>-1.2793531068196276</c:v>
                </c:pt>
                <c:pt idx="22">
                  <c:v>-1.1425691586862545</c:v>
                </c:pt>
                <c:pt idx="23">
                  <c:v>-1.1072210028407516</c:v>
                </c:pt>
                <c:pt idx="24">
                  <c:v>-1.0801430002995103</c:v>
                </c:pt>
                <c:pt idx="25">
                  <c:v>-0.94912629185626851</c:v>
                </c:pt>
                <c:pt idx="26">
                  <c:v>-0.93339874585644023</c:v>
                </c:pt>
                <c:pt idx="27">
                  <c:v>-0.8739297602339734</c:v>
                </c:pt>
                <c:pt idx="28">
                  <c:v>-0.85098504001589137</c:v>
                </c:pt>
                <c:pt idx="29">
                  <c:v>-0.84486748191592764</c:v>
                </c:pt>
                <c:pt idx="30">
                  <c:v>-0.83998798555617005</c:v>
                </c:pt>
                <c:pt idx="31">
                  <c:v>-0.82038765576752415</c:v>
                </c:pt>
                <c:pt idx="32">
                  <c:v>-0.73047275946122014</c:v>
                </c:pt>
                <c:pt idx="33">
                  <c:v>-0.72114034769675106</c:v>
                </c:pt>
                <c:pt idx="34">
                  <c:v>-0.70844610563042631</c:v>
                </c:pt>
                <c:pt idx="35">
                  <c:v>-0.63980558944311527</c:v>
                </c:pt>
                <c:pt idx="36">
                  <c:v>-0.63321922178810008</c:v>
                </c:pt>
                <c:pt idx="37">
                  <c:v>-0.62523746935851443</c:v>
                </c:pt>
                <c:pt idx="38">
                  <c:v>-0.60205936122706527</c:v>
                </c:pt>
                <c:pt idx="39">
                  <c:v>-0.49649597275839152</c:v>
                </c:pt>
                <c:pt idx="40">
                  <c:v>-0.45287219230992509</c:v>
                </c:pt>
                <c:pt idx="41">
                  <c:v>-0.44945692130845749</c:v>
                </c:pt>
                <c:pt idx="42">
                  <c:v>-0.42414010254649709</c:v>
                </c:pt>
                <c:pt idx="43">
                  <c:v>-0.40587403799491967</c:v>
                </c:pt>
                <c:pt idx="44">
                  <c:v>-0.38364685529762182</c:v>
                </c:pt>
                <c:pt idx="45">
                  <c:v>-0.34952011853591453</c:v>
                </c:pt>
                <c:pt idx="46">
                  <c:v>-0.32059917407416511</c:v>
                </c:pt>
                <c:pt idx="47">
                  <c:v>-0.25809067214290327</c:v>
                </c:pt>
                <c:pt idx="48">
                  <c:v>-0.23417506109101072</c:v>
                </c:pt>
                <c:pt idx="49">
                  <c:v>-0.18651939975316809</c:v>
                </c:pt>
                <c:pt idx="50">
                  <c:v>-0.16023377056929605</c:v>
                </c:pt>
                <c:pt idx="51">
                  <c:v>-0.15960421366991845</c:v>
                </c:pt>
                <c:pt idx="52">
                  <c:v>-0.12574664360828455</c:v>
                </c:pt>
                <c:pt idx="53">
                  <c:v>-3.7635693365227305E-2</c:v>
                </c:pt>
                <c:pt idx="54">
                  <c:v>-2.8872892422191813E-2</c:v>
                </c:pt>
                <c:pt idx="55">
                  <c:v>-2.1093949631446327E-2</c:v>
                </c:pt>
                <c:pt idx="56">
                  <c:v>2.1744398396726858E-3</c:v>
                </c:pt>
                <c:pt idx="57">
                  <c:v>1.3361896540353232E-2</c:v>
                </c:pt>
                <c:pt idx="58">
                  <c:v>1.5244628300109645E-2</c:v>
                </c:pt>
                <c:pt idx="59">
                  <c:v>4.5162099813618559E-2</c:v>
                </c:pt>
                <c:pt idx="60">
                  <c:v>5.5182858323510636E-2</c:v>
                </c:pt>
                <c:pt idx="61">
                  <c:v>6.2862567183433013E-2</c:v>
                </c:pt>
                <c:pt idx="62">
                  <c:v>6.4450144874432388E-2</c:v>
                </c:pt>
                <c:pt idx="63">
                  <c:v>0.17050584189129772</c:v>
                </c:pt>
                <c:pt idx="64">
                  <c:v>0.20128346879376346</c:v>
                </c:pt>
                <c:pt idx="65">
                  <c:v>0.25176219913533959</c:v>
                </c:pt>
                <c:pt idx="66">
                  <c:v>0.27937046819359035</c:v>
                </c:pt>
                <c:pt idx="67">
                  <c:v>0.29248739326307094</c:v>
                </c:pt>
                <c:pt idx="68">
                  <c:v>0.32195109833132546</c:v>
                </c:pt>
                <c:pt idx="69">
                  <c:v>0.3416951439283733</c:v>
                </c:pt>
                <c:pt idx="70">
                  <c:v>0.3941440510082177</c:v>
                </c:pt>
                <c:pt idx="71">
                  <c:v>0.39463790345239053</c:v>
                </c:pt>
                <c:pt idx="72">
                  <c:v>0.44664249623499269</c:v>
                </c:pt>
                <c:pt idx="73">
                  <c:v>0.44906329589973976</c:v>
                </c:pt>
                <c:pt idx="74">
                  <c:v>0.51269214936388086</c:v>
                </c:pt>
                <c:pt idx="75">
                  <c:v>0.54311279831289316</c:v>
                </c:pt>
                <c:pt idx="76">
                  <c:v>0.64991632276644051</c:v>
                </c:pt>
                <c:pt idx="77">
                  <c:v>0.74520035393408268</c:v>
                </c:pt>
                <c:pt idx="78">
                  <c:v>0.76476526172699799</c:v>
                </c:pt>
                <c:pt idx="79">
                  <c:v>0.76715041455256716</c:v>
                </c:pt>
                <c:pt idx="80">
                  <c:v>0.77913542886387466</c:v>
                </c:pt>
                <c:pt idx="81">
                  <c:v>0.79790760681101336</c:v>
                </c:pt>
                <c:pt idx="82">
                  <c:v>0.79930043255834871</c:v>
                </c:pt>
                <c:pt idx="83">
                  <c:v>0.80909571022157933</c:v>
                </c:pt>
                <c:pt idx="84">
                  <c:v>0.8173714702258239</c:v>
                </c:pt>
                <c:pt idx="85">
                  <c:v>0.8220675256694463</c:v>
                </c:pt>
                <c:pt idx="86">
                  <c:v>0.94080499762717185</c:v>
                </c:pt>
                <c:pt idx="87">
                  <c:v>0.98384974618307341</c:v>
                </c:pt>
                <c:pt idx="88">
                  <c:v>1.084910181769061</c:v>
                </c:pt>
                <c:pt idx="89">
                  <c:v>1.088562294937061</c:v>
                </c:pt>
                <c:pt idx="90">
                  <c:v>1.1252408849651883</c:v>
                </c:pt>
                <c:pt idx="91">
                  <c:v>1.1573512190828252</c:v>
                </c:pt>
                <c:pt idx="92">
                  <c:v>1.1607317321410837</c:v>
                </c:pt>
                <c:pt idx="93">
                  <c:v>1.1935119946777377</c:v>
                </c:pt>
                <c:pt idx="94">
                  <c:v>1.2933080083597004</c:v>
                </c:pt>
                <c:pt idx="95">
                  <c:v>1.3006576888791135</c:v>
                </c:pt>
                <c:pt idx="96">
                  <c:v>1.3072997744824202</c:v>
                </c:pt>
                <c:pt idx="97">
                  <c:v>1.3201728926043841</c:v>
                </c:pt>
                <c:pt idx="98">
                  <c:v>1.3282751471537555</c:v>
                </c:pt>
                <c:pt idx="99">
                  <c:v>1.3592930931331151</c:v>
                </c:pt>
                <c:pt idx="100">
                  <c:v>1.3893836371301047</c:v>
                </c:pt>
                <c:pt idx="101">
                  <c:v>1.4570599695124704</c:v>
                </c:pt>
                <c:pt idx="102">
                  <c:v>1.4746501612318974</c:v>
                </c:pt>
                <c:pt idx="103">
                  <c:v>1.4799167353491935</c:v>
                </c:pt>
                <c:pt idx="104">
                  <c:v>1.5120608050198472</c:v>
                </c:pt>
                <c:pt idx="105">
                  <c:v>1.5632378548125487</c:v>
                </c:pt>
                <c:pt idx="106">
                  <c:v>1.5752476292840976</c:v>
                </c:pt>
                <c:pt idx="107">
                  <c:v>1.7130121087748451</c:v>
                </c:pt>
                <c:pt idx="108">
                  <c:v>1.8101887790863302</c:v>
                </c:pt>
                <c:pt idx="109">
                  <c:v>1.8519535193189707</c:v>
                </c:pt>
                <c:pt idx="110">
                  <c:v>1.9551601207275044</c:v>
                </c:pt>
                <c:pt idx="111">
                  <c:v>1.9636320377819911</c:v>
                </c:pt>
                <c:pt idx="112">
                  <c:v>1.9965489332311821</c:v>
                </c:pt>
                <c:pt idx="113">
                  <c:v>2.1127325139720563</c:v>
                </c:pt>
                <c:pt idx="114">
                  <c:v>2.1320616401803507</c:v>
                </c:pt>
                <c:pt idx="115">
                  <c:v>2.1528110708148573</c:v>
                </c:pt>
                <c:pt idx="116">
                  <c:v>2.1554149374730458</c:v>
                </c:pt>
                <c:pt idx="117">
                  <c:v>2.1937669383125291</c:v>
                </c:pt>
                <c:pt idx="118">
                  <c:v>2.2441569439350513</c:v>
                </c:pt>
                <c:pt idx="119">
                  <c:v>2.3109716137805942</c:v>
                </c:pt>
                <c:pt idx="120">
                  <c:v>2.3644571963769208</c:v>
                </c:pt>
                <c:pt idx="121">
                  <c:v>2.3878145236429944</c:v>
                </c:pt>
                <c:pt idx="122">
                  <c:v>2.4047017706743326</c:v>
                </c:pt>
                <c:pt idx="123">
                  <c:v>2.4711222871909655</c:v>
                </c:pt>
                <c:pt idx="124">
                  <c:v>2.5118747000438195</c:v>
                </c:pt>
                <c:pt idx="125">
                  <c:v>2.5198681337412903</c:v>
                </c:pt>
                <c:pt idx="126">
                  <c:v>2.5257042870557784</c:v>
                </c:pt>
                <c:pt idx="127">
                  <c:v>2.5343167951715437</c:v>
                </c:pt>
                <c:pt idx="128">
                  <c:v>2.6303236664701828</c:v>
                </c:pt>
                <c:pt idx="129">
                  <c:v>2.6535892327475388</c:v>
                </c:pt>
                <c:pt idx="130">
                  <c:v>2.664630651168546</c:v>
                </c:pt>
                <c:pt idx="131">
                  <c:v>2.683391280512204</c:v>
                </c:pt>
                <c:pt idx="132">
                  <c:v>2.7070180675265525</c:v>
                </c:pt>
                <c:pt idx="133">
                  <c:v>2.8438546235537174</c:v>
                </c:pt>
                <c:pt idx="134">
                  <c:v>2.8609360739223297</c:v>
                </c:pt>
                <c:pt idx="135">
                  <c:v>3.0698713827378343</c:v>
                </c:pt>
                <c:pt idx="136">
                  <c:v>3.1095108983661892</c:v>
                </c:pt>
                <c:pt idx="137">
                  <c:v>3.1666873562985165</c:v>
                </c:pt>
                <c:pt idx="138">
                  <c:v>3.3950819422879635</c:v>
                </c:pt>
                <c:pt idx="139">
                  <c:v>3.4388141552305238</c:v>
                </c:pt>
                <c:pt idx="140">
                  <c:v>3.580071379617352</c:v>
                </c:pt>
                <c:pt idx="141">
                  <c:v>3.8214888861569447</c:v>
                </c:pt>
                <c:pt idx="142">
                  <c:v>4.5018822436456931</c:v>
                </c:pt>
                <c:pt idx="143">
                  <c:v>5.5867022964527608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D3-0746-A858-08E76913B5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1100304"/>
        <c:axId val="1071102576"/>
      </c:scatterChart>
      <c:valAx>
        <c:axId val="1071100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71102576"/>
        <c:crosses val="autoZero"/>
        <c:crossBetween val="midCat"/>
      </c:valAx>
      <c:valAx>
        <c:axId val="10711025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Asset Returns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71100304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IG Credit Spread (%)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Data!$W$2:$W$145</c:f>
              <c:numCache>
                <c:formatCode>0.0000</c:formatCode>
                <c:ptCount val="144"/>
                <c:pt idx="0">
                  <c:v>-5.1387194346069833</c:v>
                </c:pt>
                <c:pt idx="1">
                  <c:v>2.3484491421995508</c:v>
                </c:pt>
                <c:pt idx="2">
                  <c:v>-0.92319478819390199</c:v>
                </c:pt>
                <c:pt idx="3">
                  <c:v>0.82434767702086331</c:v>
                </c:pt>
                <c:pt idx="4">
                  <c:v>2.0252115715454142</c:v>
                </c:pt>
                <c:pt idx="5">
                  <c:v>-1.4083021680096535</c:v>
                </c:pt>
                <c:pt idx="6">
                  <c:v>-0.89531690384682072</c:v>
                </c:pt>
                <c:pt idx="7">
                  <c:v>2.0846292055168538</c:v>
                </c:pt>
                <c:pt idx="8">
                  <c:v>0.18815829103602541</c:v>
                </c:pt>
                <c:pt idx="9">
                  <c:v>-0.30403984882426438</c:v>
                </c:pt>
                <c:pt idx="10">
                  <c:v>1.2224064307019109</c:v>
                </c:pt>
                <c:pt idx="11">
                  <c:v>1.1188106566869516</c:v>
                </c:pt>
                <c:pt idx="12">
                  <c:v>-0.39386738542473537</c:v>
                </c:pt>
                <c:pt idx="13">
                  <c:v>0.23199314515441699</c:v>
                </c:pt>
                <c:pt idx="14">
                  <c:v>3.0510319131719719</c:v>
                </c:pt>
                <c:pt idx="15">
                  <c:v>-0.57569475557887417</c:v>
                </c:pt>
                <c:pt idx="16">
                  <c:v>0.34508593485068878</c:v>
                </c:pt>
                <c:pt idx="17">
                  <c:v>2.4668637873530348</c:v>
                </c:pt>
                <c:pt idx="18">
                  <c:v>1.3828982966028573</c:v>
                </c:pt>
                <c:pt idx="19">
                  <c:v>5.9348906527047323</c:v>
                </c:pt>
                <c:pt idx="20">
                  <c:v>-3.7396932352934624</c:v>
                </c:pt>
                <c:pt idx="21">
                  <c:v>1.0994857308880885</c:v>
                </c:pt>
                <c:pt idx="22">
                  <c:v>-2.3264834455409638</c:v>
                </c:pt>
                <c:pt idx="23">
                  <c:v>0.27399978476401698</c:v>
                </c:pt>
                <c:pt idx="24">
                  <c:v>-3.7708043023703515</c:v>
                </c:pt>
                <c:pt idx="25">
                  <c:v>2.4312561086316236</c:v>
                </c:pt>
                <c:pt idx="26">
                  <c:v>-2.163876747359093</c:v>
                </c:pt>
                <c:pt idx="27">
                  <c:v>0.5025858772171532</c:v>
                </c:pt>
                <c:pt idx="28">
                  <c:v>1.5012701524955124E-2</c:v>
                </c:pt>
                <c:pt idx="29">
                  <c:v>2.0734306549589543</c:v>
                </c:pt>
                <c:pt idx="30">
                  <c:v>-1.4165022256805997</c:v>
                </c:pt>
                <c:pt idx="31">
                  <c:v>0.66815720708482551</c:v>
                </c:pt>
                <c:pt idx="32">
                  <c:v>-0.80775400785913054</c:v>
                </c:pt>
                <c:pt idx="33">
                  <c:v>3.5954167685518694</c:v>
                </c:pt>
                <c:pt idx="34">
                  <c:v>0.91190414214845739</c:v>
                </c:pt>
                <c:pt idx="35">
                  <c:v>0.85468808124803441</c:v>
                </c:pt>
                <c:pt idx="36">
                  <c:v>3.5664770305249829</c:v>
                </c:pt>
                <c:pt idx="37">
                  <c:v>5.0465169683722939</c:v>
                </c:pt>
                <c:pt idx="38">
                  <c:v>3.4210472846484357</c:v>
                </c:pt>
                <c:pt idx="39">
                  <c:v>-1.9050206096671818</c:v>
                </c:pt>
                <c:pt idx="40">
                  <c:v>-4.4556526959210885</c:v>
                </c:pt>
                <c:pt idx="41">
                  <c:v>-1.6600067055434231</c:v>
                </c:pt>
                <c:pt idx="42">
                  <c:v>2.9503559863160107</c:v>
                </c:pt>
                <c:pt idx="43">
                  <c:v>-1.5202579266307075</c:v>
                </c:pt>
                <c:pt idx="44">
                  <c:v>2.6350509941130018</c:v>
                </c:pt>
                <c:pt idx="45">
                  <c:v>-0.17390455263532517</c:v>
                </c:pt>
                <c:pt idx="46">
                  <c:v>0.72625925846252182</c:v>
                </c:pt>
                <c:pt idx="47">
                  <c:v>1.5534992085354618</c:v>
                </c:pt>
                <c:pt idx="48">
                  <c:v>-1.3128763768352263</c:v>
                </c:pt>
                <c:pt idx="49">
                  <c:v>1.0235515044919676</c:v>
                </c:pt>
                <c:pt idx="50">
                  <c:v>0.87915557139737288</c:v>
                </c:pt>
                <c:pt idx="51">
                  <c:v>-2.0519560737810645</c:v>
                </c:pt>
                <c:pt idx="52">
                  <c:v>0.34628136161819018</c:v>
                </c:pt>
                <c:pt idx="53">
                  <c:v>-0.35419358995709715</c:v>
                </c:pt>
                <c:pt idx="54">
                  <c:v>1.858001601839639</c:v>
                </c:pt>
                <c:pt idx="55">
                  <c:v>-0.8877688063153264</c:v>
                </c:pt>
                <c:pt idx="56">
                  <c:v>-1.3769514272096248</c:v>
                </c:pt>
                <c:pt idx="57">
                  <c:v>0.20136749777207796</c:v>
                </c:pt>
                <c:pt idx="58">
                  <c:v>0.12731740286215751</c:v>
                </c:pt>
                <c:pt idx="59">
                  <c:v>-0.371473926792939</c:v>
                </c:pt>
                <c:pt idx="60">
                  <c:v>-0.41320150136606915</c:v>
                </c:pt>
                <c:pt idx="61">
                  <c:v>0.2551971584802315</c:v>
                </c:pt>
                <c:pt idx="62">
                  <c:v>0.54532839444733927</c:v>
                </c:pt>
                <c:pt idx="63">
                  <c:v>-1.1987084485525838</c:v>
                </c:pt>
                <c:pt idx="64">
                  <c:v>0.20365796077345244</c:v>
                </c:pt>
                <c:pt idx="65">
                  <c:v>-2.1905269483508447</c:v>
                </c:pt>
                <c:pt idx="66">
                  <c:v>1.357859374712971</c:v>
                </c:pt>
                <c:pt idx="67">
                  <c:v>1.0678641457547986</c:v>
                </c:pt>
                <c:pt idx="68">
                  <c:v>-4.062169850005945E-3</c:v>
                </c:pt>
                <c:pt idx="69">
                  <c:v>-0.25340601070870289</c:v>
                </c:pt>
                <c:pt idx="70">
                  <c:v>-0.20371933742089599</c:v>
                </c:pt>
                <c:pt idx="71">
                  <c:v>-6.8036926882462212E-2</c:v>
                </c:pt>
                <c:pt idx="72">
                  <c:v>3.0998066900760599</c:v>
                </c:pt>
                <c:pt idx="73">
                  <c:v>-1.5756409548922983</c:v>
                </c:pt>
                <c:pt idx="74">
                  <c:v>-6.5893968100260576</c:v>
                </c:pt>
                <c:pt idx="75">
                  <c:v>7.3665586735762902</c:v>
                </c:pt>
                <c:pt idx="76">
                  <c:v>1.0916617932992878</c:v>
                </c:pt>
                <c:pt idx="77">
                  <c:v>1.0163751457846373</c:v>
                </c:pt>
                <c:pt idx="78">
                  <c:v>2.1435700279400138</c:v>
                </c:pt>
                <c:pt idx="79">
                  <c:v>-1.204767361587278</c:v>
                </c:pt>
                <c:pt idx="80">
                  <c:v>-1.9469169716171044E-3</c:v>
                </c:pt>
                <c:pt idx="81">
                  <c:v>0.28979934223811843</c:v>
                </c:pt>
                <c:pt idx="82">
                  <c:v>2.3639052440224098</c:v>
                </c:pt>
                <c:pt idx="83">
                  <c:v>1.5490140567033936</c:v>
                </c:pt>
                <c:pt idx="84">
                  <c:v>-1.6477775578392471</c:v>
                </c:pt>
                <c:pt idx="85">
                  <c:v>-3.4798493915758022</c:v>
                </c:pt>
                <c:pt idx="86">
                  <c:v>1.7190145145590065E-2</c:v>
                </c:pt>
                <c:pt idx="87">
                  <c:v>0.3804319559628988</c:v>
                </c:pt>
                <c:pt idx="88">
                  <c:v>0.31001431749484604</c:v>
                </c:pt>
                <c:pt idx="89">
                  <c:v>0.85502216530240871</c:v>
                </c:pt>
                <c:pt idx="90">
                  <c:v>1.6132309956574875</c:v>
                </c:pt>
                <c:pt idx="91">
                  <c:v>-0.22870458134476115</c:v>
                </c:pt>
                <c:pt idx="92">
                  <c:v>-2.8087660797989829</c:v>
                </c:pt>
                <c:pt idx="93">
                  <c:v>0.69722145982741013</c:v>
                </c:pt>
                <c:pt idx="94">
                  <c:v>0.99547551042253035</c:v>
                </c:pt>
                <c:pt idx="95">
                  <c:v>-1.12353903746557</c:v>
                </c:pt>
                <c:pt idx="96">
                  <c:v>-4.0342794589013895</c:v>
                </c:pt>
                <c:pt idx="97">
                  <c:v>-3.1651689144312303</c:v>
                </c:pt>
                <c:pt idx="98">
                  <c:v>0.13326767049501004</c:v>
                </c:pt>
                <c:pt idx="99">
                  <c:v>-3.8653528730622675</c:v>
                </c:pt>
                <c:pt idx="100">
                  <c:v>-1.556403524525015</c:v>
                </c:pt>
                <c:pt idx="101">
                  <c:v>-3.4565692008015478</c:v>
                </c:pt>
                <c:pt idx="102">
                  <c:v>4.373127894277208</c:v>
                </c:pt>
                <c:pt idx="103">
                  <c:v>-8.1411935429504894</c:v>
                </c:pt>
                <c:pt idx="104">
                  <c:v>-9.1415438687040886</c:v>
                </c:pt>
                <c:pt idx="105">
                  <c:v>4.9981561061963475</c:v>
                </c:pt>
                <c:pt idx="106">
                  <c:v>3.7315693621188237</c:v>
                </c:pt>
                <c:pt idx="107">
                  <c:v>-1.6930601373866518</c:v>
                </c:pt>
                <c:pt idx="108">
                  <c:v>3.2693974797429637</c:v>
                </c:pt>
                <c:pt idx="109">
                  <c:v>-3.4044713219137206</c:v>
                </c:pt>
                <c:pt idx="110">
                  <c:v>1.1229372544900045</c:v>
                </c:pt>
                <c:pt idx="111">
                  <c:v>-4.5251950847142508E-2</c:v>
                </c:pt>
                <c:pt idx="112">
                  <c:v>-3.2207902839867755</c:v>
                </c:pt>
                <c:pt idx="113">
                  <c:v>-1.5304704600210068</c:v>
                </c:pt>
                <c:pt idx="114">
                  <c:v>2.0217015238879137</c:v>
                </c:pt>
                <c:pt idx="115">
                  <c:v>-0.73548575994241516</c:v>
                </c:pt>
                <c:pt idx="116">
                  <c:v>-0.41335762746622851</c:v>
                </c:pt>
                <c:pt idx="117">
                  <c:v>-0.46656124638286833</c:v>
                </c:pt>
                <c:pt idx="118">
                  <c:v>3.4138089910941942</c:v>
                </c:pt>
                <c:pt idx="119">
                  <c:v>4.4012225363925044</c:v>
                </c:pt>
                <c:pt idx="120">
                  <c:v>-1.5196917747234271</c:v>
                </c:pt>
                <c:pt idx="121">
                  <c:v>-1.062073375074631</c:v>
                </c:pt>
                <c:pt idx="122">
                  <c:v>1.477489362217179</c:v>
                </c:pt>
                <c:pt idx="123">
                  <c:v>-2.3781283099238917</c:v>
                </c:pt>
                <c:pt idx="124">
                  <c:v>0.47811004572060589</c:v>
                </c:pt>
                <c:pt idx="125">
                  <c:v>0.44551959930867541</c:v>
                </c:pt>
                <c:pt idx="126">
                  <c:v>1.3614075313738643</c:v>
                </c:pt>
                <c:pt idx="127">
                  <c:v>-7.7650136808625758E-3</c:v>
                </c:pt>
                <c:pt idx="128">
                  <c:v>-0.12972116439056908</c:v>
                </c:pt>
                <c:pt idx="129">
                  <c:v>-1.6695833580904584</c:v>
                </c:pt>
                <c:pt idx="130">
                  <c:v>1.4530967525660716</c:v>
                </c:pt>
                <c:pt idx="131">
                  <c:v>-0.78143310266141697</c:v>
                </c:pt>
                <c:pt idx="132">
                  <c:v>0.34908255979636738</c:v>
                </c:pt>
                <c:pt idx="133">
                  <c:v>0.13535969057984193</c:v>
                </c:pt>
                <c:pt idx="134">
                  <c:v>-1.8716624465378884</c:v>
                </c:pt>
                <c:pt idx="135">
                  <c:v>1.2656565827966442</c:v>
                </c:pt>
                <c:pt idx="136">
                  <c:v>-0.42014204580768427</c:v>
                </c:pt>
                <c:pt idx="137">
                  <c:v>1.4055246320234833</c:v>
                </c:pt>
                <c:pt idx="138">
                  <c:v>-2.3798636141916241E-2</c:v>
                </c:pt>
                <c:pt idx="139">
                  <c:v>-0.94564972218921284</c:v>
                </c:pt>
                <c:pt idx="140">
                  <c:v>0.73546966098117694</c:v>
                </c:pt>
                <c:pt idx="141">
                  <c:v>1.7116922764778253</c:v>
                </c:pt>
                <c:pt idx="142">
                  <c:v>-0.26362362275971585</c:v>
                </c:pt>
                <c:pt idx="143">
                  <c:v>0.22777557059858333</c:v>
                </c:pt>
              </c:numCache>
            </c:numRef>
          </c:xVal>
          <c:yVal>
            <c:numRef>
              <c:f>Credit!$C$26:$C$169</c:f>
              <c:numCache>
                <c:formatCode>General</c:formatCode>
                <c:ptCount val="144"/>
                <c:pt idx="0">
                  <c:v>-2.1903072814832254</c:v>
                </c:pt>
                <c:pt idx="1">
                  <c:v>1.231627886695982</c:v>
                </c:pt>
                <c:pt idx="2">
                  <c:v>-1.4783108467986923</c:v>
                </c:pt>
                <c:pt idx="3">
                  <c:v>-0.38100241537504753</c:v>
                </c:pt>
                <c:pt idx="4">
                  <c:v>0.71754394164844637</c:v>
                </c:pt>
                <c:pt idx="5">
                  <c:v>-0.25488361700637047</c:v>
                </c:pt>
                <c:pt idx="6">
                  <c:v>5.8579411642415813E-2</c:v>
                </c:pt>
                <c:pt idx="7">
                  <c:v>-2.0528394718585234</c:v>
                </c:pt>
                <c:pt idx="8">
                  <c:v>0.87906134630418054</c:v>
                </c:pt>
                <c:pt idx="9">
                  <c:v>-0.6140025560582475</c:v>
                </c:pt>
                <c:pt idx="10">
                  <c:v>-0.23839137308810499</c:v>
                </c:pt>
                <c:pt idx="11">
                  <c:v>0.49519699169762355</c:v>
                </c:pt>
                <c:pt idx="12">
                  <c:v>-0.72268327972053914</c:v>
                </c:pt>
                <c:pt idx="13">
                  <c:v>0.27352985023288801</c:v>
                </c:pt>
                <c:pt idx="14">
                  <c:v>0.23833966184158761</c:v>
                </c:pt>
                <c:pt idx="15">
                  <c:v>7.5103323186794246E-2</c:v>
                </c:pt>
                <c:pt idx="16">
                  <c:v>-0.62180683561914329</c:v>
                </c:pt>
                <c:pt idx="17">
                  <c:v>1.767598164541464</c:v>
                </c:pt>
                <c:pt idx="18">
                  <c:v>-0.33501205846054549</c:v>
                </c:pt>
                <c:pt idx="19">
                  <c:v>-0.39106419868503206</c:v>
                </c:pt>
                <c:pt idx="20">
                  <c:v>0.74006767330094991</c:v>
                </c:pt>
                <c:pt idx="21">
                  <c:v>0.49902702592118908</c:v>
                </c:pt>
                <c:pt idx="22">
                  <c:v>-9.0928355210824874E-2</c:v>
                </c:pt>
                <c:pt idx="23">
                  <c:v>0.11930556738970832</c:v>
                </c:pt>
                <c:pt idx="24">
                  <c:v>-1.5513384679668272</c:v>
                </c:pt>
                <c:pt idx="25">
                  <c:v>0.77871258655823006</c:v>
                </c:pt>
                <c:pt idx="26">
                  <c:v>-1.8234433575931042</c:v>
                </c:pt>
                <c:pt idx="27">
                  <c:v>-5.2423487525229295E-2</c:v>
                </c:pt>
                <c:pt idx="28">
                  <c:v>0.72914517354540243</c:v>
                </c:pt>
                <c:pt idx="29">
                  <c:v>0.99941749459591867</c:v>
                </c:pt>
                <c:pt idx="30">
                  <c:v>0.62440838310237012</c:v>
                </c:pt>
                <c:pt idx="31">
                  <c:v>-1.1101818600172759</c:v>
                </c:pt>
                <c:pt idx="32">
                  <c:v>7.749787135927988E-2</c:v>
                </c:pt>
                <c:pt idx="33">
                  <c:v>-1.112061244859651</c:v>
                </c:pt>
                <c:pt idx="34">
                  <c:v>-1.2725352100985836</c:v>
                </c:pt>
                <c:pt idx="35">
                  <c:v>6.2560496941584831E-2</c:v>
                </c:pt>
                <c:pt idx="36">
                  <c:v>1.5449297716509802</c:v>
                </c:pt>
                <c:pt idx="37">
                  <c:v>5.6329748510077771E-3</c:v>
                </c:pt>
                <c:pt idx="38">
                  <c:v>-0.83656376035451285</c:v>
                </c:pt>
                <c:pt idx="39">
                  <c:v>0.67686012117285188</c:v>
                </c:pt>
                <c:pt idx="40">
                  <c:v>1.2798345037844308</c:v>
                </c:pt>
                <c:pt idx="41">
                  <c:v>-0.38132882516674727</c:v>
                </c:pt>
                <c:pt idx="42">
                  <c:v>0.58131980763040225</c:v>
                </c:pt>
                <c:pt idx="43">
                  <c:v>-0.58382337729520251</c:v>
                </c:pt>
                <c:pt idx="44">
                  <c:v>0.78142806009907018</c:v>
                </c:pt>
                <c:pt idx="45">
                  <c:v>0.19640572110554549</c:v>
                </c:pt>
                <c:pt idx="46">
                  <c:v>-1.4469733103088742</c:v>
                </c:pt>
                <c:pt idx="47">
                  <c:v>0.63240095656450879</c:v>
                </c:pt>
                <c:pt idx="48">
                  <c:v>-0.83851930936947006</c:v>
                </c:pt>
                <c:pt idx="49">
                  <c:v>-0.26545619773490381</c:v>
                </c:pt>
                <c:pt idx="50">
                  <c:v>0.52987537165283016</c:v>
                </c:pt>
                <c:pt idx="51">
                  <c:v>-0.97676033315672561</c:v>
                </c:pt>
                <c:pt idx="52">
                  <c:v>0.76331763423340793</c:v>
                </c:pt>
                <c:pt idx="53">
                  <c:v>-0.41862299204376041</c:v>
                </c:pt>
                <c:pt idx="54">
                  <c:v>1.3296545622265541</c:v>
                </c:pt>
                <c:pt idx="55">
                  <c:v>-0.80198153567487473</c:v>
                </c:pt>
                <c:pt idx="56">
                  <c:v>-0.67475236629477298</c:v>
                </c:pt>
                <c:pt idx="57">
                  <c:v>-1.6445417246674103</c:v>
                </c:pt>
                <c:pt idx="58">
                  <c:v>1.846685788057663</c:v>
                </c:pt>
                <c:pt idx="59">
                  <c:v>1.4520680553419643</c:v>
                </c:pt>
                <c:pt idx="60">
                  <c:v>0.19959681605036769</c:v>
                </c:pt>
                <c:pt idx="61">
                  <c:v>0.19875680910857962</c:v>
                </c:pt>
                <c:pt idx="62">
                  <c:v>-0.56620445847522127</c:v>
                </c:pt>
                <c:pt idx="63">
                  <c:v>8.6102120654878156E-4</c:v>
                </c:pt>
                <c:pt idx="64">
                  <c:v>-2.10275887479348</c:v>
                </c:pt>
                <c:pt idx="65">
                  <c:v>5.2922202475322644E-2</c:v>
                </c:pt>
                <c:pt idx="66">
                  <c:v>-2.5925956131676373</c:v>
                </c:pt>
                <c:pt idx="67">
                  <c:v>-2.2162054629057586</c:v>
                </c:pt>
                <c:pt idx="68">
                  <c:v>1.0176437896453889</c:v>
                </c:pt>
                <c:pt idx="69">
                  <c:v>-1.1386150925277718</c:v>
                </c:pt>
                <c:pt idx="70">
                  <c:v>0.71385315598608734</c:v>
                </c:pt>
                <c:pt idx="71">
                  <c:v>-0.13872106775329562</c:v>
                </c:pt>
                <c:pt idx="72">
                  <c:v>-1.1668208110310676</c:v>
                </c:pt>
                <c:pt idx="73">
                  <c:v>-3.3179850606578158</c:v>
                </c:pt>
                <c:pt idx="74">
                  <c:v>0.65265161896326163</c:v>
                </c:pt>
                <c:pt idx="75">
                  <c:v>-0.84785497697792778</c:v>
                </c:pt>
                <c:pt idx="76">
                  <c:v>0.44341581864612278</c:v>
                </c:pt>
                <c:pt idx="77">
                  <c:v>0.28825234260450916</c:v>
                </c:pt>
                <c:pt idx="78">
                  <c:v>-2.8931340858669028</c:v>
                </c:pt>
                <c:pt idx="79">
                  <c:v>0.97421774476744893</c:v>
                </c:pt>
                <c:pt idx="80">
                  <c:v>-0.12277830305299564</c:v>
                </c:pt>
                <c:pt idx="81">
                  <c:v>-2.3423497149899282</c:v>
                </c:pt>
                <c:pt idx="82">
                  <c:v>2.4915366577970142</c:v>
                </c:pt>
                <c:pt idx="83">
                  <c:v>0.43909036738476837</c:v>
                </c:pt>
                <c:pt idx="84">
                  <c:v>-0.56960548982542203</c:v>
                </c:pt>
                <c:pt idx="85">
                  <c:v>0.7159715972641344</c:v>
                </c:pt>
                <c:pt idx="86">
                  <c:v>1.4859290283021018</c:v>
                </c:pt>
                <c:pt idx="87">
                  <c:v>1.5592481861105449</c:v>
                </c:pt>
                <c:pt idx="88">
                  <c:v>-0.36956747356657671</c:v>
                </c:pt>
                <c:pt idx="89">
                  <c:v>0.21480135672436629</c:v>
                </c:pt>
                <c:pt idx="90">
                  <c:v>2.7167962602112627E-2</c:v>
                </c:pt>
                <c:pt idx="91">
                  <c:v>1.0240561978346927</c:v>
                </c:pt>
                <c:pt idx="92">
                  <c:v>-0.57374319066696011</c:v>
                </c:pt>
                <c:pt idx="93">
                  <c:v>1.2609546043666218</c:v>
                </c:pt>
                <c:pt idx="94">
                  <c:v>0.23715835808670693</c:v>
                </c:pt>
                <c:pt idx="95">
                  <c:v>0.54568481789549295</c:v>
                </c:pt>
                <c:pt idx="96">
                  <c:v>-0.13431167541975908</c:v>
                </c:pt>
                <c:pt idx="97">
                  <c:v>0.16522476270166919</c:v>
                </c:pt>
                <c:pt idx="98">
                  <c:v>1.9603291789586765</c:v>
                </c:pt>
                <c:pt idx="99">
                  <c:v>1.0529890963175559</c:v>
                </c:pt>
                <c:pt idx="100">
                  <c:v>-0.86900305192368454</c:v>
                </c:pt>
                <c:pt idx="101">
                  <c:v>0.31233371899726858</c:v>
                </c:pt>
                <c:pt idx="102">
                  <c:v>-0.90989910423238207</c:v>
                </c:pt>
                <c:pt idx="103">
                  <c:v>2.383525469021107</c:v>
                </c:pt>
                <c:pt idx="104">
                  <c:v>-0.77532100318003394</c:v>
                </c:pt>
                <c:pt idx="105">
                  <c:v>-0.60560444231189514</c:v>
                </c:pt>
                <c:pt idx="106">
                  <c:v>7.3825714557791411E-2</c:v>
                </c:pt>
                <c:pt idx="107">
                  <c:v>-0.86322842316058357</c:v>
                </c:pt>
                <c:pt idx="108">
                  <c:v>0.42090391451803377</c:v>
                </c:pt>
                <c:pt idx="109">
                  <c:v>1.0383436574358029</c:v>
                </c:pt>
                <c:pt idx="110">
                  <c:v>-1.1861795982304559</c:v>
                </c:pt>
                <c:pt idx="111">
                  <c:v>0.63503543805207352</c:v>
                </c:pt>
                <c:pt idx="112">
                  <c:v>-0.37837153357815656</c:v>
                </c:pt>
                <c:pt idx="113">
                  <c:v>0.49572303775766324</c:v>
                </c:pt>
                <c:pt idx="114">
                  <c:v>0.60263124423254166</c:v>
                </c:pt>
                <c:pt idx="115">
                  <c:v>-0.67105455146050319</c:v>
                </c:pt>
                <c:pt idx="116">
                  <c:v>0.52774033601554837</c:v>
                </c:pt>
                <c:pt idx="117">
                  <c:v>-1.3746392838356227</c:v>
                </c:pt>
                <c:pt idx="118">
                  <c:v>5.5953207842368347E-2</c:v>
                </c:pt>
                <c:pt idx="119">
                  <c:v>0.40232601042912464</c:v>
                </c:pt>
                <c:pt idx="120">
                  <c:v>0.43493602367671502</c:v>
                </c:pt>
                <c:pt idx="121">
                  <c:v>0.91488757913406238</c:v>
                </c:pt>
                <c:pt idx="122">
                  <c:v>1.5072215975229484</c:v>
                </c:pt>
                <c:pt idx="123">
                  <c:v>0.31805567949936786</c:v>
                </c:pt>
                <c:pt idx="124">
                  <c:v>0.29644690822783926</c:v>
                </c:pt>
                <c:pt idx="125">
                  <c:v>0.66275085561495806</c:v>
                </c:pt>
                <c:pt idx="126">
                  <c:v>-0.28998534998934888</c:v>
                </c:pt>
                <c:pt idx="127">
                  <c:v>-0.6582323164546271</c:v>
                </c:pt>
                <c:pt idx="128">
                  <c:v>-0.79697987121779612</c:v>
                </c:pt>
                <c:pt idx="129">
                  <c:v>0.62824052301106359</c:v>
                </c:pt>
                <c:pt idx="130">
                  <c:v>1.2205034318998886</c:v>
                </c:pt>
                <c:pt idx="131">
                  <c:v>-0.69520954952416025</c:v>
                </c:pt>
                <c:pt idx="132">
                  <c:v>1.7821548922591008</c:v>
                </c:pt>
                <c:pt idx="133">
                  <c:v>-1.1800206404370377</c:v>
                </c:pt>
                <c:pt idx="134">
                  <c:v>-1.6630130504583811</c:v>
                </c:pt>
                <c:pt idx="135">
                  <c:v>-1.074758805458732</c:v>
                </c:pt>
                <c:pt idx="136">
                  <c:v>1.7513180818263312</c:v>
                </c:pt>
                <c:pt idx="137">
                  <c:v>0.22404033663130529</c:v>
                </c:pt>
                <c:pt idx="138">
                  <c:v>1.6856151253658118</c:v>
                </c:pt>
                <c:pt idx="139">
                  <c:v>-0.20575103969322506</c:v>
                </c:pt>
                <c:pt idx="140">
                  <c:v>0.72102460857412132</c:v>
                </c:pt>
                <c:pt idx="141">
                  <c:v>1.6189806418699155</c:v>
                </c:pt>
                <c:pt idx="142">
                  <c:v>-6.7329468283543706E-2</c:v>
                </c:pt>
                <c:pt idx="143">
                  <c:v>9.6404379950849495E-2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C58-2E47-AF0C-5325B8D12F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6213600"/>
        <c:axId val="1085815568"/>
      </c:scatterChart>
      <c:valAx>
        <c:axId val="10662136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IG Credit Spread (%)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1085815568"/>
        <c:crosses val="autoZero"/>
        <c:crossBetween val="midCat"/>
      </c:valAx>
      <c:valAx>
        <c:axId val="10858155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66213600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IG Credit Spread (%)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Asset Returns (%)</c:v>
          </c:tx>
          <c:spPr>
            <a:ln w="19050">
              <a:noFill/>
            </a:ln>
          </c:spPr>
          <c:xVal>
            <c:numRef>
              <c:f>Data!$W$2:$W$145</c:f>
              <c:numCache>
                <c:formatCode>0.0000</c:formatCode>
                <c:ptCount val="144"/>
                <c:pt idx="0">
                  <c:v>-5.1387194346069833</c:v>
                </c:pt>
                <c:pt idx="1">
                  <c:v>2.3484491421995508</c:v>
                </c:pt>
                <c:pt idx="2">
                  <c:v>-0.92319478819390199</c:v>
                </c:pt>
                <c:pt idx="3">
                  <c:v>0.82434767702086331</c:v>
                </c:pt>
                <c:pt idx="4">
                  <c:v>2.0252115715454142</c:v>
                </c:pt>
                <c:pt idx="5">
                  <c:v>-1.4083021680096535</c:v>
                </c:pt>
                <c:pt idx="6">
                  <c:v>-0.89531690384682072</c:v>
                </c:pt>
                <c:pt idx="7">
                  <c:v>2.0846292055168538</c:v>
                </c:pt>
                <c:pt idx="8">
                  <c:v>0.18815829103602541</c:v>
                </c:pt>
                <c:pt idx="9">
                  <c:v>-0.30403984882426438</c:v>
                </c:pt>
                <c:pt idx="10">
                  <c:v>1.2224064307019109</c:v>
                </c:pt>
                <c:pt idx="11">
                  <c:v>1.1188106566869516</c:v>
                </c:pt>
                <c:pt idx="12">
                  <c:v>-0.39386738542473537</c:v>
                </c:pt>
                <c:pt idx="13">
                  <c:v>0.23199314515441699</c:v>
                </c:pt>
                <c:pt idx="14">
                  <c:v>3.0510319131719719</c:v>
                </c:pt>
                <c:pt idx="15">
                  <c:v>-0.57569475557887417</c:v>
                </c:pt>
                <c:pt idx="16">
                  <c:v>0.34508593485068878</c:v>
                </c:pt>
                <c:pt idx="17">
                  <c:v>2.4668637873530348</c:v>
                </c:pt>
                <c:pt idx="18">
                  <c:v>1.3828982966028573</c:v>
                </c:pt>
                <c:pt idx="19">
                  <c:v>5.9348906527047323</c:v>
                </c:pt>
                <c:pt idx="20">
                  <c:v>-3.7396932352934624</c:v>
                </c:pt>
                <c:pt idx="21">
                  <c:v>1.0994857308880885</c:v>
                </c:pt>
                <c:pt idx="22">
                  <c:v>-2.3264834455409638</c:v>
                </c:pt>
                <c:pt idx="23">
                  <c:v>0.27399978476401698</c:v>
                </c:pt>
                <c:pt idx="24">
                  <c:v>-3.7708043023703515</c:v>
                </c:pt>
                <c:pt idx="25">
                  <c:v>2.4312561086316236</c:v>
                </c:pt>
                <c:pt idx="26">
                  <c:v>-2.163876747359093</c:v>
                </c:pt>
                <c:pt idx="27">
                  <c:v>0.5025858772171532</c:v>
                </c:pt>
                <c:pt idx="28">
                  <c:v>1.5012701524955124E-2</c:v>
                </c:pt>
                <c:pt idx="29">
                  <c:v>2.0734306549589543</c:v>
                </c:pt>
                <c:pt idx="30">
                  <c:v>-1.4165022256805997</c:v>
                </c:pt>
                <c:pt idx="31">
                  <c:v>0.66815720708482551</c:v>
                </c:pt>
                <c:pt idx="32">
                  <c:v>-0.80775400785913054</c:v>
                </c:pt>
                <c:pt idx="33">
                  <c:v>3.5954167685518694</c:v>
                </c:pt>
                <c:pt idx="34">
                  <c:v>0.91190414214845739</c:v>
                </c:pt>
                <c:pt idx="35">
                  <c:v>0.85468808124803441</c:v>
                </c:pt>
                <c:pt idx="36">
                  <c:v>3.5664770305249829</c:v>
                </c:pt>
                <c:pt idx="37">
                  <c:v>5.0465169683722939</c:v>
                </c:pt>
                <c:pt idx="38">
                  <c:v>3.4210472846484357</c:v>
                </c:pt>
                <c:pt idx="39">
                  <c:v>-1.9050206096671818</c:v>
                </c:pt>
                <c:pt idx="40">
                  <c:v>-4.4556526959210885</c:v>
                </c:pt>
                <c:pt idx="41">
                  <c:v>-1.6600067055434231</c:v>
                </c:pt>
                <c:pt idx="42">
                  <c:v>2.9503559863160107</c:v>
                </c:pt>
                <c:pt idx="43">
                  <c:v>-1.5202579266307075</c:v>
                </c:pt>
                <c:pt idx="44">
                  <c:v>2.6350509941130018</c:v>
                </c:pt>
                <c:pt idx="45">
                  <c:v>-0.17390455263532517</c:v>
                </c:pt>
                <c:pt idx="46">
                  <c:v>0.72625925846252182</c:v>
                </c:pt>
                <c:pt idx="47">
                  <c:v>1.5534992085354618</c:v>
                </c:pt>
                <c:pt idx="48">
                  <c:v>-1.3128763768352263</c:v>
                </c:pt>
                <c:pt idx="49">
                  <c:v>1.0235515044919676</c:v>
                </c:pt>
                <c:pt idx="50">
                  <c:v>0.87915557139737288</c:v>
                </c:pt>
                <c:pt idx="51">
                  <c:v>-2.0519560737810645</c:v>
                </c:pt>
                <c:pt idx="52">
                  <c:v>0.34628136161819018</c:v>
                </c:pt>
                <c:pt idx="53">
                  <c:v>-0.35419358995709715</c:v>
                </c:pt>
                <c:pt idx="54">
                  <c:v>1.858001601839639</c:v>
                </c:pt>
                <c:pt idx="55">
                  <c:v>-0.8877688063153264</c:v>
                </c:pt>
                <c:pt idx="56">
                  <c:v>-1.3769514272096248</c:v>
                </c:pt>
                <c:pt idx="57">
                  <c:v>0.20136749777207796</c:v>
                </c:pt>
                <c:pt idx="58">
                  <c:v>0.12731740286215751</c:v>
                </c:pt>
                <c:pt idx="59">
                  <c:v>-0.371473926792939</c:v>
                </c:pt>
                <c:pt idx="60">
                  <c:v>-0.41320150136606915</c:v>
                </c:pt>
                <c:pt idx="61">
                  <c:v>0.2551971584802315</c:v>
                </c:pt>
                <c:pt idx="62">
                  <c:v>0.54532839444733927</c:v>
                </c:pt>
                <c:pt idx="63">
                  <c:v>-1.1987084485525838</c:v>
                </c:pt>
                <c:pt idx="64">
                  <c:v>0.20365796077345244</c:v>
                </c:pt>
                <c:pt idx="65">
                  <c:v>-2.1905269483508447</c:v>
                </c:pt>
                <c:pt idx="66">
                  <c:v>1.357859374712971</c:v>
                </c:pt>
                <c:pt idx="67">
                  <c:v>1.0678641457547986</c:v>
                </c:pt>
                <c:pt idx="68">
                  <c:v>-4.062169850005945E-3</c:v>
                </c:pt>
                <c:pt idx="69">
                  <c:v>-0.25340601070870289</c:v>
                </c:pt>
                <c:pt idx="70">
                  <c:v>-0.20371933742089599</c:v>
                </c:pt>
                <c:pt idx="71">
                  <c:v>-6.8036926882462212E-2</c:v>
                </c:pt>
                <c:pt idx="72">
                  <c:v>3.0998066900760599</c:v>
                </c:pt>
                <c:pt idx="73">
                  <c:v>-1.5756409548922983</c:v>
                </c:pt>
                <c:pt idx="74">
                  <c:v>-6.5893968100260576</c:v>
                </c:pt>
                <c:pt idx="75">
                  <c:v>7.3665586735762902</c:v>
                </c:pt>
                <c:pt idx="76">
                  <c:v>1.0916617932992878</c:v>
                </c:pt>
                <c:pt idx="77">
                  <c:v>1.0163751457846373</c:v>
                </c:pt>
                <c:pt idx="78">
                  <c:v>2.1435700279400138</c:v>
                </c:pt>
                <c:pt idx="79">
                  <c:v>-1.204767361587278</c:v>
                </c:pt>
                <c:pt idx="80">
                  <c:v>-1.9469169716171044E-3</c:v>
                </c:pt>
                <c:pt idx="81">
                  <c:v>0.28979934223811843</c:v>
                </c:pt>
                <c:pt idx="82">
                  <c:v>2.3639052440224098</c:v>
                </c:pt>
                <c:pt idx="83">
                  <c:v>1.5490140567033936</c:v>
                </c:pt>
                <c:pt idx="84">
                  <c:v>-1.6477775578392471</c:v>
                </c:pt>
                <c:pt idx="85">
                  <c:v>-3.4798493915758022</c:v>
                </c:pt>
                <c:pt idx="86">
                  <c:v>1.7190145145590065E-2</c:v>
                </c:pt>
                <c:pt idx="87">
                  <c:v>0.3804319559628988</c:v>
                </c:pt>
                <c:pt idx="88">
                  <c:v>0.31001431749484604</c:v>
                </c:pt>
                <c:pt idx="89">
                  <c:v>0.85502216530240871</c:v>
                </c:pt>
                <c:pt idx="90">
                  <c:v>1.6132309956574875</c:v>
                </c:pt>
                <c:pt idx="91">
                  <c:v>-0.22870458134476115</c:v>
                </c:pt>
                <c:pt idx="92">
                  <c:v>-2.8087660797989829</c:v>
                </c:pt>
                <c:pt idx="93">
                  <c:v>0.69722145982741013</c:v>
                </c:pt>
                <c:pt idx="94">
                  <c:v>0.99547551042253035</c:v>
                </c:pt>
                <c:pt idx="95">
                  <c:v>-1.12353903746557</c:v>
                </c:pt>
                <c:pt idx="96">
                  <c:v>-4.0342794589013895</c:v>
                </c:pt>
                <c:pt idx="97">
                  <c:v>-3.1651689144312303</c:v>
                </c:pt>
                <c:pt idx="98">
                  <c:v>0.13326767049501004</c:v>
                </c:pt>
                <c:pt idx="99">
                  <c:v>-3.8653528730622675</c:v>
                </c:pt>
                <c:pt idx="100">
                  <c:v>-1.556403524525015</c:v>
                </c:pt>
                <c:pt idx="101">
                  <c:v>-3.4565692008015478</c:v>
                </c:pt>
                <c:pt idx="102">
                  <c:v>4.373127894277208</c:v>
                </c:pt>
                <c:pt idx="103">
                  <c:v>-8.1411935429504894</c:v>
                </c:pt>
                <c:pt idx="104">
                  <c:v>-9.1415438687040886</c:v>
                </c:pt>
                <c:pt idx="105">
                  <c:v>4.9981561061963475</c:v>
                </c:pt>
                <c:pt idx="106">
                  <c:v>3.7315693621188237</c:v>
                </c:pt>
                <c:pt idx="107">
                  <c:v>-1.6930601373866518</c:v>
                </c:pt>
                <c:pt idx="108">
                  <c:v>3.2693974797429637</c:v>
                </c:pt>
                <c:pt idx="109">
                  <c:v>-3.4044713219137206</c:v>
                </c:pt>
                <c:pt idx="110">
                  <c:v>1.1229372544900045</c:v>
                </c:pt>
                <c:pt idx="111">
                  <c:v>-4.5251950847142508E-2</c:v>
                </c:pt>
                <c:pt idx="112">
                  <c:v>-3.2207902839867755</c:v>
                </c:pt>
                <c:pt idx="113">
                  <c:v>-1.5304704600210068</c:v>
                </c:pt>
                <c:pt idx="114">
                  <c:v>2.0217015238879137</c:v>
                </c:pt>
                <c:pt idx="115">
                  <c:v>-0.73548575994241516</c:v>
                </c:pt>
                <c:pt idx="116">
                  <c:v>-0.41335762746622851</c:v>
                </c:pt>
                <c:pt idx="117">
                  <c:v>-0.46656124638286833</c:v>
                </c:pt>
                <c:pt idx="118">
                  <c:v>3.4138089910941942</c:v>
                </c:pt>
                <c:pt idx="119">
                  <c:v>4.4012225363925044</c:v>
                </c:pt>
                <c:pt idx="120">
                  <c:v>-1.5196917747234271</c:v>
                </c:pt>
                <c:pt idx="121">
                  <c:v>-1.062073375074631</c:v>
                </c:pt>
                <c:pt idx="122">
                  <c:v>1.477489362217179</c:v>
                </c:pt>
                <c:pt idx="123">
                  <c:v>-2.3781283099238917</c:v>
                </c:pt>
                <c:pt idx="124">
                  <c:v>0.47811004572060589</c:v>
                </c:pt>
                <c:pt idx="125">
                  <c:v>0.44551959930867541</c:v>
                </c:pt>
                <c:pt idx="126">
                  <c:v>1.3614075313738643</c:v>
                </c:pt>
                <c:pt idx="127">
                  <c:v>-7.7650136808625758E-3</c:v>
                </c:pt>
                <c:pt idx="128">
                  <c:v>-0.12972116439056908</c:v>
                </c:pt>
                <c:pt idx="129">
                  <c:v>-1.6695833580904584</c:v>
                </c:pt>
                <c:pt idx="130">
                  <c:v>1.4530967525660716</c:v>
                </c:pt>
                <c:pt idx="131">
                  <c:v>-0.78143310266141697</c:v>
                </c:pt>
                <c:pt idx="132">
                  <c:v>0.34908255979636738</c:v>
                </c:pt>
                <c:pt idx="133">
                  <c:v>0.13535969057984193</c:v>
                </c:pt>
                <c:pt idx="134">
                  <c:v>-1.8716624465378884</c:v>
                </c:pt>
                <c:pt idx="135">
                  <c:v>1.2656565827966442</c:v>
                </c:pt>
                <c:pt idx="136">
                  <c:v>-0.42014204580768427</c:v>
                </c:pt>
                <c:pt idx="137">
                  <c:v>1.4055246320234833</c:v>
                </c:pt>
                <c:pt idx="138">
                  <c:v>-2.3798636141916241E-2</c:v>
                </c:pt>
                <c:pt idx="139">
                  <c:v>-0.94564972218921284</c:v>
                </c:pt>
                <c:pt idx="140">
                  <c:v>0.73546966098117694</c:v>
                </c:pt>
                <c:pt idx="141">
                  <c:v>1.7116922764778253</c:v>
                </c:pt>
                <c:pt idx="142">
                  <c:v>-0.26362362275971585</c:v>
                </c:pt>
                <c:pt idx="143">
                  <c:v>0.22777557059858333</c:v>
                </c:pt>
              </c:numCache>
            </c:numRef>
          </c:xVal>
          <c:yVal>
            <c:numRef>
              <c:f>Data!$O$2:$O$145</c:f>
              <c:numCache>
                <c:formatCode>0.0000</c:formatCode>
                <c:ptCount val="144"/>
                <c:pt idx="0">
                  <c:v>-3.1231512210139143</c:v>
                </c:pt>
                <c:pt idx="1">
                  <c:v>3.4388141552305238</c:v>
                </c:pt>
                <c:pt idx="2">
                  <c:v>-1.8423176925388944</c:v>
                </c:pt>
                <c:pt idx="3">
                  <c:v>0.76476526172699799</c:v>
                </c:pt>
                <c:pt idx="4">
                  <c:v>2.8438546235537174</c:v>
                </c:pt>
                <c:pt idx="5">
                  <c:v>-0.40587403799491967</c:v>
                </c:pt>
                <c:pt idx="6">
                  <c:v>0.39463790345239053</c:v>
                </c:pt>
                <c:pt idx="7">
                  <c:v>-0.84486748191592764</c:v>
                </c:pt>
                <c:pt idx="8">
                  <c:v>2.1320616401803507</c:v>
                </c:pt>
                <c:pt idx="9">
                  <c:v>-0.42414010254649709</c:v>
                </c:pt>
                <c:pt idx="10">
                  <c:v>0.74520035393408268</c:v>
                </c:pt>
                <c:pt idx="11">
                  <c:v>1.3893836371301047</c:v>
                </c:pt>
                <c:pt idx="12">
                  <c:v>-0.15960421366991845</c:v>
                </c:pt>
                <c:pt idx="13">
                  <c:v>2.1744398396726858E-3</c:v>
                </c:pt>
                <c:pt idx="14">
                  <c:v>2.1528110708148573</c:v>
                </c:pt>
                <c:pt idx="15">
                  <c:v>-0.63321922178810008</c:v>
                </c:pt>
                <c:pt idx="16">
                  <c:v>0.54311279831289316</c:v>
                </c:pt>
                <c:pt idx="17">
                  <c:v>2.6535892327475388</c:v>
                </c:pt>
                <c:pt idx="18">
                  <c:v>-0.18651939975316809</c:v>
                </c:pt>
                <c:pt idx="19">
                  <c:v>2.4047017706743326</c:v>
                </c:pt>
                <c:pt idx="20">
                  <c:v>0.8220675256694463</c:v>
                </c:pt>
                <c:pt idx="21">
                  <c:v>0.79790760681101336</c:v>
                </c:pt>
                <c:pt idx="22">
                  <c:v>-0.23417506109101072</c:v>
                </c:pt>
                <c:pt idx="23">
                  <c:v>0.44906329589973976</c:v>
                </c:pt>
                <c:pt idx="24">
                  <c:v>-3.3442885744124804</c:v>
                </c:pt>
                <c:pt idx="25">
                  <c:v>1.9551601207275044</c:v>
                </c:pt>
                <c:pt idx="26">
                  <c:v>-2.9682787226250409</c:v>
                </c:pt>
                <c:pt idx="27">
                  <c:v>-0.94912629185626851</c:v>
                </c:pt>
                <c:pt idx="28">
                  <c:v>2.683391280512204</c:v>
                </c:pt>
                <c:pt idx="29">
                  <c:v>1.084910181769061</c:v>
                </c:pt>
                <c:pt idx="30">
                  <c:v>-0.60205936122706527</c:v>
                </c:pt>
                <c:pt idx="31">
                  <c:v>-1.3845334693391671</c:v>
                </c:pt>
                <c:pt idx="32">
                  <c:v>0.51269214936388086</c:v>
                </c:pt>
                <c:pt idx="33">
                  <c:v>2.1127325139720563</c:v>
                </c:pt>
                <c:pt idx="34">
                  <c:v>0.44664249623499269</c:v>
                </c:pt>
                <c:pt idx="35">
                  <c:v>0.80909571022157933</c:v>
                </c:pt>
                <c:pt idx="36">
                  <c:v>3.3950819422879635</c:v>
                </c:pt>
                <c:pt idx="37">
                  <c:v>3.1095108983661892</c:v>
                </c:pt>
                <c:pt idx="38">
                  <c:v>1.5752476292840976</c:v>
                </c:pt>
                <c:pt idx="39">
                  <c:v>0.3941440510082177</c:v>
                </c:pt>
                <c:pt idx="40">
                  <c:v>0.29248739326307094</c:v>
                </c:pt>
                <c:pt idx="41">
                  <c:v>-0.93339874585644023</c:v>
                </c:pt>
                <c:pt idx="42">
                  <c:v>2.8609360739223297</c:v>
                </c:pt>
                <c:pt idx="43">
                  <c:v>-0.44945692130845749</c:v>
                </c:pt>
                <c:pt idx="44">
                  <c:v>2.5257042870557784</c:v>
                </c:pt>
                <c:pt idx="45">
                  <c:v>0.32195109833132546</c:v>
                </c:pt>
                <c:pt idx="46">
                  <c:v>-0.38364685529762182</c:v>
                </c:pt>
                <c:pt idx="47">
                  <c:v>1.8101887790863302</c:v>
                </c:pt>
                <c:pt idx="48">
                  <c:v>-0.8739297602339734</c:v>
                </c:pt>
                <c:pt idx="49">
                  <c:v>0.77913542886387466</c:v>
                </c:pt>
                <c:pt idx="50">
                  <c:v>1.1252408849651883</c:v>
                </c:pt>
                <c:pt idx="51">
                  <c:v>-1.0801430002995103</c:v>
                </c:pt>
                <c:pt idx="52">
                  <c:v>1.2933080083597004</c:v>
                </c:pt>
                <c:pt idx="53">
                  <c:v>-0.34952011853591453</c:v>
                </c:pt>
                <c:pt idx="54">
                  <c:v>2.1937669383125291</c:v>
                </c:pt>
                <c:pt idx="55">
                  <c:v>-0.70844610563042631</c:v>
                </c:pt>
                <c:pt idx="56">
                  <c:v>-1.1425691586862545</c:v>
                </c:pt>
                <c:pt idx="57">
                  <c:v>-1.4912303020014905</c:v>
                </c:pt>
                <c:pt idx="58">
                  <c:v>2.4711222871909655</c:v>
                </c:pt>
                <c:pt idx="59">
                  <c:v>1.5632378548125487</c:v>
                </c:pt>
                <c:pt idx="60">
                  <c:v>0.17050584189129772</c:v>
                </c:pt>
                <c:pt idx="61">
                  <c:v>1.3282751471537555</c:v>
                </c:pt>
                <c:pt idx="62">
                  <c:v>1.3361896540353232E-2</c:v>
                </c:pt>
                <c:pt idx="63">
                  <c:v>4.5162099813618559E-2</c:v>
                </c:pt>
                <c:pt idx="64">
                  <c:v>-2.5280472836281653</c:v>
                </c:pt>
                <c:pt idx="65">
                  <c:v>-0.85098504001589137</c:v>
                </c:pt>
                <c:pt idx="66">
                  <c:v>-2.5046976641667626</c:v>
                </c:pt>
                <c:pt idx="67">
                  <c:v>-1.2793531068196276</c:v>
                </c:pt>
                <c:pt idx="68">
                  <c:v>1.3201728926043841</c:v>
                </c:pt>
                <c:pt idx="69">
                  <c:v>-0.83998798555617005</c:v>
                </c:pt>
                <c:pt idx="70">
                  <c:v>1.3072997744824202</c:v>
                </c:pt>
                <c:pt idx="71">
                  <c:v>0.79930043255834871</c:v>
                </c:pt>
                <c:pt idx="72">
                  <c:v>-2.1093949631446327E-2</c:v>
                </c:pt>
                <c:pt idx="73">
                  <c:v>-4.1526948243374111</c:v>
                </c:pt>
                <c:pt idx="74">
                  <c:v>-7.0047284893671877</c:v>
                </c:pt>
                <c:pt idx="75">
                  <c:v>4.5018822436456931</c:v>
                </c:pt>
                <c:pt idx="76">
                  <c:v>2.7070180675265525</c:v>
                </c:pt>
                <c:pt idx="77">
                  <c:v>1.4570599695124704</c:v>
                </c:pt>
                <c:pt idx="78">
                  <c:v>-0.45287219230992509</c:v>
                </c:pt>
                <c:pt idx="79">
                  <c:v>1.4746501612318974</c:v>
                </c:pt>
                <c:pt idx="80">
                  <c:v>-0.32059917407416511</c:v>
                </c:pt>
                <c:pt idx="81">
                  <c:v>-1.9001782009329338</c:v>
                </c:pt>
                <c:pt idx="82">
                  <c:v>5.5867022964527608</c:v>
                </c:pt>
                <c:pt idx="83">
                  <c:v>1.8519535193189707</c:v>
                </c:pt>
                <c:pt idx="84">
                  <c:v>-0.72114034769675106</c:v>
                </c:pt>
                <c:pt idx="85">
                  <c:v>-2.8872892422191813E-2</c:v>
                </c:pt>
                <c:pt idx="86">
                  <c:v>2.1554149374730458</c:v>
                </c:pt>
                <c:pt idx="87">
                  <c:v>2.3109716137805942</c:v>
                </c:pt>
                <c:pt idx="88">
                  <c:v>0.25176219913533959</c:v>
                </c:pt>
                <c:pt idx="89">
                  <c:v>1.1935119946777377</c:v>
                </c:pt>
                <c:pt idx="90">
                  <c:v>1.088562294937061</c:v>
                </c:pt>
                <c:pt idx="91">
                  <c:v>1.4799167353491935</c:v>
                </c:pt>
                <c:pt idx="92">
                  <c:v>-1.3312319193447704</c:v>
                </c:pt>
                <c:pt idx="93">
                  <c:v>1.7130121087748451</c:v>
                </c:pt>
                <c:pt idx="94">
                  <c:v>0.3416951439283733</c:v>
                </c:pt>
                <c:pt idx="95">
                  <c:v>1.3592930931331151</c:v>
                </c:pt>
                <c:pt idx="96">
                  <c:v>-2.2568118607420633</c:v>
                </c:pt>
                <c:pt idx="97">
                  <c:v>-1.1072210028407516</c:v>
                </c:pt>
                <c:pt idx="98">
                  <c:v>1.9965489332311821</c:v>
                </c:pt>
                <c:pt idx="99">
                  <c:v>-1.7163787658669345</c:v>
                </c:pt>
                <c:pt idx="100">
                  <c:v>-0.82038765576752415</c:v>
                </c:pt>
                <c:pt idx="101">
                  <c:v>-3.6875242113072275</c:v>
                </c:pt>
                <c:pt idx="102">
                  <c:v>3.8214888861569447</c:v>
                </c:pt>
                <c:pt idx="103">
                  <c:v>-1.8267949190726551</c:v>
                </c:pt>
                <c:pt idx="104">
                  <c:v>-4.6868598995851904</c:v>
                </c:pt>
                <c:pt idx="105">
                  <c:v>2.2441569439350513</c:v>
                </c:pt>
                <c:pt idx="106">
                  <c:v>2.5198681337412903</c:v>
                </c:pt>
                <c:pt idx="107">
                  <c:v>-1.3850399013585131</c:v>
                </c:pt>
                <c:pt idx="108">
                  <c:v>3.0698713827378343</c:v>
                </c:pt>
                <c:pt idx="109">
                  <c:v>-0.16023377056929605</c:v>
                </c:pt>
                <c:pt idx="110">
                  <c:v>-0.25809067214290327</c:v>
                </c:pt>
                <c:pt idx="111">
                  <c:v>0.94080499762717185</c:v>
                </c:pt>
                <c:pt idx="112">
                  <c:v>-1.4816122688402813</c:v>
                </c:pt>
                <c:pt idx="113">
                  <c:v>0.76715041455256716</c:v>
                </c:pt>
                <c:pt idx="114">
                  <c:v>1.9636320377819911</c:v>
                </c:pt>
                <c:pt idx="115">
                  <c:v>-0.62523746935851443</c:v>
                </c:pt>
                <c:pt idx="116">
                  <c:v>0.27937046819359035</c:v>
                </c:pt>
                <c:pt idx="117">
                  <c:v>-1.7024670003016547</c:v>
                </c:pt>
                <c:pt idx="118">
                  <c:v>3.1666873562985165</c:v>
                </c:pt>
                <c:pt idx="119">
                  <c:v>3.580071379617352</c:v>
                </c:pt>
                <c:pt idx="120">
                  <c:v>5.5182858323510636E-2</c:v>
                </c:pt>
                <c:pt idx="121">
                  <c:v>0.8173714702258239</c:v>
                </c:pt>
                <c:pt idx="122">
                  <c:v>2.5343167951715437</c:v>
                </c:pt>
                <c:pt idx="123">
                  <c:v>-0.49649597275839152</c:v>
                </c:pt>
                <c:pt idx="124">
                  <c:v>1.1573512190828252</c:v>
                </c:pt>
                <c:pt idx="125">
                  <c:v>1.1607317321410837</c:v>
                </c:pt>
                <c:pt idx="126">
                  <c:v>0.98384974618307341</c:v>
                </c:pt>
                <c:pt idx="127">
                  <c:v>0.20128346879376346</c:v>
                </c:pt>
                <c:pt idx="128">
                  <c:v>6.2862567183433013E-2</c:v>
                </c:pt>
                <c:pt idx="129">
                  <c:v>1.5244628300109645E-2</c:v>
                </c:pt>
                <c:pt idx="130">
                  <c:v>2.5118747000438195</c:v>
                </c:pt>
                <c:pt idx="131">
                  <c:v>-0.73047275946122014</c:v>
                </c:pt>
                <c:pt idx="132">
                  <c:v>2.664630651168546</c:v>
                </c:pt>
                <c:pt idx="133">
                  <c:v>-0.63980558944311527</c:v>
                </c:pt>
                <c:pt idx="134">
                  <c:v>-2.5680570998352561</c:v>
                </c:pt>
                <c:pt idx="135">
                  <c:v>-0.12574664360828455</c:v>
                </c:pt>
                <c:pt idx="136">
                  <c:v>2.3878145236429944</c:v>
                </c:pt>
                <c:pt idx="137">
                  <c:v>1.3006576888791135</c:v>
                </c:pt>
                <c:pt idx="138">
                  <c:v>2.3644571963769208</c:v>
                </c:pt>
                <c:pt idx="139">
                  <c:v>-3.7635693365227305E-2</c:v>
                </c:pt>
                <c:pt idx="140">
                  <c:v>1.5120608050198472</c:v>
                </c:pt>
                <c:pt idx="141">
                  <c:v>2.6303236664701828</c:v>
                </c:pt>
                <c:pt idx="142">
                  <c:v>6.4450144874432388E-2</c:v>
                </c:pt>
                <c:pt idx="143">
                  <c:v>0.64991632276644051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A1-5841-B381-870581C89628}"/>
            </c:ext>
          </c:extLst>
        </c:ser>
        <c:ser>
          <c:idx val="1"/>
          <c:order val="1"/>
          <c:tx>
            <c:v>Predicted Asset Returns (%)</c:v>
          </c:tx>
          <c:spPr>
            <a:ln w="19050">
              <a:noFill/>
            </a:ln>
          </c:spPr>
          <c:xVal>
            <c:numRef>
              <c:f>Data!$W$2:$W$145</c:f>
              <c:numCache>
                <c:formatCode>0.0000</c:formatCode>
                <c:ptCount val="144"/>
                <c:pt idx="0">
                  <c:v>-5.1387194346069833</c:v>
                </c:pt>
                <c:pt idx="1">
                  <c:v>2.3484491421995508</c:v>
                </c:pt>
                <c:pt idx="2">
                  <c:v>-0.92319478819390199</c:v>
                </c:pt>
                <c:pt idx="3">
                  <c:v>0.82434767702086331</c:v>
                </c:pt>
                <c:pt idx="4">
                  <c:v>2.0252115715454142</c:v>
                </c:pt>
                <c:pt idx="5">
                  <c:v>-1.4083021680096535</c:v>
                </c:pt>
                <c:pt idx="6">
                  <c:v>-0.89531690384682072</c:v>
                </c:pt>
                <c:pt idx="7">
                  <c:v>2.0846292055168538</c:v>
                </c:pt>
                <c:pt idx="8">
                  <c:v>0.18815829103602541</c:v>
                </c:pt>
                <c:pt idx="9">
                  <c:v>-0.30403984882426438</c:v>
                </c:pt>
                <c:pt idx="10">
                  <c:v>1.2224064307019109</c:v>
                </c:pt>
                <c:pt idx="11">
                  <c:v>1.1188106566869516</c:v>
                </c:pt>
                <c:pt idx="12">
                  <c:v>-0.39386738542473537</c:v>
                </c:pt>
                <c:pt idx="13">
                  <c:v>0.23199314515441699</c:v>
                </c:pt>
                <c:pt idx="14">
                  <c:v>3.0510319131719719</c:v>
                </c:pt>
                <c:pt idx="15">
                  <c:v>-0.57569475557887417</c:v>
                </c:pt>
                <c:pt idx="16">
                  <c:v>0.34508593485068878</c:v>
                </c:pt>
                <c:pt idx="17">
                  <c:v>2.4668637873530348</c:v>
                </c:pt>
                <c:pt idx="18">
                  <c:v>1.3828982966028573</c:v>
                </c:pt>
                <c:pt idx="19">
                  <c:v>5.9348906527047323</c:v>
                </c:pt>
                <c:pt idx="20">
                  <c:v>-3.7396932352934624</c:v>
                </c:pt>
                <c:pt idx="21">
                  <c:v>1.0994857308880885</c:v>
                </c:pt>
                <c:pt idx="22">
                  <c:v>-2.3264834455409638</c:v>
                </c:pt>
                <c:pt idx="23">
                  <c:v>0.27399978476401698</c:v>
                </c:pt>
                <c:pt idx="24">
                  <c:v>-3.7708043023703515</c:v>
                </c:pt>
                <c:pt idx="25">
                  <c:v>2.4312561086316236</c:v>
                </c:pt>
                <c:pt idx="26">
                  <c:v>-2.163876747359093</c:v>
                </c:pt>
                <c:pt idx="27">
                  <c:v>0.5025858772171532</c:v>
                </c:pt>
                <c:pt idx="28">
                  <c:v>1.5012701524955124E-2</c:v>
                </c:pt>
                <c:pt idx="29">
                  <c:v>2.0734306549589543</c:v>
                </c:pt>
                <c:pt idx="30">
                  <c:v>-1.4165022256805997</c:v>
                </c:pt>
                <c:pt idx="31">
                  <c:v>0.66815720708482551</c:v>
                </c:pt>
                <c:pt idx="32">
                  <c:v>-0.80775400785913054</c:v>
                </c:pt>
                <c:pt idx="33">
                  <c:v>3.5954167685518694</c:v>
                </c:pt>
                <c:pt idx="34">
                  <c:v>0.91190414214845739</c:v>
                </c:pt>
                <c:pt idx="35">
                  <c:v>0.85468808124803441</c:v>
                </c:pt>
                <c:pt idx="36">
                  <c:v>3.5664770305249829</c:v>
                </c:pt>
                <c:pt idx="37">
                  <c:v>5.0465169683722939</c:v>
                </c:pt>
                <c:pt idx="38">
                  <c:v>3.4210472846484357</c:v>
                </c:pt>
                <c:pt idx="39">
                  <c:v>-1.9050206096671818</c:v>
                </c:pt>
                <c:pt idx="40">
                  <c:v>-4.4556526959210885</c:v>
                </c:pt>
                <c:pt idx="41">
                  <c:v>-1.6600067055434231</c:v>
                </c:pt>
                <c:pt idx="42">
                  <c:v>2.9503559863160107</c:v>
                </c:pt>
                <c:pt idx="43">
                  <c:v>-1.5202579266307075</c:v>
                </c:pt>
                <c:pt idx="44">
                  <c:v>2.6350509941130018</c:v>
                </c:pt>
                <c:pt idx="45">
                  <c:v>-0.17390455263532517</c:v>
                </c:pt>
                <c:pt idx="46">
                  <c:v>0.72625925846252182</c:v>
                </c:pt>
                <c:pt idx="47">
                  <c:v>1.5534992085354618</c:v>
                </c:pt>
                <c:pt idx="48">
                  <c:v>-1.3128763768352263</c:v>
                </c:pt>
                <c:pt idx="49">
                  <c:v>1.0235515044919676</c:v>
                </c:pt>
                <c:pt idx="50">
                  <c:v>0.87915557139737288</c:v>
                </c:pt>
                <c:pt idx="51">
                  <c:v>-2.0519560737810645</c:v>
                </c:pt>
                <c:pt idx="52">
                  <c:v>0.34628136161819018</c:v>
                </c:pt>
                <c:pt idx="53">
                  <c:v>-0.35419358995709715</c:v>
                </c:pt>
                <c:pt idx="54">
                  <c:v>1.858001601839639</c:v>
                </c:pt>
                <c:pt idx="55">
                  <c:v>-0.8877688063153264</c:v>
                </c:pt>
                <c:pt idx="56">
                  <c:v>-1.3769514272096248</c:v>
                </c:pt>
                <c:pt idx="57">
                  <c:v>0.20136749777207796</c:v>
                </c:pt>
                <c:pt idx="58">
                  <c:v>0.12731740286215751</c:v>
                </c:pt>
                <c:pt idx="59">
                  <c:v>-0.371473926792939</c:v>
                </c:pt>
                <c:pt idx="60">
                  <c:v>-0.41320150136606915</c:v>
                </c:pt>
                <c:pt idx="61">
                  <c:v>0.2551971584802315</c:v>
                </c:pt>
                <c:pt idx="62">
                  <c:v>0.54532839444733927</c:v>
                </c:pt>
                <c:pt idx="63">
                  <c:v>-1.1987084485525838</c:v>
                </c:pt>
                <c:pt idx="64">
                  <c:v>0.20365796077345244</c:v>
                </c:pt>
                <c:pt idx="65">
                  <c:v>-2.1905269483508447</c:v>
                </c:pt>
                <c:pt idx="66">
                  <c:v>1.357859374712971</c:v>
                </c:pt>
                <c:pt idx="67">
                  <c:v>1.0678641457547986</c:v>
                </c:pt>
                <c:pt idx="68">
                  <c:v>-4.062169850005945E-3</c:v>
                </c:pt>
                <c:pt idx="69">
                  <c:v>-0.25340601070870289</c:v>
                </c:pt>
                <c:pt idx="70">
                  <c:v>-0.20371933742089599</c:v>
                </c:pt>
                <c:pt idx="71">
                  <c:v>-6.8036926882462212E-2</c:v>
                </c:pt>
                <c:pt idx="72">
                  <c:v>3.0998066900760599</c:v>
                </c:pt>
                <c:pt idx="73">
                  <c:v>-1.5756409548922983</c:v>
                </c:pt>
                <c:pt idx="74">
                  <c:v>-6.5893968100260576</c:v>
                </c:pt>
                <c:pt idx="75">
                  <c:v>7.3665586735762902</c:v>
                </c:pt>
                <c:pt idx="76">
                  <c:v>1.0916617932992878</c:v>
                </c:pt>
                <c:pt idx="77">
                  <c:v>1.0163751457846373</c:v>
                </c:pt>
                <c:pt idx="78">
                  <c:v>2.1435700279400138</c:v>
                </c:pt>
                <c:pt idx="79">
                  <c:v>-1.204767361587278</c:v>
                </c:pt>
                <c:pt idx="80">
                  <c:v>-1.9469169716171044E-3</c:v>
                </c:pt>
                <c:pt idx="81">
                  <c:v>0.28979934223811843</c:v>
                </c:pt>
                <c:pt idx="82">
                  <c:v>2.3639052440224098</c:v>
                </c:pt>
                <c:pt idx="83">
                  <c:v>1.5490140567033936</c:v>
                </c:pt>
                <c:pt idx="84">
                  <c:v>-1.6477775578392471</c:v>
                </c:pt>
                <c:pt idx="85">
                  <c:v>-3.4798493915758022</c:v>
                </c:pt>
                <c:pt idx="86">
                  <c:v>1.7190145145590065E-2</c:v>
                </c:pt>
                <c:pt idx="87">
                  <c:v>0.3804319559628988</c:v>
                </c:pt>
                <c:pt idx="88">
                  <c:v>0.31001431749484604</c:v>
                </c:pt>
                <c:pt idx="89">
                  <c:v>0.85502216530240871</c:v>
                </c:pt>
                <c:pt idx="90">
                  <c:v>1.6132309956574875</c:v>
                </c:pt>
                <c:pt idx="91">
                  <c:v>-0.22870458134476115</c:v>
                </c:pt>
                <c:pt idx="92">
                  <c:v>-2.8087660797989829</c:v>
                </c:pt>
                <c:pt idx="93">
                  <c:v>0.69722145982741013</c:v>
                </c:pt>
                <c:pt idx="94">
                  <c:v>0.99547551042253035</c:v>
                </c:pt>
                <c:pt idx="95">
                  <c:v>-1.12353903746557</c:v>
                </c:pt>
                <c:pt idx="96">
                  <c:v>-4.0342794589013895</c:v>
                </c:pt>
                <c:pt idx="97">
                  <c:v>-3.1651689144312303</c:v>
                </c:pt>
                <c:pt idx="98">
                  <c:v>0.13326767049501004</c:v>
                </c:pt>
                <c:pt idx="99">
                  <c:v>-3.8653528730622675</c:v>
                </c:pt>
                <c:pt idx="100">
                  <c:v>-1.556403524525015</c:v>
                </c:pt>
                <c:pt idx="101">
                  <c:v>-3.4565692008015478</c:v>
                </c:pt>
                <c:pt idx="102">
                  <c:v>4.373127894277208</c:v>
                </c:pt>
                <c:pt idx="103">
                  <c:v>-8.1411935429504894</c:v>
                </c:pt>
                <c:pt idx="104">
                  <c:v>-9.1415438687040886</c:v>
                </c:pt>
                <c:pt idx="105">
                  <c:v>4.9981561061963475</c:v>
                </c:pt>
                <c:pt idx="106">
                  <c:v>3.7315693621188237</c:v>
                </c:pt>
                <c:pt idx="107">
                  <c:v>-1.6930601373866518</c:v>
                </c:pt>
                <c:pt idx="108">
                  <c:v>3.2693974797429637</c:v>
                </c:pt>
                <c:pt idx="109">
                  <c:v>-3.4044713219137206</c:v>
                </c:pt>
                <c:pt idx="110">
                  <c:v>1.1229372544900045</c:v>
                </c:pt>
                <c:pt idx="111">
                  <c:v>-4.5251950847142508E-2</c:v>
                </c:pt>
                <c:pt idx="112">
                  <c:v>-3.2207902839867755</c:v>
                </c:pt>
                <c:pt idx="113">
                  <c:v>-1.5304704600210068</c:v>
                </c:pt>
                <c:pt idx="114">
                  <c:v>2.0217015238879137</c:v>
                </c:pt>
                <c:pt idx="115">
                  <c:v>-0.73548575994241516</c:v>
                </c:pt>
                <c:pt idx="116">
                  <c:v>-0.41335762746622851</c:v>
                </c:pt>
                <c:pt idx="117">
                  <c:v>-0.46656124638286833</c:v>
                </c:pt>
                <c:pt idx="118">
                  <c:v>3.4138089910941942</c:v>
                </c:pt>
                <c:pt idx="119">
                  <c:v>4.4012225363925044</c:v>
                </c:pt>
                <c:pt idx="120">
                  <c:v>-1.5196917747234271</c:v>
                </c:pt>
                <c:pt idx="121">
                  <c:v>-1.062073375074631</c:v>
                </c:pt>
                <c:pt idx="122">
                  <c:v>1.477489362217179</c:v>
                </c:pt>
                <c:pt idx="123">
                  <c:v>-2.3781283099238917</c:v>
                </c:pt>
                <c:pt idx="124">
                  <c:v>0.47811004572060589</c:v>
                </c:pt>
                <c:pt idx="125">
                  <c:v>0.44551959930867541</c:v>
                </c:pt>
                <c:pt idx="126">
                  <c:v>1.3614075313738643</c:v>
                </c:pt>
                <c:pt idx="127">
                  <c:v>-7.7650136808625758E-3</c:v>
                </c:pt>
                <c:pt idx="128">
                  <c:v>-0.12972116439056908</c:v>
                </c:pt>
                <c:pt idx="129">
                  <c:v>-1.6695833580904584</c:v>
                </c:pt>
                <c:pt idx="130">
                  <c:v>1.4530967525660716</c:v>
                </c:pt>
                <c:pt idx="131">
                  <c:v>-0.78143310266141697</c:v>
                </c:pt>
                <c:pt idx="132">
                  <c:v>0.34908255979636738</c:v>
                </c:pt>
                <c:pt idx="133">
                  <c:v>0.13535969057984193</c:v>
                </c:pt>
                <c:pt idx="134">
                  <c:v>-1.8716624465378884</c:v>
                </c:pt>
                <c:pt idx="135">
                  <c:v>1.2656565827966442</c:v>
                </c:pt>
                <c:pt idx="136">
                  <c:v>-0.42014204580768427</c:v>
                </c:pt>
                <c:pt idx="137">
                  <c:v>1.4055246320234833</c:v>
                </c:pt>
                <c:pt idx="138">
                  <c:v>-2.3798636141916241E-2</c:v>
                </c:pt>
                <c:pt idx="139">
                  <c:v>-0.94564972218921284</c:v>
                </c:pt>
                <c:pt idx="140">
                  <c:v>0.73546966098117694</c:v>
                </c:pt>
                <c:pt idx="141">
                  <c:v>1.7116922764778253</c:v>
                </c:pt>
                <c:pt idx="142">
                  <c:v>-0.26362362275971585</c:v>
                </c:pt>
                <c:pt idx="143">
                  <c:v>0.22777557059858333</c:v>
                </c:pt>
              </c:numCache>
            </c:numRef>
          </c:xVal>
          <c:yVal>
            <c:numRef>
              <c:f>Credit!$B$26:$B$169</c:f>
              <c:numCache>
                <c:formatCode>General</c:formatCode>
                <c:ptCount val="144"/>
                <c:pt idx="0">
                  <c:v>-0.93284393953068889</c:v>
                </c:pt>
                <c:pt idx="1">
                  <c:v>2.2071862685345418</c:v>
                </c:pt>
                <c:pt idx="2">
                  <c:v>-0.36400684574020215</c:v>
                </c:pt>
                <c:pt idx="3">
                  <c:v>1.1457676771020455</c:v>
                </c:pt>
                <c:pt idx="4">
                  <c:v>2.1263106819052711</c:v>
                </c:pt>
                <c:pt idx="5">
                  <c:v>-0.1509904209885492</c:v>
                </c:pt>
                <c:pt idx="6">
                  <c:v>0.33605849180997471</c:v>
                </c:pt>
                <c:pt idx="7">
                  <c:v>1.207971989942596</c:v>
                </c:pt>
                <c:pt idx="8">
                  <c:v>1.2530002938761702</c:v>
                </c:pt>
                <c:pt idx="9">
                  <c:v>0.18986245351175043</c:v>
                </c:pt>
                <c:pt idx="10">
                  <c:v>0.98359172702218767</c:v>
                </c:pt>
                <c:pt idx="11">
                  <c:v>0.89418664543248116</c:v>
                </c:pt>
                <c:pt idx="12">
                  <c:v>0.56307906605062064</c:v>
                </c:pt>
                <c:pt idx="13">
                  <c:v>-0.27135541039321531</c:v>
                </c:pt>
                <c:pt idx="14">
                  <c:v>1.9144714089732697</c:v>
                </c:pt>
                <c:pt idx="15">
                  <c:v>-0.70832254497489433</c:v>
                </c:pt>
                <c:pt idx="16">
                  <c:v>1.1649196339320365</c:v>
                </c:pt>
                <c:pt idx="17">
                  <c:v>0.88599106820607476</c:v>
                </c:pt>
                <c:pt idx="18">
                  <c:v>0.14849265870737738</c:v>
                </c:pt>
                <c:pt idx="19">
                  <c:v>2.7957659693593646</c:v>
                </c:pt>
                <c:pt idx="20">
                  <c:v>8.1999852368496384E-2</c:v>
                </c:pt>
                <c:pt idx="21">
                  <c:v>0.29888058088982428</c:v>
                </c:pt>
                <c:pt idx="22">
                  <c:v>-0.14324670588018584</c:v>
                </c:pt>
                <c:pt idx="23">
                  <c:v>0.32975772851003143</c:v>
                </c:pt>
                <c:pt idx="24">
                  <c:v>-1.7929501064456532</c:v>
                </c:pt>
                <c:pt idx="25">
                  <c:v>1.1764475341692744</c:v>
                </c:pt>
                <c:pt idx="26">
                  <c:v>-1.1448353650319367</c:v>
                </c:pt>
                <c:pt idx="27">
                  <c:v>-0.89670280433103922</c:v>
                </c:pt>
                <c:pt idx="28">
                  <c:v>1.9542461069668016</c:v>
                </c:pt>
                <c:pt idx="29">
                  <c:v>8.549268717314229E-2</c:v>
                </c:pt>
                <c:pt idx="30">
                  <c:v>-1.2264677443294354</c:v>
                </c:pt>
                <c:pt idx="31">
                  <c:v>-0.27435160932189129</c:v>
                </c:pt>
                <c:pt idx="32">
                  <c:v>0.43519427800460098</c:v>
                </c:pt>
                <c:pt idx="33">
                  <c:v>3.2247937588317073</c:v>
                </c:pt>
                <c:pt idx="34">
                  <c:v>1.7191777063335762</c:v>
                </c:pt>
                <c:pt idx="35">
                  <c:v>0.7465352132799945</c:v>
                </c:pt>
                <c:pt idx="36">
                  <c:v>1.8501521706369832</c:v>
                </c:pt>
                <c:pt idx="37">
                  <c:v>3.1038779235151814</c:v>
                </c:pt>
                <c:pt idx="38">
                  <c:v>2.4118113896386104</c:v>
                </c:pt>
                <c:pt idx="39">
                  <c:v>-0.28271607016463418</c:v>
                </c:pt>
                <c:pt idx="40">
                  <c:v>-0.98734711052135982</c:v>
                </c:pt>
                <c:pt idx="41">
                  <c:v>-0.55206992068969296</c:v>
                </c:pt>
                <c:pt idx="42">
                  <c:v>2.2796162662919275</c:v>
                </c:pt>
                <c:pt idx="43">
                  <c:v>0.13436645598674501</c:v>
                </c:pt>
                <c:pt idx="44">
                  <c:v>1.7442762269567083</c:v>
                </c:pt>
                <c:pt idx="45">
                  <c:v>0.12554537722577996</c:v>
                </c:pt>
                <c:pt idx="46">
                  <c:v>1.0633264550112524</c:v>
                </c:pt>
                <c:pt idx="47">
                  <c:v>1.1777878225218215</c:v>
                </c:pt>
                <c:pt idx="48">
                  <c:v>-3.541045086450334E-2</c:v>
                </c:pt>
                <c:pt idx="49">
                  <c:v>1.0445916265987785</c:v>
                </c:pt>
                <c:pt idx="50">
                  <c:v>0.5953655133123581</c:v>
                </c:pt>
                <c:pt idx="51">
                  <c:v>-0.10338266714278466</c:v>
                </c:pt>
                <c:pt idx="52">
                  <c:v>0.52999037412629246</c:v>
                </c:pt>
                <c:pt idx="53">
                  <c:v>6.9102873507845886E-2</c:v>
                </c:pt>
                <c:pt idx="54">
                  <c:v>0.86411237608597502</c:v>
                </c:pt>
                <c:pt idx="55">
                  <c:v>9.3535430044448364E-2</c:v>
                </c:pt>
                <c:pt idx="56">
                  <c:v>-0.46781679239148161</c:v>
                </c:pt>
                <c:pt idx="57">
                  <c:v>0.15331142266591974</c:v>
                </c:pt>
                <c:pt idx="58">
                  <c:v>0.62443649913330246</c:v>
                </c:pt>
                <c:pt idx="59">
                  <c:v>0.11116979947058445</c:v>
                </c:pt>
                <c:pt idx="60">
                  <c:v>-2.9090974159069978E-2</c:v>
                </c:pt>
                <c:pt idx="61">
                  <c:v>1.1295183380451759</c:v>
                </c:pt>
                <c:pt idx="62">
                  <c:v>0.57956635501557452</c:v>
                </c:pt>
                <c:pt idx="63">
                  <c:v>4.4301078607069777E-2</c:v>
                </c:pt>
                <c:pt idx="64">
                  <c:v>-0.42528840883468533</c:v>
                </c:pt>
                <c:pt idx="65">
                  <c:v>-0.90390724249121401</c:v>
                </c:pt>
                <c:pt idx="66">
                  <c:v>8.7897949000874664E-2</c:v>
                </c:pt>
                <c:pt idx="67">
                  <c:v>0.93685235608613104</c:v>
                </c:pt>
                <c:pt idx="68">
                  <c:v>0.30252910295899516</c:v>
                </c:pt>
                <c:pt idx="69">
                  <c:v>0.29862710697160172</c:v>
                </c:pt>
                <c:pt idx="70">
                  <c:v>0.59344661849633285</c:v>
                </c:pt>
                <c:pt idx="71">
                  <c:v>0.93802150031164433</c:v>
                </c:pt>
                <c:pt idx="72">
                  <c:v>1.1457268613996212</c:v>
                </c:pt>
                <c:pt idx="73">
                  <c:v>-0.83470976367959537</c:v>
                </c:pt>
                <c:pt idx="74">
                  <c:v>-7.6573801083304494</c:v>
                </c:pt>
                <c:pt idx="75">
                  <c:v>5.3497372206236209</c:v>
                </c:pt>
                <c:pt idx="76">
                  <c:v>2.2636022488804297</c:v>
                </c:pt>
                <c:pt idx="77">
                  <c:v>1.1688076269079613</c:v>
                </c:pt>
                <c:pt idx="78">
                  <c:v>2.4402618935569778</c:v>
                </c:pt>
                <c:pt idx="79">
                  <c:v>0.50043241646444847</c:v>
                </c:pt>
                <c:pt idx="80">
                  <c:v>-0.19782087102116946</c:v>
                </c:pt>
                <c:pt idx="81">
                  <c:v>0.44217151405699417</c:v>
                </c:pt>
                <c:pt idx="82">
                  <c:v>3.0951656386557467</c:v>
                </c:pt>
                <c:pt idx="83">
                  <c:v>1.4128631519342023</c:v>
                </c:pt>
                <c:pt idx="84">
                  <c:v>-0.15153485787132903</c:v>
                </c:pt>
                <c:pt idx="85">
                  <c:v>-0.74484448968632622</c:v>
                </c:pt>
                <c:pt idx="86">
                  <c:v>0.66948590917094397</c:v>
                </c:pt>
                <c:pt idx="87">
                  <c:v>0.75172342767004929</c:v>
                </c:pt>
                <c:pt idx="88">
                  <c:v>0.6213296727019163</c:v>
                </c:pt>
                <c:pt idx="89">
                  <c:v>0.97871063795337143</c:v>
                </c:pt>
                <c:pt idx="90">
                  <c:v>1.0613943323349484</c:v>
                </c:pt>
                <c:pt idx="91">
                  <c:v>0.45586053751450084</c:v>
                </c:pt>
                <c:pt idx="92">
                  <c:v>-0.75748872867781025</c:v>
                </c:pt>
                <c:pt idx="93">
                  <c:v>0.45205750440822334</c:v>
                </c:pt>
                <c:pt idx="94">
                  <c:v>0.10453678584166637</c:v>
                </c:pt>
                <c:pt idx="95">
                  <c:v>0.81360827523762214</c:v>
                </c:pt>
                <c:pt idx="96">
                  <c:v>-2.1225001853223042</c:v>
                </c:pt>
                <c:pt idx="97">
                  <c:v>-1.2724457655424208</c:v>
                </c:pt>
                <c:pt idx="98">
                  <c:v>3.6219754272505511E-2</c:v>
                </c:pt>
                <c:pt idx="99">
                  <c:v>-2.7693678621844904</c:v>
                </c:pt>
                <c:pt idx="100">
                  <c:v>4.8615396156160395E-2</c:v>
                </c:pt>
                <c:pt idx="101">
                  <c:v>-3.9998579303044961</c:v>
                </c:pt>
                <c:pt idx="102">
                  <c:v>4.7313879903893268</c:v>
                </c:pt>
                <c:pt idx="103">
                  <c:v>-4.2103203880937619</c:v>
                </c:pt>
                <c:pt idx="104">
                  <c:v>-3.9115388964051565</c:v>
                </c:pt>
                <c:pt idx="105">
                  <c:v>2.8497613862469464</c:v>
                </c:pt>
                <c:pt idx="106">
                  <c:v>2.4460424191834989</c:v>
                </c:pt>
                <c:pt idx="107">
                  <c:v>-0.5218114781979295</c:v>
                </c:pt>
                <c:pt idx="108">
                  <c:v>2.6489674682198006</c:v>
                </c:pt>
                <c:pt idx="109">
                  <c:v>-1.1985774280050989</c:v>
                </c:pt>
                <c:pt idx="110">
                  <c:v>0.92808892608755278</c:v>
                </c:pt>
                <c:pt idx="111">
                  <c:v>0.30576955957509833</c:v>
                </c:pt>
                <c:pt idx="112">
                  <c:v>-1.1032407352621247</c:v>
                </c:pt>
                <c:pt idx="113">
                  <c:v>0.27142737679490392</c:v>
                </c:pt>
                <c:pt idx="114">
                  <c:v>1.3610007935494495</c:v>
                </c:pt>
                <c:pt idx="115">
                  <c:v>4.581708210198876E-2</c:v>
                </c:pt>
                <c:pt idx="116">
                  <c:v>-0.24836986782195802</c:v>
                </c:pt>
                <c:pt idx="117">
                  <c:v>-0.32782771646603187</c:v>
                </c:pt>
                <c:pt idx="118">
                  <c:v>3.1107341484561482</c:v>
                </c:pt>
                <c:pt idx="119">
                  <c:v>3.1777453691882274</c:v>
                </c:pt>
                <c:pt idx="120">
                  <c:v>-0.37975316535320441</c:v>
                </c:pt>
                <c:pt idx="121">
                  <c:v>-9.7516108908238475E-2</c:v>
                </c:pt>
                <c:pt idx="122">
                  <c:v>1.0270951976485954</c:v>
                </c:pt>
                <c:pt idx="123">
                  <c:v>-0.81455165225775938</c:v>
                </c:pt>
                <c:pt idx="124">
                  <c:v>0.86090431085498598</c:v>
                </c:pt>
                <c:pt idx="125">
                  <c:v>0.49798087652612566</c:v>
                </c:pt>
                <c:pt idx="126">
                  <c:v>1.2738350961724223</c:v>
                </c:pt>
                <c:pt idx="127">
                  <c:v>0.85951578524839056</c:v>
                </c:pt>
                <c:pt idx="128">
                  <c:v>0.85984243840122909</c:v>
                </c:pt>
                <c:pt idx="129">
                  <c:v>-0.61299589471095395</c:v>
                </c:pt>
                <c:pt idx="130">
                  <c:v>1.2913712681439309</c:v>
                </c:pt>
                <c:pt idx="131">
                  <c:v>-3.5263209937059864E-2</c:v>
                </c:pt>
                <c:pt idx="132">
                  <c:v>0.88247575890944518</c:v>
                </c:pt>
                <c:pt idx="133">
                  <c:v>0.54021505099392242</c:v>
                </c:pt>
                <c:pt idx="134">
                  <c:v>-0.90504404937687499</c:v>
                </c:pt>
                <c:pt idx="135">
                  <c:v>0.94901216185044746</c:v>
                </c:pt>
                <c:pt idx="136">
                  <c:v>0.63649644181666321</c:v>
                </c:pt>
                <c:pt idx="137">
                  <c:v>1.0766173522478082</c:v>
                </c:pt>
                <c:pt idx="138">
                  <c:v>0.67884207101110894</c:v>
                </c:pt>
                <c:pt idx="139">
                  <c:v>0.16811534632799774</c:v>
                </c:pt>
                <c:pt idx="140">
                  <c:v>0.79103619644572587</c:v>
                </c:pt>
                <c:pt idx="141">
                  <c:v>1.0113430246002673</c:v>
                </c:pt>
                <c:pt idx="142">
                  <c:v>0.13177961315797609</c:v>
                </c:pt>
                <c:pt idx="143">
                  <c:v>0.55351194281559102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0A1-5841-B381-870581C896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6080672"/>
        <c:axId val="1056501072"/>
      </c:scatterChart>
      <c:valAx>
        <c:axId val="10860806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IG Credit Spread (%)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1056501072"/>
        <c:crosses val="autoZero"/>
        <c:crossBetween val="midCat"/>
      </c:valAx>
      <c:valAx>
        <c:axId val="10565010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Asset Returns (%)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108608067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Credit!$F$26:$F$169</c:f>
              <c:numCache>
                <c:formatCode>General</c:formatCode>
                <c:ptCount val="144"/>
                <c:pt idx="0">
                  <c:v>0.34722222222222221</c:v>
                </c:pt>
                <c:pt idx="1">
                  <c:v>1.0416666666666665</c:v>
                </c:pt>
                <c:pt idx="2">
                  <c:v>1.7361111111111112</c:v>
                </c:pt>
                <c:pt idx="3">
                  <c:v>2.4305555555555554</c:v>
                </c:pt>
                <c:pt idx="4">
                  <c:v>3.125</c:v>
                </c:pt>
                <c:pt idx="5">
                  <c:v>3.8194444444444446</c:v>
                </c:pt>
                <c:pt idx="6">
                  <c:v>4.5138888888888884</c:v>
                </c:pt>
                <c:pt idx="7">
                  <c:v>5.208333333333333</c:v>
                </c:pt>
                <c:pt idx="8">
                  <c:v>5.9027777777777777</c:v>
                </c:pt>
                <c:pt idx="9">
                  <c:v>6.5972222222222223</c:v>
                </c:pt>
                <c:pt idx="10">
                  <c:v>7.291666666666667</c:v>
                </c:pt>
                <c:pt idx="11">
                  <c:v>7.9861111111111107</c:v>
                </c:pt>
                <c:pt idx="12">
                  <c:v>8.6805555555555536</c:v>
                </c:pt>
                <c:pt idx="13">
                  <c:v>9.3749999999999982</c:v>
                </c:pt>
                <c:pt idx="14">
                  <c:v>10.069444444444443</c:v>
                </c:pt>
                <c:pt idx="15">
                  <c:v>10.763888888888888</c:v>
                </c:pt>
                <c:pt idx="16">
                  <c:v>11.458333333333332</c:v>
                </c:pt>
                <c:pt idx="17">
                  <c:v>12.152777777777777</c:v>
                </c:pt>
                <c:pt idx="18">
                  <c:v>12.847222222222221</c:v>
                </c:pt>
                <c:pt idx="19">
                  <c:v>13.541666666666666</c:v>
                </c:pt>
                <c:pt idx="20">
                  <c:v>14.236111111111111</c:v>
                </c:pt>
                <c:pt idx="21">
                  <c:v>14.930555555555554</c:v>
                </c:pt>
                <c:pt idx="22">
                  <c:v>15.624999999999998</c:v>
                </c:pt>
                <c:pt idx="23">
                  <c:v>16.319444444444443</c:v>
                </c:pt>
                <c:pt idx="24">
                  <c:v>17.013888888888886</c:v>
                </c:pt>
                <c:pt idx="25">
                  <c:v>17.708333333333332</c:v>
                </c:pt>
                <c:pt idx="26">
                  <c:v>18.402777777777775</c:v>
                </c:pt>
                <c:pt idx="27">
                  <c:v>19.097222222222221</c:v>
                </c:pt>
                <c:pt idx="28">
                  <c:v>19.791666666666664</c:v>
                </c:pt>
                <c:pt idx="29">
                  <c:v>20.486111111111111</c:v>
                </c:pt>
                <c:pt idx="30">
                  <c:v>21.180555555555554</c:v>
                </c:pt>
                <c:pt idx="31">
                  <c:v>21.875</c:v>
                </c:pt>
                <c:pt idx="32">
                  <c:v>22.569444444444443</c:v>
                </c:pt>
                <c:pt idx="33">
                  <c:v>23.263888888888886</c:v>
                </c:pt>
                <c:pt idx="34">
                  <c:v>23.958333333333332</c:v>
                </c:pt>
                <c:pt idx="35">
                  <c:v>24.652777777777775</c:v>
                </c:pt>
                <c:pt idx="36">
                  <c:v>25.347222222222221</c:v>
                </c:pt>
                <c:pt idx="37">
                  <c:v>26.041666666666664</c:v>
                </c:pt>
                <c:pt idx="38">
                  <c:v>26.736111111111111</c:v>
                </c:pt>
                <c:pt idx="39">
                  <c:v>27.430555555555554</c:v>
                </c:pt>
                <c:pt idx="40">
                  <c:v>28.125</c:v>
                </c:pt>
                <c:pt idx="41">
                  <c:v>28.819444444444443</c:v>
                </c:pt>
                <c:pt idx="42">
                  <c:v>29.513888888888886</c:v>
                </c:pt>
                <c:pt idx="43">
                  <c:v>30.208333333333332</c:v>
                </c:pt>
                <c:pt idx="44">
                  <c:v>30.902777777777775</c:v>
                </c:pt>
                <c:pt idx="45">
                  <c:v>31.597222222222221</c:v>
                </c:pt>
                <c:pt idx="46">
                  <c:v>32.291666666666664</c:v>
                </c:pt>
                <c:pt idx="47">
                  <c:v>32.986111111111107</c:v>
                </c:pt>
                <c:pt idx="48">
                  <c:v>33.68055555555555</c:v>
                </c:pt>
                <c:pt idx="49">
                  <c:v>34.375</c:v>
                </c:pt>
                <c:pt idx="50">
                  <c:v>35.069444444444443</c:v>
                </c:pt>
                <c:pt idx="51">
                  <c:v>35.763888888888886</c:v>
                </c:pt>
                <c:pt idx="52">
                  <c:v>36.458333333333329</c:v>
                </c:pt>
                <c:pt idx="53">
                  <c:v>37.152777777777779</c:v>
                </c:pt>
                <c:pt idx="54">
                  <c:v>37.847222222222221</c:v>
                </c:pt>
                <c:pt idx="55">
                  <c:v>38.541666666666664</c:v>
                </c:pt>
                <c:pt idx="56">
                  <c:v>39.236111111111107</c:v>
                </c:pt>
                <c:pt idx="57">
                  <c:v>39.93055555555555</c:v>
                </c:pt>
                <c:pt idx="58">
                  <c:v>40.625</c:v>
                </c:pt>
                <c:pt idx="59">
                  <c:v>41.319444444444443</c:v>
                </c:pt>
                <c:pt idx="60">
                  <c:v>42.013888888888886</c:v>
                </c:pt>
                <c:pt idx="61">
                  <c:v>42.708333333333329</c:v>
                </c:pt>
                <c:pt idx="62">
                  <c:v>43.402777777777779</c:v>
                </c:pt>
                <c:pt idx="63">
                  <c:v>44.097222222222221</c:v>
                </c:pt>
                <c:pt idx="64">
                  <c:v>44.791666666666664</c:v>
                </c:pt>
                <c:pt idx="65">
                  <c:v>45.486111111111107</c:v>
                </c:pt>
                <c:pt idx="66">
                  <c:v>46.18055555555555</c:v>
                </c:pt>
                <c:pt idx="67">
                  <c:v>46.875</c:v>
                </c:pt>
                <c:pt idx="68">
                  <c:v>47.569444444444443</c:v>
                </c:pt>
                <c:pt idx="69">
                  <c:v>48.263888888888886</c:v>
                </c:pt>
                <c:pt idx="70">
                  <c:v>48.958333333333329</c:v>
                </c:pt>
                <c:pt idx="71">
                  <c:v>49.652777777777779</c:v>
                </c:pt>
                <c:pt idx="72">
                  <c:v>50.347222222222221</c:v>
                </c:pt>
                <c:pt idx="73">
                  <c:v>51.041666666666664</c:v>
                </c:pt>
                <c:pt idx="74">
                  <c:v>51.736111111111107</c:v>
                </c:pt>
                <c:pt idx="75">
                  <c:v>52.43055555555555</c:v>
                </c:pt>
                <c:pt idx="76">
                  <c:v>53.125</c:v>
                </c:pt>
                <c:pt idx="77">
                  <c:v>53.819444444444443</c:v>
                </c:pt>
                <c:pt idx="78">
                  <c:v>54.513888888888886</c:v>
                </c:pt>
                <c:pt idx="79">
                  <c:v>55.208333333333329</c:v>
                </c:pt>
                <c:pt idx="80">
                  <c:v>55.902777777777779</c:v>
                </c:pt>
                <c:pt idx="81">
                  <c:v>56.597222222222221</c:v>
                </c:pt>
                <c:pt idx="82">
                  <c:v>57.291666666666664</c:v>
                </c:pt>
                <c:pt idx="83">
                  <c:v>57.986111111111107</c:v>
                </c:pt>
                <c:pt idx="84">
                  <c:v>58.68055555555555</c:v>
                </c:pt>
                <c:pt idx="85">
                  <c:v>59.375</c:v>
                </c:pt>
                <c:pt idx="86">
                  <c:v>60.069444444444443</c:v>
                </c:pt>
                <c:pt idx="87">
                  <c:v>60.763888888888886</c:v>
                </c:pt>
                <c:pt idx="88">
                  <c:v>61.458333333333329</c:v>
                </c:pt>
                <c:pt idx="89">
                  <c:v>62.152777777777771</c:v>
                </c:pt>
                <c:pt idx="90">
                  <c:v>62.847222222222221</c:v>
                </c:pt>
                <c:pt idx="91">
                  <c:v>63.541666666666664</c:v>
                </c:pt>
                <c:pt idx="92">
                  <c:v>64.236111111111114</c:v>
                </c:pt>
                <c:pt idx="93">
                  <c:v>64.930555555555557</c:v>
                </c:pt>
                <c:pt idx="94">
                  <c:v>65.625</c:v>
                </c:pt>
                <c:pt idx="95">
                  <c:v>66.319444444444443</c:v>
                </c:pt>
                <c:pt idx="96">
                  <c:v>67.013888888888886</c:v>
                </c:pt>
                <c:pt idx="97">
                  <c:v>67.708333333333343</c:v>
                </c:pt>
                <c:pt idx="98">
                  <c:v>68.402777777777786</c:v>
                </c:pt>
                <c:pt idx="99">
                  <c:v>69.097222222222229</c:v>
                </c:pt>
                <c:pt idx="100">
                  <c:v>69.791666666666671</c:v>
                </c:pt>
                <c:pt idx="101">
                  <c:v>70.486111111111114</c:v>
                </c:pt>
                <c:pt idx="102">
                  <c:v>71.180555555555557</c:v>
                </c:pt>
                <c:pt idx="103">
                  <c:v>71.875</c:v>
                </c:pt>
                <c:pt idx="104">
                  <c:v>72.569444444444443</c:v>
                </c:pt>
                <c:pt idx="105">
                  <c:v>73.263888888888886</c:v>
                </c:pt>
                <c:pt idx="106">
                  <c:v>73.958333333333343</c:v>
                </c:pt>
                <c:pt idx="107">
                  <c:v>74.652777777777786</c:v>
                </c:pt>
                <c:pt idx="108">
                  <c:v>75.347222222222229</c:v>
                </c:pt>
                <c:pt idx="109">
                  <c:v>76.041666666666671</c:v>
                </c:pt>
                <c:pt idx="110">
                  <c:v>76.736111111111114</c:v>
                </c:pt>
                <c:pt idx="111">
                  <c:v>77.430555555555557</c:v>
                </c:pt>
                <c:pt idx="112">
                  <c:v>78.125</c:v>
                </c:pt>
                <c:pt idx="113">
                  <c:v>78.819444444444443</c:v>
                </c:pt>
                <c:pt idx="114">
                  <c:v>79.513888888888886</c:v>
                </c:pt>
                <c:pt idx="115">
                  <c:v>80.208333333333343</c:v>
                </c:pt>
                <c:pt idx="116">
                  <c:v>80.902777777777786</c:v>
                </c:pt>
                <c:pt idx="117">
                  <c:v>81.597222222222229</c:v>
                </c:pt>
                <c:pt idx="118">
                  <c:v>82.291666666666671</c:v>
                </c:pt>
                <c:pt idx="119">
                  <c:v>82.986111111111114</c:v>
                </c:pt>
                <c:pt idx="120">
                  <c:v>83.680555555555557</c:v>
                </c:pt>
                <c:pt idx="121">
                  <c:v>84.375</c:v>
                </c:pt>
                <c:pt idx="122">
                  <c:v>85.069444444444443</c:v>
                </c:pt>
                <c:pt idx="123">
                  <c:v>85.763888888888886</c:v>
                </c:pt>
                <c:pt idx="124">
                  <c:v>86.458333333333343</c:v>
                </c:pt>
                <c:pt idx="125">
                  <c:v>87.152777777777786</c:v>
                </c:pt>
                <c:pt idx="126">
                  <c:v>87.847222222222229</c:v>
                </c:pt>
                <c:pt idx="127">
                  <c:v>88.541666666666671</c:v>
                </c:pt>
                <c:pt idx="128">
                  <c:v>89.236111111111114</c:v>
                </c:pt>
                <c:pt idx="129">
                  <c:v>89.930555555555557</c:v>
                </c:pt>
                <c:pt idx="130">
                  <c:v>90.625</c:v>
                </c:pt>
                <c:pt idx="131">
                  <c:v>91.319444444444443</c:v>
                </c:pt>
                <c:pt idx="132">
                  <c:v>92.013888888888886</c:v>
                </c:pt>
                <c:pt idx="133">
                  <c:v>92.708333333333343</c:v>
                </c:pt>
                <c:pt idx="134">
                  <c:v>93.402777777777786</c:v>
                </c:pt>
                <c:pt idx="135">
                  <c:v>94.097222222222229</c:v>
                </c:pt>
                <c:pt idx="136">
                  <c:v>94.791666666666671</c:v>
                </c:pt>
                <c:pt idx="137">
                  <c:v>95.486111111111114</c:v>
                </c:pt>
                <c:pt idx="138">
                  <c:v>96.180555555555557</c:v>
                </c:pt>
                <c:pt idx="139">
                  <c:v>96.875</c:v>
                </c:pt>
                <c:pt idx="140">
                  <c:v>97.569444444444443</c:v>
                </c:pt>
                <c:pt idx="141">
                  <c:v>98.263888888888886</c:v>
                </c:pt>
                <c:pt idx="142">
                  <c:v>98.958333333333343</c:v>
                </c:pt>
                <c:pt idx="143">
                  <c:v>99.652777777777786</c:v>
                </c:pt>
              </c:numCache>
            </c:numRef>
          </c:xVal>
          <c:yVal>
            <c:numRef>
              <c:f>Credit!$G$26:$G$169</c:f>
              <c:numCache>
                <c:formatCode>General</c:formatCode>
                <c:ptCount val="144"/>
                <c:pt idx="0">
                  <c:v>-7.0047284893671877</c:v>
                </c:pt>
                <c:pt idx="1">
                  <c:v>-4.6868598995851904</c:v>
                </c:pt>
                <c:pt idx="2">
                  <c:v>-4.1526948243374111</c:v>
                </c:pt>
                <c:pt idx="3">
                  <c:v>-3.6875242113072275</c:v>
                </c:pt>
                <c:pt idx="4">
                  <c:v>-3.3442885744124804</c:v>
                </c:pt>
                <c:pt idx="5">
                  <c:v>-3.1231512210139143</c:v>
                </c:pt>
                <c:pt idx="6">
                  <c:v>-2.9682787226250409</c:v>
                </c:pt>
                <c:pt idx="7">
                  <c:v>-2.5680570998352561</c:v>
                </c:pt>
                <c:pt idx="8">
                  <c:v>-2.5280472836281653</c:v>
                </c:pt>
                <c:pt idx="9">
                  <c:v>-2.5046976641667626</c:v>
                </c:pt>
                <c:pt idx="10">
                  <c:v>-2.2568118607420633</c:v>
                </c:pt>
                <c:pt idx="11">
                  <c:v>-1.9001782009329338</c:v>
                </c:pt>
                <c:pt idx="12">
                  <c:v>-1.8423176925388944</c:v>
                </c:pt>
                <c:pt idx="13">
                  <c:v>-1.8267949190726551</c:v>
                </c:pt>
                <c:pt idx="14">
                  <c:v>-1.7163787658669345</c:v>
                </c:pt>
                <c:pt idx="15">
                  <c:v>-1.7024670003016547</c:v>
                </c:pt>
                <c:pt idx="16">
                  <c:v>-1.4912303020014905</c:v>
                </c:pt>
                <c:pt idx="17">
                  <c:v>-1.4816122688402813</c:v>
                </c:pt>
                <c:pt idx="18">
                  <c:v>-1.3850399013585131</c:v>
                </c:pt>
                <c:pt idx="19">
                  <c:v>-1.3845334693391671</c:v>
                </c:pt>
                <c:pt idx="20">
                  <c:v>-1.3312319193447704</c:v>
                </c:pt>
                <c:pt idx="21">
                  <c:v>-1.2793531068196276</c:v>
                </c:pt>
                <c:pt idx="22">
                  <c:v>-1.1425691586862545</c:v>
                </c:pt>
                <c:pt idx="23">
                  <c:v>-1.1072210028407516</c:v>
                </c:pt>
                <c:pt idx="24">
                  <c:v>-1.0801430002995103</c:v>
                </c:pt>
                <c:pt idx="25">
                  <c:v>-0.94912629185626851</c:v>
                </c:pt>
                <c:pt idx="26">
                  <c:v>-0.93339874585644023</c:v>
                </c:pt>
                <c:pt idx="27">
                  <c:v>-0.8739297602339734</c:v>
                </c:pt>
                <c:pt idx="28">
                  <c:v>-0.85098504001589137</c:v>
                </c:pt>
                <c:pt idx="29">
                  <c:v>-0.84486748191592764</c:v>
                </c:pt>
                <c:pt idx="30">
                  <c:v>-0.83998798555617005</c:v>
                </c:pt>
                <c:pt idx="31">
                  <c:v>-0.82038765576752415</c:v>
                </c:pt>
                <c:pt idx="32">
                  <c:v>-0.73047275946122014</c:v>
                </c:pt>
                <c:pt idx="33">
                  <c:v>-0.72114034769675106</c:v>
                </c:pt>
                <c:pt idx="34">
                  <c:v>-0.70844610563042631</c:v>
                </c:pt>
                <c:pt idx="35">
                  <c:v>-0.63980558944311527</c:v>
                </c:pt>
                <c:pt idx="36">
                  <c:v>-0.63321922178810008</c:v>
                </c:pt>
                <c:pt idx="37">
                  <c:v>-0.62523746935851443</c:v>
                </c:pt>
                <c:pt idx="38">
                  <c:v>-0.60205936122706527</c:v>
                </c:pt>
                <c:pt idx="39">
                  <c:v>-0.49649597275839152</c:v>
                </c:pt>
                <c:pt idx="40">
                  <c:v>-0.45287219230992509</c:v>
                </c:pt>
                <c:pt idx="41">
                  <c:v>-0.44945692130845749</c:v>
                </c:pt>
                <c:pt idx="42">
                  <c:v>-0.42414010254649709</c:v>
                </c:pt>
                <c:pt idx="43">
                  <c:v>-0.40587403799491967</c:v>
                </c:pt>
                <c:pt idx="44">
                  <c:v>-0.38364685529762182</c:v>
                </c:pt>
                <c:pt idx="45">
                  <c:v>-0.34952011853591453</c:v>
                </c:pt>
                <c:pt idx="46">
                  <c:v>-0.32059917407416511</c:v>
                </c:pt>
                <c:pt idx="47">
                  <c:v>-0.25809067214290327</c:v>
                </c:pt>
                <c:pt idx="48">
                  <c:v>-0.23417506109101072</c:v>
                </c:pt>
                <c:pt idx="49">
                  <c:v>-0.18651939975316809</c:v>
                </c:pt>
                <c:pt idx="50">
                  <c:v>-0.16023377056929605</c:v>
                </c:pt>
                <c:pt idx="51">
                  <c:v>-0.15960421366991845</c:v>
                </c:pt>
                <c:pt idx="52">
                  <c:v>-0.12574664360828455</c:v>
                </c:pt>
                <c:pt idx="53">
                  <c:v>-3.7635693365227305E-2</c:v>
                </c:pt>
                <c:pt idx="54">
                  <c:v>-2.8872892422191813E-2</c:v>
                </c:pt>
                <c:pt idx="55">
                  <c:v>-2.1093949631446327E-2</c:v>
                </c:pt>
                <c:pt idx="56">
                  <c:v>2.1744398396726858E-3</c:v>
                </c:pt>
                <c:pt idx="57">
                  <c:v>1.3361896540353232E-2</c:v>
                </c:pt>
                <c:pt idx="58">
                  <c:v>1.5244628300109645E-2</c:v>
                </c:pt>
                <c:pt idx="59">
                  <c:v>4.5162099813618559E-2</c:v>
                </c:pt>
                <c:pt idx="60">
                  <c:v>5.5182858323510636E-2</c:v>
                </c:pt>
                <c:pt idx="61">
                  <c:v>6.2862567183433013E-2</c:v>
                </c:pt>
                <c:pt idx="62">
                  <c:v>6.4450144874432388E-2</c:v>
                </c:pt>
                <c:pt idx="63">
                  <c:v>0.17050584189129772</c:v>
                </c:pt>
                <c:pt idx="64">
                  <c:v>0.20128346879376346</c:v>
                </c:pt>
                <c:pt idx="65">
                  <c:v>0.25176219913533959</c:v>
                </c:pt>
                <c:pt idx="66">
                  <c:v>0.27937046819359035</c:v>
                </c:pt>
                <c:pt idx="67">
                  <c:v>0.29248739326307094</c:v>
                </c:pt>
                <c:pt idx="68">
                  <c:v>0.32195109833132546</c:v>
                </c:pt>
                <c:pt idx="69">
                  <c:v>0.3416951439283733</c:v>
                </c:pt>
                <c:pt idx="70">
                  <c:v>0.3941440510082177</c:v>
                </c:pt>
                <c:pt idx="71">
                  <c:v>0.39463790345239053</c:v>
                </c:pt>
                <c:pt idx="72">
                  <c:v>0.44664249623499269</c:v>
                </c:pt>
                <c:pt idx="73">
                  <c:v>0.44906329589973976</c:v>
                </c:pt>
                <c:pt idx="74">
                  <c:v>0.51269214936388086</c:v>
                </c:pt>
                <c:pt idx="75">
                  <c:v>0.54311279831289316</c:v>
                </c:pt>
                <c:pt idx="76">
                  <c:v>0.64991632276644051</c:v>
                </c:pt>
                <c:pt idx="77">
                  <c:v>0.74520035393408268</c:v>
                </c:pt>
                <c:pt idx="78">
                  <c:v>0.76476526172699799</c:v>
                </c:pt>
                <c:pt idx="79">
                  <c:v>0.76715041455256716</c:v>
                </c:pt>
                <c:pt idx="80">
                  <c:v>0.77913542886387466</c:v>
                </c:pt>
                <c:pt idx="81">
                  <c:v>0.79790760681101336</c:v>
                </c:pt>
                <c:pt idx="82">
                  <c:v>0.79930043255834871</c:v>
                </c:pt>
                <c:pt idx="83">
                  <c:v>0.80909571022157933</c:v>
                </c:pt>
                <c:pt idx="84">
                  <c:v>0.8173714702258239</c:v>
                </c:pt>
                <c:pt idx="85">
                  <c:v>0.8220675256694463</c:v>
                </c:pt>
                <c:pt idx="86">
                  <c:v>0.94080499762717185</c:v>
                </c:pt>
                <c:pt idx="87">
                  <c:v>0.98384974618307341</c:v>
                </c:pt>
                <c:pt idx="88">
                  <c:v>1.084910181769061</c:v>
                </c:pt>
                <c:pt idx="89">
                  <c:v>1.088562294937061</c:v>
                </c:pt>
                <c:pt idx="90">
                  <c:v>1.1252408849651883</c:v>
                </c:pt>
                <c:pt idx="91">
                  <c:v>1.1573512190828252</c:v>
                </c:pt>
                <c:pt idx="92">
                  <c:v>1.1607317321410837</c:v>
                </c:pt>
                <c:pt idx="93">
                  <c:v>1.1935119946777377</c:v>
                </c:pt>
                <c:pt idx="94">
                  <c:v>1.2933080083597004</c:v>
                </c:pt>
                <c:pt idx="95">
                  <c:v>1.3006576888791135</c:v>
                </c:pt>
                <c:pt idx="96">
                  <c:v>1.3072997744824202</c:v>
                </c:pt>
                <c:pt idx="97">
                  <c:v>1.3201728926043841</c:v>
                </c:pt>
                <c:pt idx="98">
                  <c:v>1.3282751471537555</c:v>
                </c:pt>
                <c:pt idx="99">
                  <c:v>1.3592930931331151</c:v>
                </c:pt>
                <c:pt idx="100">
                  <c:v>1.3893836371301047</c:v>
                </c:pt>
                <c:pt idx="101">
                  <c:v>1.4570599695124704</c:v>
                </c:pt>
                <c:pt idx="102">
                  <c:v>1.4746501612318974</c:v>
                </c:pt>
                <c:pt idx="103">
                  <c:v>1.4799167353491935</c:v>
                </c:pt>
                <c:pt idx="104">
                  <c:v>1.5120608050198472</c:v>
                </c:pt>
                <c:pt idx="105">
                  <c:v>1.5632378548125487</c:v>
                </c:pt>
                <c:pt idx="106">
                  <c:v>1.5752476292840976</c:v>
                </c:pt>
                <c:pt idx="107">
                  <c:v>1.7130121087748451</c:v>
                </c:pt>
                <c:pt idx="108">
                  <c:v>1.8101887790863302</c:v>
                </c:pt>
                <c:pt idx="109">
                  <c:v>1.8519535193189707</c:v>
                </c:pt>
                <c:pt idx="110">
                  <c:v>1.9551601207275044</c:v>
                </c:pt>
                <c:pt idx="111">
                  <c:v>1.9636320377819911</c:v>
                </c:pt>
                <c:pt idx="112">
                  <c:v>1.9965489332311821</c:v>
                </c:pt>
                <c:pt idx="113">
                  <c:v>2.1127325139720563</c:v>
                </c:pt>
                <c:pt idx="114">
                  <c:v>2.1320616401803507</c:v>
                </c:pt>
                <c:pt idx="115">
                  <c:v>2.1528110708148573</c:v>
                </c:pt>
                <c:pt idx="116">
                  <c:v>2.1554149374730458</c:v>
                </c:pt>
                <c:pt idx="117">
                  <c:v>2.1937669383125291</c:v>
                </c:pt>
                <c:pt idx="118">
                  <c:v>2.2441569439350513</c:v>
                </c:pt>
                <c:pt idx="119">
                  <c:v>2.3109716137805942</c:v>
                </c:pt>
                <c:pt idx="120">
                  <c:v>2.3644571963769208</c:v>
                </c:pt>
                <c:pt idx="121">
                  <c:v>2.3878145236429944</c:v>
                </c:pt>
                <c:pt idx="122">
                  <c:v>2.4047017706743326</c:v>
                </c:pt>
                <c:pt idx="123">
                  <c:v>2.4711222871909655</c:v>
                </c:pt>
                <c:pt idx="124">
                  <c:v>2.5118747000438195</c:v>
                </c:pt>
                <c:pt idx="125">
                  <c:v>2.5198681337412903</c:v>
                </c:pt>
                <c:pt idx="126">
                  <c:v>2.5257042870557784</c:v>
                </c:pt>
                <c:pt idx="127">
                  <c:v>2.5343167951715437</c:v>
                </c:pt>
                <c:pt idx="128">
                  <c:v>2.6303236664701828</c:v>
                </c:pt>
                <c:pt idx="129">
                  <c:v>2.6535892327475388</c:v>
                </c:pt>
                <c:pt idx="130">
                  <c:v>2.664630651168546</c:v>
                </c:pt>
                <c:pt idx="131">
                  <c:v>2.683391280512204</c:v>
                </c:pt>
                <c:pt idx="132">
                  <c:v>2.7070180675265525</c:v>
                </c:pt>
                <c:pt idx="133">
                  <c:v>2.8438546235537174</c:v>
                </c:pt>
                <c:pt idx="134">
                  <c:v>2.8609360739223297</c:v>
                </c:pt>
                <c:pt idx="135">
                  <c:v>3.0698713827378343</c:v>
                </c:pt>
                <c:pt idx="136">
                  <c:v>3.1095108983661892</c:v>
                </c:pt>
                <c:pt idx="137">
                  <c:v>3.1666873562985165</c:v>
                </c:pt>
                <c:pt idx="138">
                  <c:v>3.3950819422879635</c:v>
                </c:pt>
                <c:pt idx="139">
                  <c:v>3.4388141552305238</c:v>
                </c:pt>
                <c:pt idx="140">
                  <c:v>3.580071379617352</c:v>
                </c:pt>
                <c:pt idx="141">
                  <c:v>3.8214888861569447</c:v>
                </c:pt>
                <c:pt idx="142">
                  <c:v>4.5018822436456931</c:v>
                </c:pt>
                <c:pt idx="143">
                  <c:v>5.5867022964527608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933-9941-83CA-00EB91880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5429152"/>
        <c:axId val="1071817888"/>
      </c:scatterChart>
      <c:valAx>
        <c:axId val="1045429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71817888"/>
        <c:crosses val="autoZero"/>
        <c:crossBetween val="midCat"/>
      </c:valAx>
      <c:valAx>
        <c:axId val="10718178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Asset Returns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45429152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IG Credit Spread (%)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Data!$W$2:$W$145</c:f>
              <c:numCache>
                <c:formatCode>0.0000</c:formatCode>
                <c:ptCount val="144"/>
                <c:pt idx="0">
                  <c:v>-5.1387194346069833</c:v>
                </c:pt>
                <c:pt idx="1">
                  <c:v>2.3484491421995508</c:v>
                </c:pt>
                <c:pt idx="2">
                  <c:v>-0.92319478819390199</c:v>
                </c:pt>
                <c:pt idx="3">
                  <c:v>0.82434767702086331</c:v>
                </c:pt>
                <c:pt idx="4">
                  <c:v>2.0252115715454142</c:v>
                </c:pt>
                <c:pt idx="5">
                  <c:v>-1.4083021680096535</c:v>
                </c:pt>
                <c:pt idx="6">
                  <c:v>-0.89531690384682072</c:v>
                </c:pt>
                <c:pt idx="7">
                  <c:v>2.0846292055168538</c:v>
                </c:pt>
                <c:pt idx="8">
                  <c:v>0.18815829103602541</c:v>
                </c:pt>
                <c:pt idx="9">
                  <c:v>-0.30403984882426438</c:v>
                </c:pt>
                <c:pt idx="10">
                  <c:v>1.2224064307019109</c:v>
                </c:pt>
                <c:pt idx="11">
                  <c:v>1.1188106566869516</c:v>
                </c:pt>
                <c:pt idx="12">
                  <c:v>-0.39386738542473537</c:v>
                </c:pt>
                <c:pt idx="13">
                  <c:v>0.23199314515441699</c:v>
                </c:pt>
                <c:pt idx="14">
                  <c:v>3.0510319131719719</c:v>
                </c:pt>
                <c:pt idx="15">
                  <c:v>-0.57569475557887417</c:v>
                </c:pt>
                <c:pt idx="16">
                  <c:v>0.34508593485068878</c:v>
                </c:pt>
                <c:pt idx="17">
                  <c:v>2.4668637873530348</c:v>
                </c:pt>
                <c:pt idx="18">
                  <c:v>1.3828982966028573</c:v>
                </c:pt>
                <c:pt idx="19">
                  <c:v>5.9348906527047323</c:v>
                </c:pt>
                <c:pt idx="20">
                  <c:v>-3.7396932352934624</c:v>
                </c:pt>
                <c:pt idx="21">
                  <c:v>1.0994857308880885</c:v>
                </c:pt>
                <c:pt idx="22">
                  <c:v>-2.3264834455409638</c:v>
                </c:pt>
                <c:pt idx="23">
                  <c:v>0.27399978476401698</c:v>
                </c:pt>
                <c:pt idx="24">
                  <c:v>-3.7708043023703515</c:v>
                </c:pt>
                <c:pt idx="25">
                  <c:v>2.4312561086316236</c:v>
                </c:pt>
                <c:pt idx="26">
                  <c:v>-2.163876747359093</c:v>
                </c:pt>
                <c:pt idx="27">
                  <c:v>0.5025858772171532</c:v>
                </c:pt>
                <c:pt idx="28">
                  <c:v>1.5012701524955124E-2</c:v>
                </c:pt>
                <c:pt idx="29">
                  <c:v>2.0734306549589543</c:v>
                </c:pt>
                <c:pt idx="30">
                  <c:v>-1.4165022256805997</c:v>
                </c:pt>
                <c:pt idx="31">
                  <c:v>0.66815720708482551</c:v>
                </c:pt>
                <c:pt idx="32">
                  <c:v>-0.80775400785913054</c:v>
                </c:pt>
                <c:pt idx="33">
                  <c:v>3.5954167685518694</c:v>
                </c:pt>
                <c:pt idx="34">
                  <c:v>0.91190414214845739</c:v>
                </c:pt>
                <c:pt idx="35">
                  <c:v>0.85468808124803441</c:v>
                </c:pt>
                <c:pt idx="36">
                  <c:v>3.5664770305249829</c:v>
                </c:pt>
                <c:pt idx="37">
                  <c:v>5.0465169683722939</c:v>
                </c:pt>
                <c:pt idx="38">
                  <c:v>3.4210472846484357</c:v>
                </c:pt>
                <c:pt idx="39">
                  <c:v>-1.9050206096671818</c:v>
                </c:pt>
                <c:pt idx="40">
                  <c:v>-4.4556526959210885</c:v>
                </c:pt>
                <c:pt idx="41">
                  <c:v>-1.6600067055434231</c:v>
                </c:pt>
                <c:pt idx="42">
                  <c:v>2.9503559863160107</c:v>
                </c:pt>
                <c:pt idx="43">
                  <c:v>-1.5202579266307075</c:v>
                </c:pt>
                <c:pt idx="44">
                  <c:v>2.6350509941130018</c:v>
                </c:pt>
                <c:pt idx="45">
                  <c:v>-0.17390455263532517</c:v>
                </c:pt>
                <c:pt idx="46">
                  <c:v>0.72625925846252182</c:v>
                </c:pt>
                <c:pt idx="47">
                  <c:v>1.5534992085354618</c:v>
                </c:pt>
                <c:pt idx="48">
                  <c:v>-1.3128763768352263</c:v>
                </c:pt>
                <c:pt idx="49">
                  <c:v>1.0235515044919676</c:v>
                </c:pt>
                <c:pt idx="50">
                  <c:v>0.87915557139737288</c:v>
                </c:pt>
                <c:pt idx="51">
                  <c:v>-2.0519560737810645</c:v>
                </c:pt>
                <c:pt idx="52">
                  <c:v>0.34628136161819018</c:v>
                </c:pt>
                <c:pt idx="53">
                  <c:v>-0.35419358995709715</c:v>
                </c:pt>
                <c:pt idx="54">
                  <c:v>1.858001601839639</c:v>
                </c:pt>
                <c:pt idx="55">
                  <c:v>-0.8877688063153264</c:v>
                </c:pt>
                <c:pt idx="56">
                  <c:v>-1.3769514272096248</c:v>
                </c:pt>
                <c:pt idx="57">
                  <c:v>0.20136749777207796</c:v>
                </c:pt>
                <c:pt idx="58">
                  <c:v>0.12731740286215751</c:v>
                </c:pt>
                <c:pt idx="59">
                  <c:v>-0.371473926792939</c:v>
                </c:pt>
                <c:pt idx="60">
                  <c:v>-0.41320150136606915</c:v>
                </c:pt>
                <c:pt idx="61">
                  <c:v>0.2551971584802315</c:v>
                </c:pt>
                <c:pt idx="62">
                  <c:v>0.54532839444733927</c:v>
                </c:pt>
                <c:pt idx="63">
                  <c:v>-1.1987084485525838</c:v>
                </c:pt>
                <c:pt idx="64">
                  <c:v>0.20365796077345244</c:v>
                </c:pt>
                <c:pt idx="65">
                  <c:v>-2.1905269483508447</c:v>
                </c:pt>
                <c:pt idx="66">
                  <c:v>1.357859374712971</c:v>
                </c:pt>
                <c:pt idx="67">
                  <c:v>1.0678641457547986</c:v>
                </c:pt>
                <c:pt idx="68">
                  <c:v>-4.062169850005945E-3</c:v>
                </c:pt>
                <c:pt idx="69">
                  <c:v>-0.25340601070870289</c:v>
                </c:pt>
                <c:pt idx="70">
                  <c:v>-0.20371933742089599</c:v>
                </c:pt>
                <c:pt idx="71">
                  <c:v>-6.8036926882462212E-2</c:v>
                </c:pt>
                <c:pt idx="72">
                  <c:v>3.0998066900760599</c:v>
                </c:pt>
                <c:pt idx="73">
                  <c:v>-1.5756409548922983</c:v>
                </c:pt>
                <c:pt idx="74">
                  <c:v>-6.5893968100260576</c:v>
                </c:pt>
                <c:pt idx="75">
                  <c:v>7.3665586735762902</c:v>
                </c:pt>
                <c:pt idx="76">
                  <c:v>1.0916617932992878</c:v>
                </c:pt>
                <c:pt idx="77">
                  <c:v>1.0163751457846373</c:v>
                </c:pt>
                <c:pt idx="78">
                  <c:v>2.1435700279400138</c:v>
                </c:pt>
                <c:pt idx="79">
                  <c:v>-1.204767361587278</c:v>
                </c:pt>
                <c:pt idx="80">
                  <c:v>-1.9469169716171044E-3</c:v>
                </c:pt>
                <c:pt idx="81">
                  <c:v>0.28979934223811843</c:v>
                </c:pt>
                <c:pt idx="82">
                  <c:v>2.3639052440224098</c:v>
                </c:pt>
                <c:pt idx="83">
                  <c:v>1.5490140567033936</c:v>
                </c:pt>
                <c:pt idx="84">
                  <c:v>-1.6477775578392471</c:v>
                </c:pt>
                <c:pt idx="85">
                  <c:v>-3.4798493915758022</c:v>
                </c:pt>
                <c:pt idx="86">
                  <c:v>1.7190145145590065E-2</c:v>
                </c:pt>
                <c:pt idx="87">
                  <c:v>0.3804319559628988</c:v>
                </c:pt>
                <c:pt idx="88">
                  <c:v>0.31001431749484604</c:v>
                </c:pt>
                <c:pt idx="89">
                  <c:v>0.85502216530240871</c:v>
                </c:pt>
                <c:pt idx="90">
                  <c:v>1.6132309956574875</c:v>
                </c:pt>
                <c:pt idx="91">
                  <c:v>-0.22870458134476115</c:v>
                </c:pt>
                <c:pt idx="92">
                  <c:v>-2.8087660797989829</c:v>
                </c:pt>
                <c:pt idx="93">
                  <c:v>0.69722145982741013</c:v>
                </c:pt>
                <c:pt idx="94">
                  <c:v>0.99547551042253035</c:v>
                </c:pt>
                <c:pt idx="95">
                  <c:v>-1.12353903746557</c:v>
                </c:pt>
                <c:pt idx="96">
                  <c:v>-4.0342794589013895</c:v>
                </c:pt>
                <c:pt idx="97">
                  <c:v>-3.1651689144312303</c:v>
                </c:pt>
                <c:pt idx="98">
                  <c:v>0.13326767049501004</c:v>
                </c:pt>
                <c:pt idx="99">
                  <c:v>-3.8653528730622675</c:v>
                </c:pt>
                <c:pt idx="100">
                  <c:v>-1.556403524525015</c:v>
                </c:pt>
                <c:pt idx="101">
                  <c:v>-3.4565692008015478</c:v>
                </c:pt>
                <c:pt idx="102">
                  <c:v>4.373127894277208</c:v>
                </c:pt>
                <c:pt idx="103">
                  <c:v>-8.1411935429504894</c:v>
                </c:pt>
                <c:pt idx="104">
                  <c:v>-9.1415438687040886</c:v>
                </c:pt>
                <c:pt idx="105">
                  <c:v>4.9981561061963475</c:v>
                </c:pt>
                <c:pt idx="106">
                  <c:v>3.7315693621188237</c:v>
                </c:pt>
                <c:pt idx="107">
                  <c:v>-1.6930601373866518</c:v>
                </c:pt>
                <c:pt idx="108">
                  <c:v>3.2693974797429637</c:v>
                </c:pt>
                <c:pt idx="109">
                  <c:v>-3.4044713219137206</c:v>
                </c:pt>
                <c:pt idx="110">
                  <c:v>1.1229372544900045</c:v>
                </c:pt>
                <c:pt idx="111">
                  <c:v>-4.5251950847142508E-2</c:v>
                </c:pt>
                <c:pt idx="112">
                  <c:v>-3.2207902839867755</c:v>
                </c:pt>
                <c:pt idx="113">
                  <c:v>-1.5304704600210068</c:v>
                </c:pt>
                <c:pt idx="114">
                  <c:v>2.0217015238879137</c:v>
                </c:pt>
                <c:pt idx="115">
                  <c:v>-0.73548575994241516</c:v>
                </c:pt>
                <c:pt idx="116">
                  <c:v>-0.41335762746622851</c:v>
                </c:pt>
                <c:pt idx="117">
                  <c:v>-0.46656124638286833</c:v>
                </c:pt>
                <c:pt idx="118">
                  <c:v>3.4138089910941942</c:v>
                </c:pt>
                <c:pt idx="119">
                  <c:v>4.4012225363925044</c:v>
                </c:pt>
                <c:pt idx="120">
                  <c:v>-1.5196917747234271</c:v>
                </c:pt>
                <c:pt idx="121">
                  <c:v>-1.062073375074631</c:v>
                </c:pt>
                <c:pt idx="122">
                  <c:v>1.477489362217179</c:v>
                </c:pt>
                <c:pt idx="123">
                  <c:v>-2.3781283099238917</c:v>
                </c:pt>
                <c:pt idx="124">
                  <c:v>0.47811004572060589</c:v>
                </c:pt>
                <c:pt idx="125">
                  <c:v>0.44551959930867541</c:v>
                </c:pt>
                <c:pt idx="126">
                  <c:v>1.3614075313738643</c:v>
                </c:pt>
                <c:pt idx="127">
                  <c:v>-7.7650136808625758E-3</c:v>
                </c:pt>
                <c:pt idx="128">
                  <c:v>-0.12972116439056908</c:v>
                </c:pt>
                <c:pt idx="129">
                  <c:v>-1.6695833580904584</c:v>
                </c:pt>
                <c:pt idx="130">
                  <c:v>1.4530967525660716</c:v>
                </c:pt>
                <c:pt idx="131">
                  <c:v>-0.78143310266141697</c:v>
                </c:pt>
                <c:pt idx="132">
                  <c:v>0.34908255979636738</c:v>
                </c:pt>
                <c:pt idx="133">
                  <c:v>0.13535969057984193</c:v>
                </c:pt>
                <c:pt idx="134">
                  <c:v>-1.8716624465378884</c:v>
                </c:pt>
                <c:pt idx="135">
                  <c:v>1.2656565827966442</c:v>
                </c:pt>
                <c:pt idx="136">
                  <c:v>-0.42014204580768427</c:v>
                </c:pt>
                <c:pt idx="137">
                  <c:v>1.4055246320234833</c:v>
                </c:pt>
                <c:pt idx="138">
                  <c:v>-2.3798636141916241E-2</c:v>
                </c:pt>
                <c:pt idx="139">
                  <c:v>-0.94564972218921284</c:v>
                </c:pt>
                <c:pt idx="140">
                  <c:v>0.73546966098117694</c:v>
                </c:pt>
                <c:pt idx="141">
                  <c:v>1.7116922764778253</c:v>
                </c:pt>
                <c:pt idx="142">
                  <c:v>-0.26362362275971585</c:v>
                </c:pt>
                <c:pt idx="143">
                  <c:v>0.22777557059858333</c:v>
                </c:pt>
              </c:numCache>
            </c:numRef>
          </c:xVal>
          <c:yVal>
            <c:numRef>
              <c:f>'Credit, SP-HY'!$C$27:$C$170</c:f>
              <c:numCache>
                <c:formatCode>General</c:formatCode>
                <c:ptCount val="144"/>
                <c:pt idx="0">
                  <c:v>-2.1766109546291794</c:v>
                </c:pt>
                <c:pt idx="1">
                  <c:v>1.2389010116744097</c:v>
                </c:pt>
                <c:pt idx="2">
                  <c:v>-1.4730308295681651</c:v>
                </c:pt>
                <c:pt idx="3">
                  <c:v>-0.37898412683298366</c:v>
                </c:pt>
                <c:pt idx="4">
                  <c:v>0.71884140326380752</c:v>
                </c:pt>
                <c:pt idx="5">
                  <c:v>-0.24303360058134399</c:v>
                </c:pt>
                <c:pt idx="6">
                  <c:v>5.7976632568218001E-2</c:v>
                </c:pt>
                <c:pt idx="7">
                  <c:v>-2.0547957712334415</c:v>
                </c:pt>
                <c:pt idx="8">
                  <c:v>0.87473222805372375</c:v>
                </c:pt>
                <c:pt idx="9">
                  <c:v>-0.60971720454419609</c:v>
                </c:pt>
                <c:pt idx="10">
                  <c:v>-0.24272238662162893</c:v>
                </c:pt>
                <c:pt idx="11">
                  <c:v>0.49524631201527414</c:v>
                </c:pt>
                <c:pt idx="12">
                  <c:v>-0.72084023969946687</c:v>
                </c:pt>
                <c:pt idx="13">
                  <c:v>0.27415310580397578</c:v>
                </c:pt>
                <c:pt idx="14">
                  <c:v>0.23155813653993551</c:v>
                </c:pt>
                <c:pt idx="15">
                  <c:v>8.2048807737066909E-2</c:v>
                </c:pt>
                <c:pt idx="16">
                  <c:v>-0.62771520570679651</c:v>
                </c:pt>
                <c:pt idx="17">
                  <c:v>1.7856485514996516</c:v>
                </c:pt>
                <c:pt idx="18">
                  <c:v>-0.32361056155785017</c:v>
                </c:pt>
                <c:pt idx="19">
                  <c:v>-0.38888487232533864</c:v>
                </c:pt>
                <c:pt idx="20">
                  <c:v>0.75732334689329595</c:v>
                </c:pt>
                <c:pt idx="21">
                  <c:v>0.51105296014024337</c:v>
                </c:pt>
                <c:pt idx="22">
                  <c:v>-7.8277558867343028E-2</c:v>
                </c:pt>
                <c:pt idx="23">
                  <c:v>0.1301548589822758</c:v>
                </c:pt>
                <c:pt idx="24">
                  <c:v>-1.5388170364414453</c:v>
                </c:pt>
                <c:pt idx="25">
                  <c:v>0.78124705013986673</c:v>
                </c:pt>
                <c:pt idx="26">
                  <c:v>-1.8161428144746834</c:v>
                </c:pt>
                <c:pt idx="27">
                  <c:v>-4.8912001110150038E-2</c:v>
                </c:pt>
                <c:pt idx="28">
                  <c:v>0.74178026941542519</c:v>
                </c:pt>
                <c:pt idx="29">
                  <c:v>1.0149029049884339</c:v>
                </c:pt>
                <c:pt idx="30">
                  <c:v>0.63380937925039094</c:v>
                </c:pt>
                <c:pt idx="31">
                  <c:v>-1.1095348355610275</c:v>
                </c:pt>
                <c:pt idx="32">
                  <c:v>9.3634271512536726E-2</c:v>
                </c:pt>
                <c:pt idx="33">
                  <c:v>-1.0926236830321252</c:v>
                </c:pt>
                <c:pt idx="34">
                  <c:v>-1.2581736436782511</c:v>
                </c:pt>
                <c:pt idx="35">
                  <c:v>7.4482388127338761E-2</c:v>
                </c:pt>
                <c:pt idx="36">
                  <c:v>1.5639739488154054</c:v>
                </c:pt>
                <c:pt idx="37">
                  <c:v>2.7511338348312986E-2</c:v>
                </c:pt>
                <c:pt idx="38">
                  <c:v>-0.81576500650201145</c:v>
                </c:pt>
                <c:pt idx="39">
                  <c:v>0.7036728117529667</c:v>
                </c:pt>
                <c:pt idx="40">
                  <c:v>1.3033026422829208</c:v>
                </c:pt>
                <c:pt idx="41">
                  <c:v>-0.35704459381471587</c:v>
                </c:pt>
                <c:pt idx="42">
                  <c:v>0.60345684638125752</c:v>
                </c:pt>
                <c:pt idx="43">
                  <c:v>-0.56191956167519641</c:v>
                </c:pt>
                <c:pt idx="44">
                  <c:v>0.80408038006762417</c:v>
                </c:pt>
                <c:pt idx="45">
                  <c:v>0.22310734864905468</c:v>
                </c:pt>
                <c:pt idx="46">
                  <c:v>-1.4273686155226619</c:v>
                </c:pt>
                <c:pt idx="47">
                  <c:v>0.65569823076176648</c:v>
                </c:pt>
                <c:pt idx="48">
                  <c:v>-0.8145184913302046</c:v>
                </c:pt>
                <c:pt idx="49">
                  <c:v>-0.24639303965538872</c:v>
                </c:pt>
                <c:pt idx="50">
                  <c:v>0.55133278730682467</c:v>
                </c:pt>
                <c:pt idx="51">
                  <c:v>-0.95504647879737381</c:v>
                </c:pt>
                <c:pt idx="52">
                  <c:v>0.78448897223926972</c:v>
                </c:pt>
                <c:pt idx="53">
                  <c:v>-0.39884745116605502</c:v>
                </c:pt>
                <c:pt idx="54">
                  <c:v>1.3506629602970679</c:v>
                </c:pt>
                <c:pt idx="55">
                  <c:v>-0.77842140620534661</c:v>
                </c:pt>
                <c:pt idx="56">
                  <c:v>-0.66743065191747686</c:v>
                </c:pt>
                <c:pt idx="57">
                  <c:v>-1.6322820090258452</c:v>
                </c:pt>
                <c:pt idx="58">
                  <c:v>1.8532331778609732</c:v>
                </c:pt>
                <c:pt idx="59">
                  <c:v>1.4720681368247508</c:v>
                </c:pt>
                <c:pt idx="60">
                  <c:v>0.21866457954454557</c:v>
                </c:pt>
                <c:pt idx="61">
                  <c:v>0.21154910438415775</c:v>
                </c:pt>
                <c:pt idx="62">
                  <c:v>-0.5494320154375979</c:v>
                </c:pt>
                <c:pt idx="63">
                  <c:v>1.5704081108429691E-2</c:v>
                </c:pt>
                <c:pt idx="64">
                  <c:v>-2.0971814427130124</c:v>
                </c:pt>
                <c:pt idx="65">
                  <c:v>6.5795809306636643E-2</c:v>
                </c:pt>
                <c:pt idx="66">
                  <c:v>-2.5916285404048964</c:v>
                </c:pt>
                <c:pt idx="67">
                  <c:v>-2.1640137369460701</c:v>
                </c:pt>
                <c:pt idx="68">
                  <c:v>1.0501176123012563</c:v>
                </c:pt>
                <c:pt idx="69">
                  <c:v>-1.1157379914667698</c:v>
                </c:pt>
                <c:pt idx="70">
                  <c:v>0.74436440120440461</c:v>
                </c:pt>
                <c:pt idx="71">
                  <c:v>-0.11519636812978906</c:v>
                </c:pt>
                <c:pt idx="72">
                  <c:v>-1.1397072632172078</c:v>
                </c:pt>
                <c:pt idx="73">
                  <c:v>-3.2880278428933414</c:v>
                </c:pt>
                <c:pt idx="74">
                  <c:v>0.66520037502332929</c:v>
                </c:pt>
                <c:pt idx="75">
                  <c:v>-0.82727176051305218</c:v>
                </c:pt>
                <c:pt idx="76">
                  <c:v>0.48148500334292477</c:v>
                </c:pt>
                <c:pt idx="77">
                  <c:v>0.33172955165018059</c:v>
                </c:pt>
                <c:pt idx="78">
                  <c:v>-2.8602015819042754</c:v>
                </c:pt>
                <c:pt idx="79">
                  <c:v>1.0179794517022502</c:v>
                </c:pt>
                <c:pt idx="80">
                  <c:v>-9.1402406293768057E-2</c:v>
                </c:pt>
                <c:pt idx="81">
                  <c:v>-2.3081581365145802</c:v>
                </c:pt>
                <c:pt idx="82">
                  <c:v>2.5204740666500682</c:v>
                </c:pt>
                <c:pt idx="83">
                  <c:v>0.47658625716678382</c:v>
                </c:pt>
                <c:pt idx="84">
                  <c:v>-0.53063587719192395</c:v>
                </c:pt>
                <c:pt idx="85">
                  <c:v>0.75009979332393317</c:v>
                </c:pt>
                <c:pt idx="86">
                  <c:v>1.5102927897556424</c:v>
                </c:pt>
                <c:pt idx="87">
                  <c:v>1.5949965145644276</c:v>
                </c:pt>
                <c:pt idx="88">
                  <c:v>-0.34476335714494644</c:v>
                </c:pt>
                <c:pt idx="89">
                  <c:v>0.24077566928143856</c:v>
                </c:pt>
                <c:pt idx="90">
                  <c:v>5.7014984078048947E-2</c:v>
                </c:pt>
                <c:pt idx="91">
                  <c:v>1.0532851860238304</c:v>
                </c:pt>
                <c:pt idx="92">
                  <c:v>-0.54988895660090631</c:v>
                </c:pt>
                <c:pt idx="93">
                  <c:v>1.2775116747856383</c:v>
                </c:pt>
                <c:pt idx="94">
                  <c:v>0.26862350641574617</c:v>
                </c:pt>
                <c:pt idx="95">
                  <c:v>0.56203082670247984</c:v>
                </c:pt>
                <c:pt idx="96">
                  <c:v>-0.11930793901302117</c:v>
                </c:pt>
                <c:pt idx="97">
                  <c:v>0.17419111505573603</c:v>
                </c:pt>
                <c:pt idx="98">
                  <c:v>1.9627626263572604</c:v>
                </c:pt>
                <c:pt idx="99">
                  <c:v>1.0633829746561161</c:v>
                </c:pt>
                <c:pt idx="100">
                  <c:v>-0.88821752898396411</c:v>
                </c:pt>
                <c:pt idx="101">
                  <c:v>0.31289976559793509</c:v>
                </c:pt>
                <c:pt idx="102">
                  <c:v>-0.92615477747493991</c:v>
                </c:pt>
                <c:pt idx="103">
                  <c:v>2.3933395242544435</c:v>
                </c:pt>
                <c:pt idx="104">
                  <c:v>-0.82442392829451228</c:v>
                </c:pt>
                <c:pt idx="105">
                  <c:v>-0.65778978805150601</c:v>
                </c:pt>
                <c:pt idx="106">
                  <c:v>4.7603766314616713E-2</c:v>
                </c:pt>
                <c:pt idx="107">
                  <c:v>-0.89720243198810468</c:v>
                </c:pt>
                <c:pt idx="108">
                  <c:v>0.38439486705956183</c:v>
                </c:pt>
                <c:pt idx="109">
                  <c:v>1.0117445651302706</c:v>
                </c:pt>
                <c:pt idx="110">
                  <c:v>-1.2298654390701624</c:v>
                </c:pt>
                <c:pt idx="111">
                  <c:v>0.60468732904558187</c:v>
                </c:pt>
                <c:pt idx="112">
                  <c:v>-0.41988871072924394</c:v>
                </c:pt>
                <c:pt idx="113">
                  <c:v>0.44837048840172994</c:v>
                </c:pt>
                <c:pt idx="114">
                  <c:v>0.5531214396600761</c:v>
                </c:pt>
                <c:pt idx="115">
                  <c:v>-0.72612295523147719</c:v>
                </c:pt>
                <c:pt idx="116">
                  <c:v>0.47543323048291819</c:v>
                </c:pt>
                <c:pt idx="117">
                  <c:v>-1.4319204589846788</c:v>
                </c:pt>
                <c:pt idx="118">
                  <c:v>8.5518944406670627E-3</c:v>
                </c:pt>
                <c:pt idx="119">
                  <c:v>0.36843157691962469</c:v>
                </c:pt>
                <c:pt idx="120">
                  <c:v>0.4041715828839193</c:v>
                </c:pt>
                <c:pt idx="121">
                  <c:v>0.87978766718268675</c:v>
                </c:pt>
                <c:pt idx="122">
                  <c:v>1.4689820378496095</c:v>
                </c:pt>
                <c:pt idx="123">
                  <c:v>0.269456788339133</c:v>
                </c:pt>
                <c:pt idx="124">
                  <c:v>0.25037178488913692</c:v>
                </c:pt>
                <c:pt idx="125">
                  <c:v>0.62300212256953047</c:v>
                </c:pt>
                <c:pt idx="126">
                  <c:v>-0.33037223021743733</c:v>
                </c:pt>
                <c:pt idx="127">
                  <c:v>-0.70417967092608968</c:v>
                </c:pt>
                <c:pt idx="128">
                  <c:v>-0.83347875541932759</c:v>
                </c:pt>
                <c:pt idx="129">
                  <c:v>0.58980937098396702</c:v>
                </c:pt>
                <c:pt idx="130">
                  <c:v>1.1766383094545878</c:v>
                </c:pt>
                <c:pt idx="131">
                  <c:v>-0.74080208033055095</c:v>
                </c:pt>
                <c:pt idx="132">
                  <c:v>1.7308720988835562</c:v>
                </c:pt>
                <c:pt idx="133">
                  <c:v>-1.2255122774612652</c:v>
                </c:pt>
                <c:pt idx="134">
                  <c:v>-1.7207757188001618</c:v>
                </c:pt>
                <c:pt idx="135">
                  <c:v>-1.1328592841990579</c:v>
                </c:pt>
                <c:pt idx="136">
                  <c:v>1.7216937168419495</c:v>
                </c:pt>
                <c:pt idx="137">
                  <c:v>0.18575356661065978</c:v>
                </c:pt>
                <c:pt idx="138">
                  <c:v>1.6496640452126794</c:v>
                </c:pt>
                <c:pt idx="139">
                  <c:v>-0.24813059092018086</c:v>
                </c:pt>
                <c:pt idx="140">
                  <c:v>0.67749619424309149</c:v>
                </c:pt>
                <c:pt idx="141">
                  <c:v>1.5780005615384536</c:v>
                </c:pt>
                <c:pt idx="142">
                  <c:v>-0.11015949533099929</c:v>
                </c:pt>
                <c:pt idx="143">
                  <c:v>5.4896521506806129E-2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419-0140-BBCF-3A15B95F87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0370416"/>
        <c:axId val="1091485872"/>
      </c:scatterChart>
      <c:valAx>
        <c:axId val="1120370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IG Credit Spread (%)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1091485872"/>
        <c:crosses val="autoZero"/>
        <c:crossBetween val="midCat"/>
      </c:valAx>
      <c:valAx>
        <c:axId val="10914858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20370416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IG Credit Spread (%)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Asset Returns (%)</c:v>
          </c:tx>
          <c:spPr>
            <a:ln w="19050">
              <a:noFill/>
            </a:ln>
          </c:spPr>
          <c:xVal>
            <c:numRef>
              <c:f>Data!$W$2:$W$145</c:f>
              <c:numCache>
                <c:formatCode>0.0000</c:formatCode>
                <c:ptCount val="144"/>
                <c:pt idx="0">
                  <c:v>-5.1387194346069833</c:v>
                </c:pt>
                <c:pt idx="1">
                  <c:v>2.3484491421995508</c:v>
                </c:pt>
                <c:pt idx="2">
                  <c:v>-0.92319478819390199</c:v>
                </c:pt>
                <c:pt idx="3">
                  <c:v>0.82434767702086331</c:v>
                </c:pt>
                <c:pt idx="4">
                  <c:v>2.0252115715454142</c:v>
                </c:pt>
                <c:pt idx="5">
                  <c:v>-1.4083021680096535</c:v>
                </c:pt>
                <c:pt idx="6">
                  <c:v>-0.89531690384682072</c:v>
                </c:pt>
                <c:pt idx="7">
                  <c:v>2.0846292055168538</c:v>
                </c:pt>
                <c:pt idx="8">
                  <c:v>0.18815829103602541</c:v>
                </c:pt>
                <c:pt idx="9">
                  <c:v>-0.30403984882426438</c:v>
                </c:pt>
                <c:pt idx="10">
                  <c:v>1.2224064307019109</c:v>
                </c:pt>
                <c:pt idx="11">
                  <c:v>1.1188106566869516</c:v>
                </c:pt>
                <c:pt idx="12">
                  <c:v>-0.39386738542473537</c:v>
                </c:pt>
                <c:pt idx="13">
                  <c:v>0.23199314515441699</c:v>
                </c:pt>
                <c:pt idx="14">
                  <c:v>3.0510319131719719</c:v>
                </c:pt>
                <c:pt idx="15">
                  <c:v>-0.57569475557887417</c:v>
                </c:pt>
                <c:pt idx="16">
                  <c:v>0.34508593485068878</c:v>
                </c:pt>
                <c:pt idx="17">
                  <c:v>2.4668637873530348</c:v>
                </c:pt>
                <c:pt idx="18">
                  <c:v>1.3828982966028573</c:v>
                </c:pt>
                <c:pt idx="19">
                  <c:v>5.9348906527047323</c:v>
                </c:pt>
                <c:pt idx="20">
                  <c:v>-3.7396932352934624</c:v>
                </c:pt>
                <c:pt idx="21">
                  <c:v>1.0994857308880885</c:v>
                </c:pt>
                <c:pt idx="22">
                  <c:v>-2.3264834455409638</c:v>
                </c:pt>
                <c:pt idx="23">
                  <c:v>0.27399978476401698</c:v>
                </c:pt>
                <c:pt idx="24">
                  <c:v>-3.7708043023703515</c:v>
                </c:pt>
                <c:pt idx="25">
                  <c:v>2.4312561086316236</c:v>
                </c:pt>
                <c:pt idx="26">
                  <c:v>-2.163876747359093</c:v>
                </c:pt>
                <c:pt idx="27">
                  <c:v>0.5025858772171532</c:v>
                </c:pt>
                <c:pt idx="28">
                  <c:v>1.5012701524955124E-2</c:v>
                </c:pt>
                <c:pt idx="29">
                  <c:v>2.0734306549589543</c:v>
                </c:pt>
                <c:pt idx="30">
                  <c:v>-1.4165022256805997</c:v>
                </c:pt>
                <c:pt idx="31">
                  <c:v>0.66815720708482551</c:v>
                </c:pt>
                <c:pt idx="32">
                  <c:v>-0.80775400785913054</c:v>
                </c:pt>
                <c:pt idx="33">
                  <c:v>3.5954167685518694</c:v>
                </c:pt>
                <c:pt idx="34">
                  <c:v>0.91190414214845739</c:v>
                </c:pt>
                <c:pt idx="35">
                  <c:v>0.85468808124803441</c:v>
                </c:pt>
                <c:pt idx="36">
                  <c:v>3.5664770305249829</c:v>
                </c:pt>
                <c:pt idx="37">
                  <c:v>5.0465169683722939</c:v>
                </c:pt>
                <c:pt idx="38">
                  <c:v>3.4210472846484357</c:v>
                </c:pt>
                <c:pt idx="39">
                  <c:v>-1.9050206096671818</c:v>
                </c:pt>
                <c:pt idx="40">
                  <c:v>-4.4556526959210885</c:v>
                </c:pt>
                <c:pt idx="41">
                  <c:v>-1.6600067055434231</c:v>
                </c:pt>
                <c:pt idx="42">
                  <c:v>2.9503559863160107</c:v>
                </c:pt>
                <c:pt idx="43">
                  <c:v>-1.5202579266307075</c:v>
                </c:pt>
                <c:pt idx="44">
                  <c:v>2.6350509941130018</c:v>
                </c:pt>
                <c:pt idx="45">
                  <c:v>-0.17390455263532517</c:v>
                </c:pt>
                <c:pt idx="46">
                  <c:v>0.72625925846252182</c:v>
                </c:pt>
                <c:pt idx="47">
                  <c:v>1.5534992085354618</c:v>
                </c:pt>
                <c:pt idx="48">
                  <c:v>-1.3128763768352263</c:v>
                </c:pt>
                <c:pt idx="49">
                  <c:v>1.0235515044919676</c:v>
                </c:pt>
                <c:pt idx="50">
                  <c:v>0.87915557139737288</c:v>
                </c:pt>
                <c:pt idx="51">
                  <c:v>-2.0519560737810645</c:v>
                </c:pt>
                <c:pt idx="52">
                  <c:v>0.34628136161819018</c:v>
                </c:pt>
                <c:pt idx="53">
                  <c:v>-0.35419358995709715</c:v>
                </c:pt>
                <c:pt idx="54">
                  <c:v>1.858001601839639</c:v>
                </c:pt>
                <c:pt idx="55">
                  <c:v>-0.8877688063153264</c:v>
                </c:pt>
                <c:pt idx="56">
                  <c:v>-1.3769514272096248</c:v>
                </c:pt>
                <c:pt idx="57">
                  <c:v>0.20136749777207796</c:v>
                </c:pt>
                <c:pt idx="58">
                  <c:v>0.12731740286215751</c:v>
                </c:pt>
                <c:pt idx="59">
                  <c:v>-0.371473926792939</c:v>
                </c:pt>
                <c:pt idx="60">
                  <c:v>-0.41320150136606915</c:v>
                </c:pt>
                <c:pt idx="61">
                  <c:v>0.2551971584802315</c:v>
                </c:pt>
                <c:pt idx="62">
                  <c:v>0.54532839444733927</c:v>
                </c:pt>
                <c:pt idx="63">
                  <c:v>-1.1987084485525838</c:v>
                </c:pt>
                <c:pt idx="64">
                  <c:v>0.20365796077345244</c:v>
                </c:pt>
                <c:pt idx="65">
                  <c:v>-2.1905269483508447</c:v>
                </c:pt>
                <c:pt idx="66">
                  <c:v>1.357859374712971</c:v>
                </c:pt>
                <c:pt idx="67">
                  <c:v>1.0678641457547986</c:v>
                </c:pt>
                <c:pt idx="68">
                  <c:v>-4.062169850005945E-3</c:v>
                </c:pt>
                <c:pt idx="69">
                  <c:v>-0.25340601070870289</c:v>
                </c:pt>
                <c:pt idx="70">
                  <c:v>-0.20371933742089599</c:v>
                </c:pt>
                <c:pt idx="71">
                  <c:v>-6.8036926882462212E-2</c:v>
                </c:pt>
                <c:pt idx="72">
                  <c:v>3.0998066900760599</c:v>
                </c:pt>
                <c:pt idx="73">
                  <c:v>-1.5756409548922983</c:v>
                </c:pt>
                <c:pt idx="74">
                  <c:v>-6.5893968100260576</c:v>
                </c:pt>
                <c:pt idx="75">
                  <c:v>7.3665586735762902</c:v>
                </c:pt>
                <c:pt idx="76">
                  <c:v>1.0916617932992878</c:v>
                </c:pt>
                <c:pt idx="77">
                  <c:v>1.0163751457846373</c:v>
                </c:pt>
                <c:pt idx="78">
                  <c:v>2.1435700279400138</c:v>
                </c:pt>
                <c:pt idx="79">
                  <c:v>-1.204767361587278</c:v>
                </c:pt>
                <c:pt idx="80">
                  <c:v>-1.9469169716171044E-3</c:v>
                </c:pt>
                <c:pt idx="81">
                  <c:v>0.28979934223811843</c:v>
                </c:pt>
                <c:pt idx="82">
                  <c:v>2.3639052440224098</c:v>
                </c:pt>
                <c:pt idx="83">
                  <c:v>1.5490140567033936</c:v>
                </c:pt>
                <c:pt idx="84">
                  <c:v>-1.6477775578392471</c:v>
                </c:pt>
                <c:pt idx="85">
                  <c:v>-3.4798493915758022</c:v>
                </c:pt>
                <c:pt idx="86">
                  <c:v>1.7190145145590065E-2</c:v>
                </c:pt>
                <c:pt idx="87">
                  <c:v>0.3804319559628988</c:v>
                </c:pt>
                <c:pt idx="88">
                  <c:v>0.31001431749484604</c:v>
                </c:pt>
                <c:pt idx="89">
                  <c:v>0.85502216530240871</c:v>
                </c:pt>
                <c:pt idx="90">
                  <c:v>1.6132309956574875</c:v>
                </c:pt>
                <c:pt idx="91">
                  <c:v>-0.22870458134476115</c:v>
                </c:pt>
                <c:pt idx="92">
                  <c:v>-2.8087660797989829</c:v>
                </c:pt>
                <c:pt idx="93">
                  <c:v>0.69722145982741013</c:v>
                </c:pt>
                <c:pt idx="94">
                  <c:v>0.99547551042253035</c:v>
                </c:pt>
                <c:pt idx="95">
                  <c:v>-1.12353903746557</c:v>
                </c:pt>
                <c:pt idx="96">
                  <c:v>-4.0342794589013895</c:v>
                </c:pt>
                <c:pt idx="97">
                  <c:v>-3.1651689144312303</c:v>
                </c:pt>
                <c:pt idx="98">
                  <c:v>0.13326767049501004</c:v>
                </c:pt>
                <c:pt idx="99">
                  <c:v>-3.8653528730622675</c:v>
                </c:pt>
                <c:pt idx="100">
                  <c:v>-1.556403524525015</c:v>
                </c:pt>
                <c:pt idx="101">
                  <c:v>-3.4565692008015478</c:v>
                </c:pt>
                <c:pt idx="102">
                  <c:v>4.373127894277208</c:v>
                </c:pt>
                <c:pt idx="103">
                  <c:v>-8.1411935429504894</c:v>
                </c:pt>
                <c:pt idx="104">
                  <c:v>-9.1415438687040886</c:v>
                </c:pt>
                <c:pt idx="105">
                  <c:v>4.9981561061963475</c:v>
                </c:pt>
                <c:pt idx="106">
                  <c:v>3.7315693621188237</c:v>
                </c:pt>
                <c:pt idx="107">
                  <c:v>-1.6930601373866518</c:v>
                </c:pt>
                <c:pt idx="108">
                  <c:v>3.2693974797429637</c:v>
                </c:pt>
                <c:pt idx="109">
                  <c:v>-3.4044713219137206</c:v>
                </c:pt>
                <c:pt idx="110">
                  <c:v>1.1229372544900045</c:v>
                </c:pt>
                <c:pt idx="111">
                  <c:v>-4.5251950847142508E-2</c:v>
                </c:pt>
                <c:pt idx="112">
                  <c:v>-3.2207902839867755</c:v>
                </c:pt>
                <c:pt idx="113">
                  <c:v>-1.5304704600210068</c:v>
                </c:pt>
                <c:pt idx="114">
                  <c:v>2.0217015238879137</c:v>
                </c:pt>
                <c:pt idx="115">
                  <c:v>-0.73548575994241516</c:v>
                </c:pt>
                <c:pt idx="116">
                  <c:v>-0.41335762746622851</c:v>
                </c:pt>
                <c:pt idx="117">
                  <c:v>-0.46656124638286833</c:v>
                </c:pt>
                <c:pt idx="118">
                  <c:v>3.4138089910941942</c:v>
                </c:pt>
                <c:pt idx="119">
                  <c:v>4.4012225363925044</c:v>
                </c:pt>
                <c:pt idx="120">
                  <c:v>-1.5196917747234271</c:v>
                </c:pt>
                <c:pt idx="121">
                  <c:v>-1.062073375074631</c:v>
                </c:pt>
                <c:pt idx="122">
                  <c:v>1.477489362217179</c:v>
                </c:pt>
                <c:pt idx="123">
                  <c:v>-2.3781283099238917</c:v>
                </c:pt>
                <c:pt idx="124">
                  <c:v>0.47811004572060589</c:v>
                </c:pt>
                <c:pt idx="125">
                  <c:v>0.44551959930867541</c:v>
                </c:pt>
                <c:pt idx="126">
                  <c:v>1.3614075313738643</c:v>
                </c:pt>
                <c:pt idx="127">
                  <c:v>-7.7650136808625758E-3</c:v>
                </c:pt>
                <c:pt idx="128">
                  <c:v>-0.12972116439056908</c:v>
                </c:pt>
                <c:pt idx="129">
                  <c:v>-1.6695833580904584</c:v>
                </c:pt>
                <c:pt idx="130">
                  <c:v>1.4530967525660716</c:v>
                </c:pt>
                <c:pt idx="131">
                  <c:v>-0.78143310266141697</c:v>
                </c:pt>
                <c:pt idx="132">
                  <c:v>0.34908255979636738</c:v>
                </c:pt>
                <c:pt idx="133">
                  <c:v>0.13535969057984193</c:v>
                </c:pt>
                <c:pt idx="134">
                  <c:v>-1.8716624465378884</c:v>
                </c:pt>
                <c:pt idx="135">
                  <c:v>1.2656565827966442</c:v>
                </c:pt>
                <c:pt idx="136">
                  <c:v>-0.42014204580768427</c:v>
                </c:pt>
                <c:pt idx="137">
                  <c:v>1.4055246320234833</c:v>
                </c:pt>
                <c:pt idx="138">
                  <c:v>-2.3798636141916241E-2</c:v>
                </c:pt>
                <c:pt idx="139">
                  <c:v>-0.94564972218921284</c:v>
                </c:pt>
                <c:pt idx="140">
                  <c:v>0.73546966098117694</c:v>
                </c:pt>
                <c:pt idx="141">
                  <c:v>1.7116922764778253</c:v>
                </c:pt>
                <c:pt idx="142">
                  <c:v>-0.26362362275971585</c:v>
                </c:pt>
                <c:pt idx="143">
                  <c:v>0.22777557059858333</c:v>
                </c:pt>
              </c:numCache>
            </c:numRef>
          </c:xVal>
          <c:yVal>
            <c:numRef>
              <c:f>Data!$O$2:$O$145</c:f>
              <c:numCache>
                <c:formatCode>0.0000</c:formatCode>
                <c:ptCount val="144"/>
                <c:pt idx="0">
                  <c:v>-3.1231512210139143</c:v>
                </c:pt>
                <c:pt idx="1">
                  <c:v>3.4388141552305238</c:v>
                </c:pt>
                <c:pt idx="2">
                  <c:v>-1.8423176925388944</c:v>
                </c:pt>
                <c:pt idx="3">
                  <c:v>0.76476526172699799</c:v>
                </c:pt>
                <c:pt idx="4">
                  <c:v>2.8438546235537174</c:v>
                </c:pt>
                <c:pt idx="5">
                  <c:v>-0.40587403799491967</c:v>
                </c:pt>
                <c:pt idx="6">
                  <c:v>0.39463790345239053</c:v>
                </c:pt>
                <c:pt idx="7">
                  <c:v>-0.84486748191592764</c:v>
                </c:pt>
                <c:pt idx="8">
                  <c:v>2.1320616401803507</c:v>
                </c:pt>
                <c:pt idx="9">
                  <c:v>-0.42414010254649709</c:v>
                </c:pt>
                <c:pt idx="10">
                  <c:v>0.74520035393408268</c:v>
                </c:pt>
                <c:pt idx="11">
                  <c:v>1.3893836371301047</c:v>
                </c:pt>
                <c:pt idx="12">
                  <c:v>-0.15960421366991845</c:v>
                </c:pt>
                <c:pt idx="13">
                  <c:v>2.1744398396726858E-3</c:v>
                </c:pt>
                <c:pt idx="14">
                  <c:v>2.1528110708148573</c:v>
                </c:pt>
                <c:pt idx="15">
                  <c:v>-0.63321922178810008</c:v>
                </c:pt>
                <c:pt idx="16">
                  <c:v>0.54311279831289316</c:v>
                </c:pt>
                <c:pt idx="17">
                  <c:v>2.6535892327475388</c:v>
                </c:pt>
                <c:pt idx="18">
                  <c:v>-0.18651939975316809</c:v>
                </c:pt>
                <c:pt idx="19">
                  <c:v>2.4047017706743326</c:v>
                </c:pt>
                <c:pt idx="20">
                  <c:v>0.8220675256694463</c:v>
                </c:pt>
                <c:pt idx="21">
                  <c:v>0.79790760681101336</c:v>
                </c:pt>
                <c:pt idx="22">
                  <c:v>-0.23417506109101072</c:v>
                </c:pt>
                <c:pt idx="23">
                  <c:v>0.44906329589973976</c:v>
                </c:pt>
                <c:pt idx="24">
                  <c:v>-3.3442885744124804</c:v>
                </c:pt>
                <c:pt idx="25">
                  <c:v>1.9551601207275044</c:v>
                </c:pt>
                <c:pt idx="26">
                  <c:v>-2.9682787226250409</c:v>
                </c:pt>
                <c:pt idx="27">
                  <c:v>-0.94912629185626851</c:v>
                </c:pt>
                <c:pt idx="28">
                  <c:v>2.683391280512204</c:v>
                </c:pt>
                <c:pt idx="29">
                  <c:v>1.084910181769061</c:v>
                </c:pt>
                <c:pt idx="30">
                  <c:v>-0.60205936122706527</c:v>
                </c:pt>
                <c:pt idx="31">
                  <c:v>-1.3845334693391671</c:v>
                </c:pt>
                <c:pt idx="32">
                  <c:v>0.51269214936388086</c:v>
                </c:pt>
                <c:pt idx="33">
                  <c:v>2.1127325139720563</c:v>
                </c:pt>
                <c:pt idx="34">
                  <c:v>0.44664249623499269</c:v>
                </c:pt>
                <c:pt idx="35">
                  <c:v>0.80909571022157933</c:v>
                </c:pt>
                <c:pt idx="36">
                  <c:v>3.3950819422879635</c:v>
                </c:pt>
                <c:pt idx="37">
                  <c:v>3.1095108983661892</c:v>
                </c:pt>
                <c:pt idx="38">
                  <c:v>1.5752476292840976</c:v>
                </c:pt>
                <c:pt idx="39">
                  <c:v>0.3941440510082177</c:v>
                </c:pt>
                <c:pt idx="40">
                  <c:v>0.29248739326307094</c:v>
                </c:pt>
                <c:pt idx="41">
                  <c:v>-0.93339874585644023</c:v>
                </c:pt>
                <c:pt idx="42">
                  <c:v>2.8609360739223297</c:v>
                </c:pt>
                <c:pt idx="43">
                  <c:v>-0.44945692130845749</c:v>
                </c:pt>
                <c:pt idx="44">
                  <c:v>2.5257042870557784</c:v>
                </c:pt>
                <c:pt idx="45">
                  <c:v>0.32195109833132546</c:v>
                </c:pt>
                <c:pt idx="46">
                  <c:v>-0.38364685529762182</c:v>
                </c:pt>
                <c:pt idx="47">
                  <c:v>1.8101887790863302</c:v>
                </c:pt>
                <c:pt idx="48">
                  <c:v>-0.8739297602339734</c:v>
                </c:pt>
                <c:pt idx="49">
                  <c:v>0.77913542886387466</c:v>
                </c:pt>
                <c:pt idx="50">
                  <c:v>1.1252408849651883</c:v>
                </c:pt>
                <c:pt idx="51">
                  <c:v>-1.0801430002995103</c:v>
                </c:pt>
                <c:pt idx="52">
                  <c:v>1.2933080083597004</c:v>
                </c:pt>
                <c:pt idx="53">
                  <c:v>-0.34952011853591453</c:v>
                </c:pt>
                <c:pt idx="54">
                  <c:v>2.1937669383125291</c:v>
                </c:pt>
                <c:pt idx="55">
                  <c:v>-0.70844610563042631</c:v>
                </c:pt>
                <c:pt idx="56">
                  <c:v>-1.1425691586862545</c:v>
                </c:pt>
                <c:pt idx="57">
                  <c:v>-1.4912303020014905</c:v>
                </c:pt>
                <c:pt idx="58">
                  <c:v>2.4711222871909655</c:v>
                </c:pt>
                <c:pt idx="59">
                  <c:v>1.5632378548125487</c:v>
                </c:pt>
                <c:pt idx="60">
                  <c:v>0.17050584189129772</c:v>
                </c:pt>
                <c:pt idx="61">
                  <c:v>1.3282751471537555</c:v>
                </c:pt>
                <c:pt idx="62">
                  <c:v>1.3361896540353232E-2</c:v>
                </c:pt>
                <c:pt idx="63">
                  <c:v>4.5162099813618559E-2</c:v>
                </c:pt>
                <c:pt idx="64">
                  <c:v>-2.5280472836281653</c:v>
                </c:pt>
                <c:pt idx="65">
                  <c:v>-0.85098504001589137</c:v>
                </c:pt>
                <c:pt idx="66">
                  <c:v>-2.5046976641667626</c:v>
                </c:pt>
                <c:pt idx="67">
                  <c:v>-1.2793531068196276</c:v>
                </c:pt>
                <c:pt idx="68">
                  <c:v>1.3201728926043841</c:v>
                </c:pt>
                <c:pt idx="69">
                  <c:v>-0.83998798555617005</c:v>
                </c:pt>
                <c:pt idx="70">
                  <c:v>1.3072997744824202</c:v>
                </c:pt>
                <c:pt idx="71">
                  <c:v>0.79930043255834871</c:v>
                </c:pt>
                <c:pt idx="72">
                  <c:v>-2.1093949631446327E-2</c:v>
                </c:pt>
                <c:pt idx="73">
                  <c:v>-4.1526948243374111</c:v>
                </c:pt>
                <c:pt idx="74">
                  <c:v>-7.0047284893671877</c:v>
                </c:pt>
                <c:pt idx="75">
                  <c:v>4.5018822436456931</c:v>
                </c:pt>
                <c:pt idx="76">
                  <c:v>2.7070180675265525</c:v>
                </c:pt>
                <c:pt idx="77">
                  <c:v>1.4570599695124704</c:v>
                </c:pt>
                <c:pt idx="78">
                  <c:v>-0.45287219230992509</c:v>
                </c:pt>
                <c:pt idx="79">
                  <c:v>1.4746501612318974</c:v>
                </c:pt>
                <c:pt idx="80">
                  <c:v>-0.32059917407416511</c:v>
                </c:pt>
                <c:pt idx="81">
                  <c:v>-1.9001782009329338</c:v>
                </c:pt>
                <c:pt idx="82">
                  <c:v>5.5867022964527608</c:v>
                </c:pt>
                <c:pt idx="83">
                  <c:v>1.8519535193189707</c:v>
                </c:pt>
                <c:pt idx="84">
                  <c:v>-0.72114034769675106</c:v>
                </c:pt>
                <c:pt idx="85">
                  <c:v>-2.8872892422191813E-2</c:v>
                </c:pt>
                <c:pt idx="86">
                  <c:v>2.1554149374730458</c:v>
                </c:pt>
                <c:pt idx="87">
                  <c:v>2.3109716137805942</c:v>
                </c:pt>
                <c:pt idx="88">
                  <c:v>0.25176219913533959</c:v>
                </c:pt>
                <c:pt idx="89">
                  <c:v>1.1935119946777377</c:v>
                </c:pt>
                <c:pt idx="90">
                  <c:v>1.088562294937061</c:v>
                </c:pt>
                <c:pt idx="91">
                  <c:v>1.4799167353491935</c:v>
                </c:pt>
                <c:pt idx="92">
                  <c:v>-1.3312319193447704</c:v>
                </c:pt>
                <c:pt idx="93">
                  <c:v>1.7130121087748451</c:v>
                </c:pt>
                <c:pt idx="94">
                  <c:v>0.3416951439283733</c:v>
                </c:pt>
                <c:pt idx="95">
                  <c:v>1.3592930931331151</c:v>
                </c:pt>
                <c:pt idx="96">
                  <c:v>-2.2568118607420633</c:v>
                </c:pt>
                <c:pt idx="97">
                  <c:v>-1.1072210028407516</c:v>
                </c:pt>
                <c:pt idx="98">
                  <c:v>1.9965489332311821</c:v>
                </c:pt>
                <c:pt idx="99">
                  <c:v>-1.7163787658669345</c:v>
                </c:pt>
                <c:pt idx="100">
                  <c:v>-0.82038765576752415</c:v>
                </c:pt>
                <c:pt idx="101">
                  <c:v>-3.6875242113072275</c:v>
                </c:pt>
                <c:pt idx="102">
                  <c:v>3.8214888861569447</c:v>
                </c:pt>
                <c:pt idx="103">
                  <c:v>-1.8267949190726551</c:v>
                </c:pt>
                <c:pt idx="104">
                  <c:v>-4.6868598995851904</c:v>
                </c:pt>
                <c:pt idx="105">
                  <c:v>2.2441569439350513</c:v>
                </c:pt>
                <c:pt idx="106">
                  <c:v>2.5198681337412903</c:v>
                </c:pt>
                <c:pt idx="107">
                  <c:v>-1.3850399013585131</c:v>
                </c:pt>
                <c:pt idx="108">
                  <c:v>3.0698713827378343</c:v>
                </c:pt>
                <c:pt idx="109">
                  <c:v>-0.16023377056929605</c:v>
                </c:pt>
                <c:pt idx="110">
                  <c:v>-0.25809067214290327</c:v>
                </c:pt>
                <c:pt idx="111">
                  <c:v>0.94080499762717185</c:v>
                </c:pt>
                <c:pt idx="112">
                  <c:v>-1.4816122688402813</c:v>
                </c:pt>
                <c:pt idx="113">
                  <c:v>0.76715041455256716</c:v>
                </c:pt>
                <c:pt idx="114">
                  <c:v>1.9636320377819911</c:v>
                </c:pt>
                <c:pt idx="115">
                  <c:v>-0.62523746935851443</c:v>
                </c:pt>
                <c:pt idx="116">
                  <c:v>0.27937046819359035</c:v>
                </c:pt>
                <c:pt idx="117">
                  <c:v>-1.7024670003016547</c:v>
                </c:pt>
                <c:pt idx="118">
                  <c:v>3.1666873562985165</c:v>
                </c:pt>
                <c:pt idx="119">
                  <c:v>3.580071379617352</c:v>
                </c:pt>
                <c:pt idx="120">
                  <c:v>5.5182858323510636E-2</c:v>
                </c:pt>
                <c:pt idx="121">
                  <c:v>0.8173714702258239</c:v>
                </c:pt>
                <c:pt idx="122">
                  <c:v>2.5343167951715437</c:v>
                </c:pt>
                <c:pt idx="123">
                  <c:v>-0.49649597275839152</c:v>
                </c:pt>
                <c:pt idx="124">
                  <c:v>1.1573512190828252</c:v>
                </c:pt>
                <c:pt idx="125">
                  <c:v>1.1607317321410837</c:v>
                </c:pt>
                <c:pt idx="126">
                  <c:v>0.98384974618307341</c:v>
                </c:pt>
                <c:pt idx="127">
                  <c:v>0.20128346879376346</c:v>
                </c:pt>
                <c:pt idx="128">
                  <c:v>6.2862567183433013E-2</c:v>
                </c:pt>
                <c:pt idx="129">
                  <c:v>1.5244628300109645E-2</c:v>
                </c:pt>
                <c:pt idx="130">
                  <c:v>2.5118747000438195</c:v>
                </c:pt>
                <c:pt idx="131">
                  <c:v>-0.73047275946122014</c:v>
                </c:pt>
                <c:pt idx="132">
                  <c:v>2.664630651168546</c:v>
                </c:pt>
                <c:pt idx="133">
                  <c:v>-0.63980558944311527</c:v>
                </c:pt>
                <c:pt idx="134">
                  <c:v>-2.5680570998352561</c:v>
                </c:pt>
                <c:pt idx="135">
                  <c:v>-0.12574664360828455</c:v>
                </c:pt>
                <c:pt idx="136">
                  <c:v>2.3878145236429944</c:v>
                </c:pt>
                <c:pt idx="137">
                  <c:v>1.3006576888791135</c:v>
                </c:pt>
                <c:pt idx="138">
                  <c:v>2.3644571963769208</c:v>
                </c:pt>
                <c:pt idx="139">
                  <c:v>-3.7635693365227305E-2</c:v>
                </c:pt>
                <c:pt idx="140">
                  <c:v>1.5120608050198472</c:v>
                </c:pt>
                <c:pt idx="141">
                  <c:v>2.6303236664701828</c:v>
                </c:pt>
                <c:pt idx="142">
                  <c:v>6.4450144874432388E-2</c:v>
                </c:pt>
                <c:pt idx="143">
                  <c:v>0.64991632276644051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B8-0644-A600-1B4FAEC4283A}"/>
            </c:ext>
          </c:extLst>
        </c:ser>
        <c:ser>
          <c:idx val="1"/>
          <c:order val="1"/>
          <c:tx>
            <c:v>Predicted Asset Returns (%)</c:v>
          </c:tx>
          <c:spPr>
            <a:ln w="19050">
              <a:noFill/>
            </a:ln>
          </c:spPr>
          <c:xVal>
            <c:numRef>
              <c:f>Data!$W$2:$W$145</c:f>
              <c:numCache>
                <c:formatCode>0.0000</c:formatCode>
                <c:ptCount val="144"/>
                <c:pt idx="0">
                  <c:v>-5.1387194346069833</c:v>
                </c:pt>
                <c:pt idx="1">
                  <c:v>2.3484491421995508</c:v>
                </c:pt>
                <c:pt idx="2">
                  <c:v>-0.92319478819390199</c:v>
                </c:pt>
                <c:pt idx="3">
                  <c:v>0.82434767702086331</c:v>
                </c:pt>
                <c:pt idx="4">
                  <c:v>2.0252115715454142</c:v>
                </c:pt>
                <c:pt idx="5">
                  <c:v>-1.4083021680096535</c:v>
                </c:pt>
                <c:pt idx="6">
                  <c:v>-0.89531690384682072</c:v>
                </c:pt>
                <c:pt idx="7">
                  <c:v>2.0846292055168538</c:v>
                </c:pt>
                <c:pt idx="8">
                  <c:v>0.18815829103602541</c:v>
                </c:pt>
                <c:pt idx="9">
                  <c:v>-0.30403984882426438</c:v>
                </c:pt>
                <c:pt idx="10">
                  <c:v>1.2224064307019109</c:v>
                </c:pt>
                <c:pt idx="11">
                  <c:v>1.1188106566869516</c:v>
                </c:pt>
                <c:pt idx="12">
                  <c:v>-0.39386738542473537</c:v>
                </c:pt>
                <c:pt idx="13">
                  <c:v>0.23199314515441699</c:v>
                </c:pt>
                <c:pt idx="14">
                  <c:v>3.0510319131719719</c:v>
                </c:pt>
                <c:pt idx="15">
                  <c:v>-0.57569475557887417</c:v>
                </c:pt>
                <c:pt idx="16">
                  <c:v>0.34508593485068878</c:v>
                </c:pt>
                <c:pt idx="17">
                  <c:v>2.4668637873530348</c:v>
                </c:pt>
                <c:pt idx="18">
                  <c:v>1.3828982966028573</c:v>
                </c:pt>
                <c:pt idx="19">
                  <c:v>5.9348906527047323</c:v>
                </c:pt>
                <c:pt idx="20">
                  <c:v>-3.7396932352934624</c:v>
                </c:pt>
                <c:pt idx="21">
                  <c:v>1.0994857308880885</c:v>
                </c:pt>
                <c:pt idx="22">
                  <c:v>-2.3264834455409638</c:v>
                </c:pt>
                <c:pt idx="23">
                  <c:v>0.27399978476401698</c:v>
                </c:pt>
                <c:pt idx="24">
                  <c:v>-3.7708043023703515</c:v>
                </c:pt>
                <c:pt idx="25">
                  <c:v>2.4312561086316236</c:v>
                </c:pt>
                <c:pt idx="26">
                  <c:v>-2.163876747359093</c:v>
                </c:pt>
                <c:pt idx="27">
                  <c:v>0.5025858772171532</c:v>
                </c:pt>
                <c:pt idx="28">
                  <c:v>1.5012701524955124E-2</c:v>
                </c:pt>
                <c:pt idx="29">
                  <c:v>2.0734306549589543</c:v>
                </c:pt>
                <c:pt idx="30">
                  <c:v>-1.4165022256805997</c:v>
                </c:pt>
                <c:pt idx="31">
                  <c:v>0.66815720708482551</c:v>
                </c:pt>
                <c:pt idx="32">
                  <c:v>-0.80775400785913054</c:v>
                </c:pt>
                <c:pt idx="33">
                  <c:v>3.5954167685518694</c:v>
                </c:pt>
                <c:pt idx="34">
                  <c:v>0.91190414214845739</c:v>
                </c:pt>
                <c:pt idx="35">
                  <c:v>0.85468808124803441</c:v>
                </c:pt>
                <c:pt idx="36">
                  <c:v>3.5664770305249829</c:v>
                </c:pt>
                <c:pt idx="37">
                  <c:v>5.0465169683722939</c:v>
                </c:pt>
                <c:pt idx="38">
                  <c:v>3.4210472846484357</c:v>
                </c:pt>
                <c:pt idx="39">
                  <c:v>-1.9050206096671818</c:v>
                </c:pt>
                <c:pt idx="40">
                  <c:v>-4.4556526959210885</c:v>
                </c:pt>
                <c:pt idx="41">
                  <c:v>-1.6600067055434231</c:v>
                </c:pt>
                <c:pt idx="42">
                  <c:v>2.9503559863160107</c:v>
                </c:pt>
                <c:pt idx="43">
                  <c:v>-1.5202579266307075</c:v>
                </c:pt>
                <c:pt idx="44">
                  <c:v>2.6350509941130018</c:v>
                </c:pt>
                <c:pt idx="45">
                  <c:v>-0.17390455263532517</c:v>
                </c:pt>
                <c:pt idx="46">
                  <c:v>0.72625925846252182</c:v>
                </c:pt>
                <c:pt idx="47">
                  <c:v>1.5534992085354618</c:v>
                </c:pt>
                <c:pt idx="48">
                  <c:v>-1.3128763768352263</c:v>
                </c:pt>
                <c:pt idx="49">
                  <c:v>1.0235515044919676</c:v>
                </c:pt>
                <c:pt idx="50">
                  <c:v>0.87915557139737288</c:v>
                </c:pt>
                <c:pt idx="51">
                  <c:v>-2.0519560737810645</c:v>
                </c:pt>
                <c:pt idx="52">
                  <c:v>0.34628136161819018</c:v>
                </c:pt>
                <c:pt idx="53">
                  <c:v>-0.35419358995709715</c:v>
                </c:pt>
                <c:pt idx="54">
                  <c:v>1.858001601839639</c:v>
                </c:pt>
                <c:pt idx="55">
                  <c:v>-0.8877688063153264</c:v>
                </c:pt>
                <c:pt idx="56">
                  <c:v>-1.3769514272096248</c:v>
                </c:pt>
                <c:pt idx="57">
                  <c:v>0.20136749777207796</c:v>
                </c:pt>
                <c:pt idx="58">
                  <c:v>0.12731740286215751</c:v>
                </c:pt>
                <c:pt idx="59">
                  <c:v>-0.371473926792939</c:v>
                </c:pt>
                <c:pt idx="60">
                  <c:v>-0.41320150136606915</c:v>
                </c:pt>
                <c:pt idx="61">
                  <c:v>0.2551971584802315</c:v>
                </c:pt>
                <c:pt idx="62">
                  <c:v>0.54532839444733927</c:v>
                </c:pt>
                <c:pt idx="63">
                  <c:v>-1.1987084485525838</c:v>
                </c:pt>
                <c:pt idx="64">
                  <c:v>0.20365796077345244</c:v>
                </c:pt>
                <c:pt idx="65">
                  <c:v>-2.1905269483508447</c:v>
                </c:pt>
                <c:pt idx="66">
                  <c:v>1.357859374712971</c:v>
                </c:pt>
                <c:pt idx="67">
                  <c:v>1.0678641457547986</c:v>
                </c:pt>
                <c:pt idx="68">
                  <c:v>-4.062169850005945E-3</c:v>
                </c:pt>
                <c:pt idx="69">
                  <c:v>-0.25340601070870289</c:v>
                </c:pt>
                <c:pt idx="70">
                  <c:v>-0.20371933742089599</c:v>
                </c:pt>
                <c:pt idx="71">
                  <c:v>-6.8036926882462212E-2</c:v>
                </c:pt>
                <c:pt idx="72">
                  <c:v>3.0998066900760599</c:v>
                </c:pt>
                <c:pt idx="73">
                  <c:v>-1.5756409548922983</c:v>
                </c:pt>
                <c:pt idx="74">
                  <c:v>-6.5893968100260576</c:v>
                </c:pt>
                <c:pt idx="75">
                  <c:v>7.3665586735762902</c:v>
                </c:pt>
                <c:pt idx="76">
                  <c:v>1.0916617932992878</c:v>
                </c:pt>
                <c:pt idx="77">
                  <c:v>1.0163751457846373</c:v>
                </c:pt>
                <c:pt idx="78">
                  <c:v>2.1435700279400138</c:v>
                </c:pt>
                <c:pt idx="79">
                  <c:v>-1.204767361587278</c:v>
                </c:pt>
                <c:pt idx="80">
                  <c:v>-1.9469169716171044E-3</c:v>
                </c:pt>
                <c:pt idx="81">
                  <c:v>0.28979934223811843</c:v>
                </c:pt>
                <c:pt idx="82">
                  <c:v>2.3639052440224098</c:v>
                </c:pt>
                <c:pt idx="83">
                  <c:v>1.5490140567033936</c:v>
                </c:pt>
                <c:pt idx="84">
                  <c:v>-1.6477775578392471</c:v>
                </c:pt>
                <c:pt idx="85">
                  <c:v>-3.4798493915758022</c:v>
                </c:pt>
                <c:pt idx="86">
                  <c:v>1.7190145145590065E-2</c:v>
                </c:pt>
                <c:pt idx="87">
                  <c:v>0.3804319559628988</c:v>
                </c:pt>
                <c:pt idx="88">
                  <c:v>0.31001431749484604</c:v>
                </c:pt>
                <c:pt idx="89">
                  <c:v>0.85502216530240871</c:v>
                </c:pt>
                <c:pt idx="90">
                  <c:v>1.6132309956574875</c:v>
                </c:pt>
                <c:pt idx="91">
                  <c:v>-0.22870458134476115</c:v>
                </c:pt>
                <c:pt idx="92">
                  <c:v>-2.8087660797989829</c:v>
                </c:pt>
                <c:pt idx="93">
                  <c:v>0.69722145982741013</c:v>
                </c:pt>
                <c:pt idx="94">
                  <c:v>0.99547551042253035</c:v>
                </c:pt>
                <c:pt idx="95">
                  <c:v>-1.12353903746557</c:v>
                </c:pt>
                <c:pt idx="96">
                  <c:v>-4.0342794589013895</c:v>
                </c:pt>
                <c:pt idx="97">
                  <c:v>-3.1651689144312303</c:v>
                </c:pt>
                <c:pt idx="98">
                  <c:v>0.13326767049501004</c:v>
                </c:pt>
                <c:pt idx="99">
                  <c:v>-3.8653528730622675</c:v>
                </c:pt>
                <c:pt idx="100">
                  <c:v>-1.556403524525015</c:v>
                </c:pt>
                <c:pt idx="101">
                  <c:v>-3.4565692008015478</c:v>
                </c:pt>
                <c:pt idx="102">
                  <c:v>4.373127894277208</c:v>
                </c:pt>
                <c:pt idx="103">
                  <c:v>-8.1411935429504894</c:v>
                </c:pt>
                <c:pt idx="104">
                  <c:v>-9.1415438687040886</c:v>
                </c:pt>
                <c:pt idx="105">
                  <c:v>4.9981561061963475</c:v>
                </c:pt>
                <c:pt idx="106">
                  <c:v>3.7315693621188237</c:v>
                </c:pt>
                <c:pt idx="107">
                  <c:v>-1.6930601373866518</c:v>
                </c:pt>
                <c:pt idx="108">
                  <c:v>3.2693974797429637</c:v>
                </c:pt>
                <c:pt idx="109">
                  <c:v>-3.4044713219137206</c:v>
                </c:pt>
                <c:pt idx="110">
                  <c:v>1.1229372544900045</c:v>
                </c:pt>
                <c:pt idx="111">
                  <c:v>-4.5251950847142508E-2</c:v>
                </c:pt>
                <c:pt idx="112">
                  <c:v>-3.2207902839867755</c:v>
                </c:pt>
                <c:pt idx="113">
                  <c:v>-1.5304704600210068</c:v>
                </c:pt>
                <c:pt idx="114">
                  <c:v>2.0217015238879137</c:v>
                </c:pt>
                <c:pt idx="115">
                  <c:v>-0.73548575994241516</c:v>
                </c:pt>
                <c:pt idx="116">
                  <c:v>-0.41335762746622851</c:v>
                </c:pt>
                <c:pt idx="117">
                  <c:v>-0.46656124638286833</c:v>
                </c:pt>
                <c:pt idx="118">
                  <c:v>3.4138089910941942</c:v>
                </c:pt>
                <c:pt idx="119">
                  <c:v>4.4012225363925044</c:v>
                </c:pt>
                <c:pt idx="120">
                  <c:v>-1.5196917747234271</c:v>
                </c:pt>
                <c:pt idx="121">
                  <c:v>-1.062073375074631</c:v>
                </c:pt>
                <c:pt idx="122">
                  <c:v>1.477489362217179</c:v>
                </c:pt>
                <c:pt idx="123">
                  <c:v>-2.3781283099238917</c:v>
                </c:pt>
                <c:pt idx="124">
                  <c:v>0.47811004572060589</c:v>
                </c:pt>
                <c:pt idx="125">
                  <c:v>0.44551959930867541</c:v>
                </c:pt>
                <c:pt idx="126">
                  <c:v>1.3614075313738643</c:v>
                </c:pt>
                <c:pt idx="127">
                  <c:v>-7.7650136808625758E-3</c:v>
                </c:pt>
                <c:pt idx="128">
                  <c:v>-0.12972116439056908</c:v>
                </c:pt>
                <c:pt idx="129">
                  <c:v>-1.6695833580904584</c:v>
                </c:pt>
                <c:pt idx="130">
                  <c:v>1.4530967525660716</c:v>
                </c:pt>
                <c:pt idx="131">
                  <c:v>-0.78143310266141697</c:v>
                </c:pt>
                <c:pt idx="132">
                  <c:v>0.34908255979636738</c:v>
                </c:pt>
                <c:pt idx="133">
                  <c:v>0.13535969057984193</c:v>
                </c:pt>
                <c:pt idx="134">
                  <c:v>-1.8716624465378884</c:v>
                </c:pt>
                <c:pt idx="135">
                  <c:v>1.2656565827966442</c:v>
                </c:pt>
                <c:pt idx="136">
                  <c:v>-0.42014204580768427</c:v>
                </c:pt>
                <c:pt idx="137">
                  <c:v>1.4055246320234833</c:v>
                </c:pt>
                <c:pt idx="138">
                  <c:v>-2.3798636141916241E-2</c:v>
                </c:pt>
                <c:pt idx="139">
                  <c:v>-0.94564972218921284</c:v>
                </c:pt>
                <c:pt idx="140">
                  <c:v>0.73546966098117694</c:v>
                </c:pt>
                <c:pt idx="141">
                  <c:v>1.7116922764778253</c:v>
                </c:pt>
                <c:pt idx="142">
                  <c:v>-0.26362362275971585</c:v>
                </c:pt>
                <c:pt idx="143">
                  <c:v>0.22777557059858333</c:v>
                </c:pt>
              </c:numCache>
            </c:numRef>
          </c:xVal>
          <c:yVal>
            <c:numRef>
              <c:f>'Credit, SP-HY'!$B$27:$B$170</c:f>
              <c:numCache>
                <c:formatCode>General</c:formatCode>
                <c:ptCount val="144"/>
                <c:pt idx="0">
                  <c:v>-0.94654026638473476</c:v>
                </c:pt>
                <c:pt idx="1">
                  <c:v>2.1999131435561141</c:v>
                </c:pt>
                <c:pt idx="2">
                  <c:v>-0.36928686297072932</c:v>
                </c:pt>
                <c:pt idx="3">
                  <c:v>1.1437493885599817</c:v>
                </c:pt>
                <c:pt idx="4">
                  <c:v>2.1250132202899099</c:v>
                </c:pt>
                <c:pt idx="5">
                  <c:v>-0.16284043741357568</c:v>
                </c:pt>
                <c:pt idx="6">
                  <c:v>0.33666127088417253</c:v>
                </c:pt>
                <c:pt idx="7">
                  <c:v>1.2099282893175138</c:v>
                </c:pt>
                <c:pt idx="8">
                  <c:v>1.257329412126627</c:v>
                </c:pt>
                <c:pt idx="9">
                  <c:v>0.18557710199769906</c:v>
                </c:pt>
                <c:pt idx="10">
                  <c:v>0.98792274055571161</c:v>
                </c:pt>
                <c:pt idx="11">
                  <c:v>0.89413732511483057</c:v>
                </c:pt>
                <c:pt idx="12">
                  <c:v>0.56123602602954836</c:v>
                </c:pt>
                <c:pt idx="13">
                  <c:v>-0.27197866596430309</c:v>
                </c:pt>
                <c:pt idx="14">
                  <c:v>1.9212529342749218</c:v>
                </c:pt>
                <c:pt idx="15">
                  <c:v>-0.71526802952516699</c:v>
                </c:pt>
                <c:pt idx="16">
                  <c:v>1.1708280040196897</c:v>
                </c:pt>
                <c:pt idx="17">
                  <c:v>0.86794068124788715</c:v>
                </c:pt>
                <c:pt idx="18">
                  <c:v>0.13709116180468206</c:v>
                </c:pt>
                <c:pt idx="19">
                  <c:v>2.7935866429996712</c:v>
                </c:pt>
                <c:pt idx="20">
                  <c:v>6.4744178776150352E-2</c:v>
                </c:pt>
                <c:pt idx="21">
                  <c:v>0.28685464667076999</c:v>
                </c:pt>
                <c:pt idx="22">
                  <c:v>-0.15589750222366769</c:v>
                </c:pt>
                <c:pt idx="23">
                  <c:v>0.31890843691746396</c:v>
                </c:pt>
                <c:pt idx="24">
                  <c:v>-1.8054715379710351</c:v>
                </c:pt>
                <c:pt idx="25">
                  <c:v>1.1739130705876377</c:v>
                </c:pt>
                <c:pt idx="26">
                  <c:v>-1.1521359081503575</c:v>
                </c:pt>
                <c:pt idx="27">
                  <c:v>-0.90021429074611847</c:v>
                </c:pt>
                <c:pt idx="28">
                  <c:v>1.9416110110967788</c:v>
                </c:pt>
                <c:pt idx="29">
                  <c:v>7.0007276780627015E-2</c:v>
                </c:pt>
                <c:pt idx="30">
                  <c:v>-1.2358687404774562</c:v>
                </c:pt>
                <c:pt idx="31">
                  <c:v>-0.27499863377813955</c:v>
                </c:pt>
                <c:pt idx="32">
                  <c:v>0.41905787785134413</c:v>
                </c:pt>
                <c:pt idx="33">
                  <c:v>3.2053561970041815</c:v>
                </c:pt>
                <c:pt idx="34">
                  <c:v>1.7048161399132438</c:v>
                </c:pt>
                <c:pt idx="35">
                  <c:v>0.73461332209424057</c:v>
                </c:pt>
                <c:pt idx="36">
                  <c:v>1.831107993472558</c:v>
                </c:pt>
                <c:pt idx="37">
                  <c:v>3.0819995600178762</c:v>
                </c:pt>
                <c:pt idx="38">
                  <c:v>2.391012635786109</c:v>
                </c:pt>
                <c:pt idx="39">
                  <c:v>-0.30952876074474894</c:v>
                </c:pt>
                <c:pt idx="40">
                  <c:v>-1.0108152490198499</c:v>
                </c:pt>
                <c:pt idx="41">
                  <c:v>-0.57635415204172435</c:v>
                </c:pt>
                <c:pt idx="42">
                  <c:v>2.2574792275410722</c:v>
                </c:pt>
                <c:pt idx="43">
                  <c:v>0.11246264036673892</c:v>
                </c:pt>
                <c:pt idx="44">
                  <c:v>1.7216239069881543</c:v>
                </c:pt>
                <c:pt idx="45">
                  <c:v>9.8843749682270776E-2</c:v>
                </c:pt>
                <c:pt idx="46">
                  <c:v>1.0437217602250402</c:v>
                </c:pt>
                <c:pt idx="47">
                  <c:v>1.1544905483245638</c:v>
                </c:pt>
                <c:pt idx="48">
                  <c:v>-5.9411268903768757E-2</c:v>
                </c:pt>
                <c:pt idx="49">
                  <c:v>1.0255284685192634</c:v>
                </c:pt>
                <c:pt idx="50">
                  <c:v>0.57390809765836359</c:v>
                </c:pt>
                <c:pt idx="51">
                  <c:v>-0.12509652150213652</c:v>
                </c:pt>
                <c:pt idx="52">
                  <c:v>0.50881903612043067</c:v>
                </c:pt>
                <c:pt idx="53">
                  <c:v>4.9327332630140469E-2</c:v>
                </c:pt>
                <c:pt idx="54">
                  <c:v>0.84310397801546133</c:v>
                </c:pt>
                <c:pt idx="55">
                  <c:v>6.9975300574920282E-2</c:v>
                </c:pt>
                <c:pt idx="56">
                  <c:v>-0.47513850676877767</c:v>
                </c:pt>
                <c:pt idx="57">
                  <c:v>0.14105170702435471</c:v>
                </c:pt>
                <c:pt idx="58">
                  <c:v>0.6178891093299923</c:v>
                </c:pt>
                <c:pt idx="59">
                  <c:v>9.1169717987798007E-2</c:v>
                </c:pt>
                <c:pt idx="60">
                  <c:v>-4.8158737653247845E-2</c:v>
                </c:pt>
                <c:pt idx="61">
                  <c:v>1.1167260427695977</c:v>
                </c:pt>
                <c:pt idx="62">
                  <c:v>0.56279391197795114</c:v>
                </c:pt>
                <c:pt idx="63">
                  <c:v>2.9458018705188868E-2</c:v>
                </c:pt>
                <c:pt idx="64">
                  <c:v>-0.43086584091515301</c:v>
                </c:pt>
                <c:pt idx="65">
                  <c:v>-0.91678084932252801</c:v>
                </c:pt>
                <c:pt idx="66">
                  <c:v>8.6930876238133614E-2</c:v>
                </c:pt>
                <c:pt idx="67">
                  <c:v>0.88466063012644269</c:v>
                </c:pt>
                <c:pt idx="68">
                  <c:v>0.27005528030312781</c:v>
                </c:pt>
                <c:pt idx="69">
                  <c:v>0.27575000591059962</c:v>
                </c:pt>
                <c:pt idx="70">
                  <c:v>0.56293537327801557</c:v>
                </c:pt>
                <c:pt idx="71">
                  <c:v>0.91449680068813777</c:v>
                </c:pt>
                <c:pt idx="72">
                  <c:v>1.1186133135857614</c:v>
                </c:pt>
                <c:pt idx="73">
                  <c:v>-0.86466698144406995</c:v>
                </c:pt>
                <c:pt idx="74">
                  <c:v>-7.669928864390517</c:v>
                </c:pt>
                <c:pt idx="75">
                  <c:v>5.3291540041587453</c:v>
                </c:pt>
                <c:pt idx="76">
                  <c:v>2.2255330641836277</c:v>
                </c:pt>
                <c:pt idx="77">
                  <c:v>1.1253304178622898</c:v>
                </c:pt>
                <c:pt idx="78">
                  <c:v>2.4073293895943504</c:v>
                </c:pt>
                <c:pt idx="79">
                  <c:v>0.45667070952964728</c:v>
                </c:pt>
                <c:pt idx="80">
                  <c:v>-0.22919676778039705</c:v>
                </c:pt>
                <c:pt idx="81">
                  <c:v>0.40797993558164652</c:v>
                </c:pt>
                <c:pt idx="82">
                  <c:v>3.0662282298026926</c:v>
                </c:pt>
                <c:pt idx="83">
                  <c:v>1.3753672621521869</c:v>
                </c:pt>
                <c:pt idx="84">
                  <c:v>-0.19050447050482713</c:v>
                </c:pt>
                <c:pt idx="85">
                  <c:v>-0.77897268574612499</c:v>
                </c:pt>
                <c:pt idx="86">
                  <c:v>0.64512214771740339</c:v>
                </c:pt>
                <c:pt idx="87">
                  <c:v>0.71597509921616675</c:v>
                </c:pt>
                <c:pt idx="88">
                  <c:v>0.59652555628028603</c:v>
                </c:pt>
                <c:pt idx="89">
                  <c:v>0.95273632539629916</c:v>
                </c:pt>
                <c:pt idx="90">
                  <c:v>1.0315473108590121</c:v>
                </c:pt>
                <c:pt idx="91">
                  <c:v>0.42663154932536318</c:v>
                </c:pt>
                <c:pt idx="92">
                  <c:v>-0.78134296274386406</c:v>
                </c:pt>
                <c:pt idx="93">
                  <c:v>0.43550043398920674</c:v>
                </c:pt>
                <c:pt idx="94">
                  <c:v>7.307163751262713E-2</c:v>
                </c:pt>
                <c:pt idx="95">
                  <c:v>0.79726226643063525</c:v>
                </c:pt>
                <c:pt idx="96">
                  <c:v>-2.1375039217290421</c:v>
                </c:pt>
                <c:pt idx="97">
                  <c:v>-1.2814121178964877</c:v>
                </c:pt>
                <c:pt idx="98">
                  <c:v>3.378630687392159E-2</c:v>
                </c:pt>
                <c:pt idx="99">
                  <c:v>-2.7797617405230506</c:v>
                </c:pt>
                <c:pt idx="100">
                  <c:v>6.7829873216439962E-2</c:v>
                </c:pt>
                <c:pt idx="101">
                  <c:v>-4.0004239769051626</c:v>
                </c:pt>
                <c:pt idx="102">
                  <c:v>4.7476436636318846</c:v>
                </c:pt>
                <c:pt idx="103">
                  <c:v>-4.2201344433270984</c:v>
                </c:pt>
                <c:pt idx="104">
                  <c:v>-3.8624359712906782</c:v>
                </c:pt>
                <c:pt idx="105">
                  <c:v>2.9019467319865573</c:v>
                </c:pt>
                <c:pt idx="106">
                  <c:v>2.4722643674266735</c:v>
                </c:pt>
                <c:pt idx="107">
                  <c:v>-0.48783746937040839</c:v>
                </c:pt>
                <c:pt idx="108">
                  <c:v>2.6854765156782725</c:v>
                </c:pt>
                <c:pt idx="109">
                  <c:v>-1.1719783356995666</c:v>
                </c:pt>
                <c:pt idx="110">
                  <c:v>0.97177476692725917</c:v>
                </c:pt>
                <c:pt idx="111">
                  <c:v>0.33611766858159003</c:v>
                </c:pt>
                <c:pt idx="112">
                  <c:v>-1.0617235581110374</c:v>
                </c:pt>
                <c:pt idx="113">
                  <c:v>0.31877992615083722</c:v>
                </c:pt>
                <c:pt idx="114">
                  <c:v>1.410510598121915</c:v>
                </c:pt>
                <c:pt idx="115">
                  <c:v>0.10088548587296275</c:v>
                </c:pt>
                <c:pt idx="116">
                  <c:v>-0.19606276228932781</c:v>
                </c:pt>
                <c:pt idx="117">
                  <c:v>-0.27054654131697592</c:v>
                </c:pt>
                <c:pt idx="118">
                  <c:v>3.1581354618578494</c:v>
                </c:pt>
                <c:pt idx="119">
                  <c:v>3.2116398026977273</c:v>
                </c:pt>
                <c:pt idx="120">
                  <c:v>-0.34898872456040869</c:v>
                </c:pt>
                <c:pt idx="121">
                  <c:v>-6.2416196956862811E-2</c:v>
                </c:pt>
                <c:pt idx="122">
                  <c:v>1.0653347573219343</c:v>
                </c:pt>
                <c:pt idx="123">
                  <c:v>-0.76595276109752453</c:v>
                </c:pt>
                <c:pt idx="124">
                  <c:v>0.90697943419368832</c:v>
                </c:pt>
                <c:pt idx="125">
                  <c:v>0.53772960957155325</c:v>
                </c:pt>
                <c:pt idx="126">
                  <c:v>1.3142219764005107</c:v>
                </c:pt>
                <c:pt idx="127">
                  <c:v>0.90546313971985315</c:v>
                </c:pt>
                <c:pt idx="128">
                  <c:v>0.89634132260276056</c:v>
                </c:pt>
                <c:pt idx="129">
                  <c:v>-0.57456474268385738</c:v>
                </c:pt>
                <c:pt idx="130">
                  <c:v>1.3352363905892317</c:v>
                </c:pt>
                <c:pt idx="131">
                  <c:v>1.0329320869330791E-2</c:v>
                </c:pt>
                <c:pt idx="132">
                  <c:v>0.93375855228498983</c:v>
                </c:pt>
                <c:pt idx="133">
                  <c:v>0.58570668801814996</c:v>
                </c:pt>
                <c:pt idx="134">
                  <c:v>-0.84728138103509443</c:v>
                </c:pt>
                <c:pt idx="135">
                  <c:v>1.0071126405907733</c:v>
                </c:pt>
                <c:pt idx="136">
                  <c:v>0.66612080680104491</c:v>
                </c:pt>
                <c:pt idx="137">
                  <c:v>1.1149041222684537</c:v>
                </c:pt>
                <c:pt idx="138">
                  <c:v>0.71479315116424136</c:v>
                </c:pt>
                <c:pt idx="139">
                  <c:v>0.21049489755495357</c:v>
                </c:pt>
                <c:pt idx="140">
                  <c:v>0.8345646107767557</c:v>
                </c:pt>
                <c:pt idx="141">
                  <c:v>1.0523231049317292</c:v>
                </c:pt>
                <c:pt idx="142">
                  <c:v>0.17460964020543168</c:v>
                </c:pt>
                <c:pt idx="143">
                  <c:v>0.59501980125963438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B8-0644-A600-1B4FAEC42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594832"/>
        <c:axId val="1146596560"/>
      </c:scatterChart>
      <c:valAx>
        <c:axId val="1146594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IG Credit Spread (%)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1146596560"/>
        <c:crosses val="autoZero"/>
        <c:crossBetween val="midCat"/>
      </c:valAx>
      <c:valAx>
        <c:axId val="11465965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Asset Returns (%)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114659483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'Credit, SP-HY'!$F$27:$F$170</c:f>
              <c:numCache>
                <c:formatCode>General</c:formatCode>
                <c:ptCount val="144"/>
                <c:pt idx="0">
                  <c:v>0.34722222222222221</c:v>
                </c:pt>
                <c:pt idx="1">
                  <c:v>1.0416666666666665</c:v>
                </c:pt>
                <c:pt idx="2">
                  <c:v>1.7361111111111112</c:v>
                </c:pt>
                <c:pt idx="3">
                  <c:v>2.4305555555555554</c:v>
                </c:pt>
                <c:pt idx="4">
                  <c:v>3.125</c:v>
                </c:pt>
                <c:pt idx="5">
                  <c:v>3.8194444444444446</c:v>
                </c:pt>
                <c:pt idx="6">
                  <c:v>4.5138888888888884</c:v>
                </c:pt>
                <c:pt idx="7">
                  <c:v>5.208333333333333</c:v>
                </c:pt>
                <c:pt idx="8">
                  <c:v>5.9027777777777777</c:v>
                </c:pt>
                <c:pt idx="9">
                  <c:v>6.5972222222222223</c:v>
                </c:pt>
                <c:pt idx="10">
                  <c:v>7.291666666666667</c:v>
                </c:pt>
                <c:pt idx="11">
                  <c:v>7.9861111111111107</c:v>
                </c:pt>
                <c:pt idx="12">
                  <c:v>8.6805555555555536</c:v>
                </c:pt>
                <c:pt idx="13">
                  <c:v>9.3749999999999982</c:v>
                </c:pt>
                <c:pt idx="14">
                  <c:v>10.069444444444443</c:v>
                </c:pt>
                <c:pt idx="15">
                  <c:v>10.763888888888888</c:v>
                </c:pt>
                <c:pt idx="16">
                  <c:v>11.458333333333332</c:v>
                </c:pt>
                <c:pt idx="17">
                  <c:v>12.152777777777777</c:v>
                </c:pt>
                <c:pt idx="18">
                  <c:v>12.847222222222221</c:v>
                </c:pt>
                <c:pt idx="19">
                  <c:v>13.541666666666666</c:v>
                </c:pt>
                <c:pt idx="20">
                  <c:v>14.236111111111111</c:v>
                </c:pt>
                <c:pt idx="21">
                  <c:v>14.930555555555554</c:v>
                </c:pt>
                <c:pt idx="22">
                  <c:v>15.624999999999998</c:v>
                </c:pt>
                <c:pt idx="23">
                  <c:v>16.319444444444443</c:v>
                </c:pt>
                <c:pt idx="24">
                  <c:v>17.013888888888886</c:v>
                </c:pt>
                <c:pt idx="25">
                  <c:v>17.708333333333332</c:v>
                </c:pt>
                <c:pt idx="26">
                  <c:v>18.402777777777775</c:v>
                </c:pt>
                <c:pt idx="27">
                  <c:v>19.097222222222221</c:v>
                </c:pt>
                <c:pt idx="28">
                  <c:v>19.791666666666664</c:v>
                </c:pt>
                <c:pt idx="29">
                  <c:v>20.486111111111111</c:v>
                </c:pt>
                <c:pt idx="30">
                  <c:v>21.180555555555554</c:v>
                </c:pt>
                <c:pt idx="31">
                  <c:v>21.875</c:v>
                </c:pt>
                <c:pt idx="32">
                  <c:v>22.569444444444443</c:v>
                </c:pt>
                <c:pt idx="33">
                  <c:v>23.263888888888886</c:v>
                </c:pt>
                <c:pt idx="34">
                  <c:v>23.958333333333332</c:v>
                </c:pt>
                <c:pt idx="35">
                  <c:v>24.652777777777775</c:v>
                </c:pt>
                <c:pt idx="36">
                  <c:v>25.347222222222221</c:v>
                </c:pt>
                <c:pt idx="37">
                  <c:v>26.041666666666664</c:v>
                </c:pt>
                <c:pt idx="38">
                  <c:v>26.736111111111111</c:v>
                </c:pt>
                <c:pt idx="39">
                  <c:v>27.430555555555554</c:v>
                </c:pt>
                <c:pt idx="40">
                  <c:v>28.125</c:v>
                </c:pt>
                <c:pt idx="41">
                  <c:v>28.819444444444443</c:v>
                </c:pt>
                <c:pt idx="42">
                  <c:v>29.513888888888886</c:v>
                </c:pt>
                <c:pt idx="43">
                  <c:v>30.208333333333332</c:v>
                </c:pt>
                <c:pt idx="44">
                  <c:v>30.902777777777775</c:v>
                </c:pt>
                <c:pt idx="45">
                  <c:v>31.597222222222221</c:v>
                </c:pt>
                <c:pt idx="46">
                  <c:v>32.291666666666664</c:v>
                </c:pt>
                <c:pt idx="47">
                  <c:v>32.986111111111107</c:v>
                </c:pt>
                <c:pt idx="48">
                  <c:v>33.68055555555555</c:v>
                </c:pt>
                <c:pt idx="49">
                  <c:v>34.375</c:v>
                </c:pt>
                <c:pt idx="50">
                  <c:v>35.069444444444443</c:v>
                </c:pt>
                <c:pt idx="51">
                  <c:v>35.763888888888886</c:v>
                </c:pt>
                <c:pt idx="52">
                  <c:v>36.458333333333329</c:v>
                </c:pt>
                <c:pt idx="53">
                  <c:v>37.152777777777779</c:v>
                </c:pt>
                <c:pt idx="54">
                  <c:v>37.847222222222221</c:v>
                </c:pt>
                <c:pt idx="55">
                  <c:v>38.541666666666664</c:v>
                </c:pt>
                <c:pt idx="56">
                  <c:v>39.236111111111107</c:v>
                </c:pt>
                <c:pt idx="57">
                  <c:v>39.93055555555555</c:v>
                </c:pt>
                <c:pt idx="58">
                  <c:v>40.625</c:v>
                </c:pt>
                <c:pt idx="59">
                  <c:v>41.319444444444443</c:v>
                </c:pt>
                <c:pt idx="60">
                  <c:v>42.013888888888886</c:v>
                </c:pt>
                <c:pt idx="61">
                  <c:v>42.708333333333329</c:v>
                </c:pt>
                <c:pt idx="62">
                  <c:v>43.402777777777779</c:v>
                </c:pt>
                <c:pt idx="63">
                  <c:v>44.097222222222221</c:v>
                </c:pt>
                <c:pt idx="64">
                  <c:v>44.791666666666664</c:v>
                </c:pt>
                <c:pt idx="65">
                  <c:v>45.486111111111107</c:v>
                </c:pt>
                <c:pt idx="66">
                  <c:v>46.18055555555555</c:v>
                </c:pt>
                <c:pt idx="67">
                  <c:v>46.875</c:v>
                </c:pt>
                <c:pt idx="68">
                  <c:v>47.569444444444443</c:v>
                </c:pt>
                <c:pt idx="69">
                  <c:v>48.263888888888886</c:v>
                </c:pt>
                <c:pt idx="70">
                  <c:v>48.958333333333329</c:v>
                </c:pt>
                <c:pt idx="71">
                  <c:v>49.652777777777779</c:v>
                </c:pt>
                <c:pt idx="72">
                  <c:v>50.347222222222221</c:v>
                </c:pt>
                <c:pt idx="73">
                  <c:v>51.041666666666664</c:v>
                </c:pt>
                <c:pt idx="74">
                  <c:v>51.736111111111107</c:v>
                </c:pt>
                <c:pt idx="75">
                  <c:v>52.43055555555555</c:v>
                </c:pt>
                <c:pt idx="76">
                  <c:v>53.125</c:v>
                </c:pt>
                <c:pt idx="77">
                  <c:v>53.819444444444443</c:v>
                </c:pt>
                <c:pt idx="78">
                  <c:v>54.513888888888886</c:v>
                </c:pt>
                <c:pt idx="79">
                  <c:v>55.208333333333329</c:v>
                </c:pt>
                <c:pt idx="80">
                  <c:v>55.902777777777779</c:v>
                </c:pt>
                <c:pt idx="81">
                  <c:v>56.597222222222221</c:v>
                </c:pt>
                <c:pt idx="82">
                  <c:v>57.291666666666664</c:v>
                </c:pt>
                <c:pt idx="83">
                  <c:v>57.986111111111107</c:v>
                </c:pt>
                <c:pt idx="84">
                  <c:v>58.68055555555555</c:v>
                </c:pt>
                <c:pt idx="85">
                  <c:v>59.375</c:v>
                </c:pt>
                <c:pt idx="86">
                  <c:v>60.069444444444443</c:v>
                </c:pt>
                <c:pt idx="87">
                  <c:v>60.763888888888886</c:v>
                </c:pt>
                <c:pt idx="88">
                  <c:v>61.458333333333329</c:v>
                </c:pt>
                <c:pt idx="89">
                  <c:v>62.152777777777771</c:v>
                </c:pt>
                <c:pt idx="90">
                  <c:v>62.847222222222221</c:v>
                </c:pt>
                <c:pt idx="91">
                  <c:v>63.541666666666664</c:v>
                </c:pt>
                <c:pt idx="92">
                  <c:v>64.236111111111114</c:v>
                </c:pt>
                <c:pt idx="93">
                  <c:v>64.930555555555557</c:v>
                </c:pt>
                <c:pt idx="94">
                  <c:v>65.625</c:v>
                </c:pt>
                <c:pt idx="95">
                  <c:v>66.319444444444443</c:v>
                </c:pt>
                <c:pt idx="96">
                  <c:v>67.013888888888886</c:v>
                </c:pt>
                <c:pt idx="97">
                  <c:v>67.708333333333343</c:v>
                </c:pt>
                <c:pt idx="98">
                  <c:v>68.402777777777786</c:v>
                </c:pt>
                <c:pt idx="99">
                  <c:v>69.097222222222229</c:v>
                </c:pt>
                <c:pt idx="100">
                  <c:v>69.791666666666671</c:v>
                </c:pt>
                <c:pt idx="101">
                  <c:v>70.486111111111114</c:v>
                </c:pt>
                <c:pt idx="102">
                  <c:v>71.180555555555557</c:v>
                </c:pt>
                <c:pt idx="103">
                  <c:v>71.875</c:v>
                </c:pt>
                <c:pt idx="104">
                  <c:v>72.569444444444443</c:v>
                </c:pt>
                <c:pt idx="105">
                  <c:v>73.263888888888886</c:v>
                </c:pt>
                <c:pt idx="106">
                  <c:v>73.958333333333343</c:v>
                </c:pt>
                <c:pt idx="107">
                  <c:v>74.652777777777786</c:v>
                </c:pt>
                <c:pt idx="108">
                  <c:v>75.347222222222229</c:v>
                </c:pt>
                <c:pt idx="109">
                  <c:v>76.041666666666671</c:v>
                </c:pt>
                <c:pt idx="110">
                  <c:v>76.736111111111114</c:v>
                </c:pt>
                <c:pt idx="111">
                  <c:v>77.430555555555557</c:v>
                </c:pt>
                <c:pt idx="112">
                  <c:v>78.125</c:v>
                </c:pt>
                <c:pt idx="113">
                  <c:v>78.819444444444443</c:v>
                </c:pt>
                <c:pt idx="114">
                  <c:v>79.513888888888886</c:v>
                </c:pt>
                <c:pt idx="115">
                  <c:v>80.208333333333343</c:v>
                </c:pt>
                <c:pt idx="116">
                  <c:v>80.902777777777786</c:v>
                </c:pt>
                <c:pt idx="117">
                  <c:v>81.597222222222229</c:v>
                </c:pt>
                <c:pt idx="118">
                  <c:v>82.291666666666671</c:v>
                </c:pt>
                <c:pt idx="119">
                  <c:v>82.986111111111114</c:v>
                </c:pt>
                <c:pt idx="120">
                  <c:v>83.680555555555557</c:v>
                </c:pt>
                <c:pt idx="121">
                  <c:v>84.375</c:v>
                </c:pt>
                <c:pt idx="122">
                  <c:v>85.069444444444443</c:v>
                </c:pt>
                <c:pt idx="123">
                  <c:v>85.763888888888886</c:v>
                </c:pt>
                <c:pt idx="124">
                  <c:v>86.458333333333343</c:v>
                </c:pt>
                <c:pt idx="125">
                  <c:v>87.152777777777786</c:v>
                </c:pt>
                <c:pt idx="126">
                  <c:v>87.847222222222229</c:v>
                </c:pt>
                <c:pt idx="127">
                  <c:v>88.541666666666671</c:v>
                </c:pt>
                <c:pt idx="128">
                  <c:v>89.236111111111114</c:v>
                </c:pt>
                <c:pt idx="129">
                  <c:v>89.930555555555557</c:v>
                </c:pt>
                <c:pt idx="130">
                  <c:v>90.625</c:v>
                </c:pt>
                <c:pt idx="131">
                  <c:v>91.319444444444443</c:v>
                </c:pt>
                <c:pt idx="132">
                  <c:v>92.013888888888886</c:v>
                </c:pt>
                <c:pt idx="133">
                  <c:v>92.708333333333343</c:v>
                </c:pt>
                <c:pt idx="134">
                  <c:v>93.402777777777786</c:v>
                </c:pt>
                <c:pt idx="135">
                  <c:v>94.097222222222229</c:v>
                </c:pt>
                <c:pt idx="136">
                  <c:v>94.791666666666671</c:v>
                </c:pt>
                <c:pt idx="137">
                  <c:v>95.486111111111114</c:v>
                </c:pt>
                <c:pt idx="138">
                  <c:v>96.180555555555557</c:v>
                </c:pt>
                <c:pt idx="139">
                  <c:v>96.875</c:v>
                </c:pt>
                <c:pt idx="140">
                  <c:v>97.569444444444443</c:v>
                </c:pt>
                <c:pt idx="141">
                  <c:v>98.263888888888886</c:v>
                </c:pt>
                <c:pt idx="142">
                  <c:v>98.958333333333343</c:v>
                </c:pt>
                <c:pt idx="143">
                  <c:v>99.652777777777786</c:v>
                </c:pt>
              </c:numCache>
            </c:numRef>
          </c:xVal>
          <c:yVal>
            <c:numRef>
              <c:f>'Credit, SP-HY'!$G$27:$G$170</c:f>
              <c:numCache>
                <c:formatCode>General</c:formatCode>
                <c:ptCount val="144"/>
                <c:pt idx="0">
                  <c:v>-7.0047284893671877</c:v>
                </c:pt>
                <c:pt idx="1">
                  <c:v>-4.6868598995851904</c:v>
                </c:pt>
                <c:pt idx="2">
                  <c:v>-4.1526948243374111</c:v>
                </c:pt>
                <c:pt idx="3">
                  <c:v>-3.6875242113072275</c:v>
                </c:pt>
                <c:pt idx="4">
                  <c:v>-3.3442885744124804</c:v>
                </c:pt>
                <c:pt idx="5">
                  <c:v>-3.1231512210139143</c:v>
                </c:pt>
                <c:pt idx="6">
                  <c:v>-2.9682787226250409</c:v>
                </c:pt>
                <c:pt idx="7">
                  <c:v>-2.5680570998352561</c:v>
                </c:pt>
                <c:pt idx="8">
                  <c:v>-2.5280472836281653</c:v>
                </c:pt>
                <c:pt idx="9">
                  <c:v>-2.5046976641667626</c:v>
                </c:pt>
                <c:pt idx="10">
                  <c:v>-2.2568118607420633</c:v>
                </c:pt>
                <c:pt idx="11">
                  <c:v>-1.9001782009329338</c:v>
                </c:pt>
                <c:pt idx="12">
                  <c:v>-1.8423176925388944</c:v>
                </c:pt>
                <c:pt idx="13">
                  <c:v>-1.8267949190726551</c:v>
                </c:pt>
                <c:pt idx="14">
                  <c:v>-1.7163787658669345</c:v>
                </c:pt>
                <c:pt idx="15">
                  <c:v>-1.7024670003016547</c:v>
                </c:pt>
                <c:pt idx="16">
                  <c:v>-1.4912303020014905</c:v>
                </c:pt>
                <c:pt idx="17">
                  <c:v>-1.4816122688402813</c:v>
                </c:pt>
                <c:pt idx="18">
                  <c:v>-1.3850399013585131</c:v>
                </c:pt>
                <c:pt idx="19">
                  <c:v>-1.3845334693391671</c:v>
                </c:pt>
                <c:pt idx="20">
                  <c:v>-1.3312319193447704</c:v>
                </c:pt>
                <c:pt idx="21">
                  <c:v>-1.2793531068196276</c:v>
                </c:pt>
                <c:pt idx="22">
                  <c:v>-1.1425691586862545</c:v>
                </c:pt>
                <c:pt idx="23">
                  <c:v>-1.1072210028407516</c:v>
                </c:pt>
                <c:pt idx="24">
                  <c:v>-1.0801430002995103</c:v>
                </c:pt>
                <c:pt idx="25">
                  <c:v>-0.94912629185626851</c:v>
                </c:pt>
                <c:pt idx="26">
                  <c:v>-0.93339874585644023</c:v>
                </c:pt>
                <c:pt idx="27">
                  <c:v>-0.8739297602339734</c:v>
                </c:pt>
                <c:pt idx="28">
                  <c:v>-0.85098504001589137</c:v>
                </c:pt>
                <c:pt idx="29">
                  <c:v>-0.84486748191592764</c:v>
                </c:pt>
                <c:pt idx="30">
                  <c:v>-0.83998798555617005</c:v>
                </c:pt>
                <c:pt idx="31">
                  <c:v>-0.82038765576752415</c:v>
                </c:pt>
                <c:pt idx="32">
                  <c:v>-0.73047275946122014</c:v>
                </c:pt>
                <c:pt idx="33">
                  <c:v>-0.72114034769675106</c:v>
                </c:pt>
                <c:pt idx="34">
                  <c:v>-0.70844610563042631</c:v>
                </c:pt>
                <c:pt idx="35">
                  <c:v>-0.63980558944311527</c:v>
                </c:pt>
                <c:pt idx="36">
                  <c:v>-0.63321922178810008</c:v>
                </c:pt>
                <c:pt idx="37">
                  <c:v>-0.62523746935851443</c:v>
                </c:pt>
                <c:pt idx="38">
                  <c:v>-0.60205936122706527</c:v>
                </c:pt>
                <c:pt idx="39">
                  <c:v>-0.49649597275839152</c:v>
                </c:pt>
                <c:pt idx="40">
                  <c:v>-0.45287219230992509</c:v>
                </c:pt>
                <c:pt idx="41">
                  <c:v>-0.44945692130845749</c:v>
                </c:pt>
                <c:pt idx="42">
                  <c:v>-0.42414010254649709</c:v>
                </c:pt>
                <c:pt idx="43">
                  <c:v>-0.40587403799491967</c:v>
                </c:pt>
                <c:pt idx="44">
                  <c:v>-0.38364685529762182</c:v>
                </c:pt>
                <c:pt idx="45">
                  <c:v>-0.34952011853591453</c:v>
                </c:pt>
                <c:pt idx="46">
                  <c:v>-0.32059917407416511</c:v>
                </c:pt>
                <c:pt idx="47">
                  <c:v>-0.25809067214290327</c:v>
                </c:pt>
                <c:pt idx="48">
                  <c:v>-0.23417506109101072</c:v>
                </c:pt>
                <c:pt idx="49">
                  <c:v>-0.18651939975316809</c:v>
                </c:pt>
                <c:pt idx="50">
                  <c:v>-0.16023377056929605</c:v>
                </c:pt>
                <c:pt idx="51">
                  <c:v>-0.15960421366991845</c:v>
                </c:pt>
                <c:pt idx="52">
                  <c:v>-0.12574664360828455</c:v>
                </c:pt>
                <c:pt idx="53">
                  <c:v>-3.7635693365227305E-2</c:v>
                </c:pt>
                <c:pt idx="54">
                  <c:v>-2.8872892422191813E-2</c:v>
                </c:pt>
                <c:pt idx="55">
                  <c:v>-2.1093949631446327E-2</c:v>
                </c:pt>
                <c:pt idx="56">
                  <c:v>2.1744398396726858E-3</c:v>
                </c:pt>
                <c:pt idx="57">
                  <c:v>1.3361896540353232E-2</c:v>
                </c:pt>
                <c:pt idx="58">
                  <c:v>1.5244628300109645E-2</c:v>
                </c:pt>
                <c:pt idx="59">
                  <c:v>4.5162099813618559E-2</c:v>
                </c:pt>
                <c:pt idx="60">
                  <c:v>5.5182858323510636E-2</c:v>
                </c:pt>
                <c:pt idx="61">
                  <c:v>6.2862567183433013E-2</c:v>
                </c:pt>
                <c:pt idx="62">
                  <c:v>6.4450144874432388E-2</c:v>
                </c:pt>
                <c:pt idx="63">
                  <c:v>0.17050584189129772</c:v>
                </c:pt>
                <c:pt idx="64">
                  <c:v>0.20128346879376346</c:v>
                </c:pt>
                <c:pt idx="65">
                  <c:v>0.25176219913533959</c:v>
                </c:pt>
                <c:pt idx="66">
                  <c:v>0.27937046819359035</c:v>
                </c:pt>
                <c:pt idx="67">
                  <c:v>0.29248739326307094</c:v>
                </c:pt>
                <c:pt idx="68">
                  <c:v>0.32195109833132546</c:v>
                </c:pt>
                <c:pt idx="69">
                  <c:v>0.3416951439283733</c:v>
                </c:pt>
                <c:pt idx="70">
                  <c:v>0.3941440510082177</c:v>
                </c:pt>
                <c:pt idx="71">
                  <c:v>0.39463790345239053</c:v>
                </c:pt>
                <c:pt idx="72">
                  <c:v>0.44664249623499269</c:v>
                </c:pt>
                <c:pt idx="73">
                  <c:v>0.44906329589973976</c:v>
                </c:pt>
                <c:pt idx="74">
                  <c:v>0.51269214936388086</c:v>
                </c:pt>
                <c:pt idx="75">
                  <c:v>0.54311279831289316</c:v>
                </c:pt>
                <c:pt idx="76">
                  <c:v>0.64991632276644051</c:v>
                </c:pt>
                <c:pt idx="77">
                  <c:v>0.74520035393408268</c:v>
                </c:pt>
                <c:pt idx="78">
                  <c:v>0.76476526172699799</c:v>
                </c:pt>
                <c:pt idx="79">
                  <c:v>0.76715041455256716</c:v>
                </c:pt>
                <c:pt idx="80">
                  <c:v>0.77913542886387466</c:v>
                </c:pt>
                <c:pt idx="81">
                  <c:v>0.79790760681101336</c:v>
                </c:pt>
                <c:pt idx="82">
                  <c:v>0.79930043255834871</c:v>
                </c:pt>
                <c:pt idx="83">
                  <c:v>0.80909571022157933</c:v>
                </c:pt>
                <c:pt idx="84">
                  <c:v>0.8173714702258239</c:v>
                </c:pt>
                <c:pt idx="85">
                  <c:v>0.8220675256694463</c:v>
                </c:pt>
                <c:pt idx="86">
                  <c:v>0.94080499762717185</c:v>
                </c:pt>
                <c:pt idx="87">
                  <c:v>0.98384974618307341</c:v>
                </c:pt>
                <c:pt idx="88">
                  <c:v>1.084910181769061</c:v>
                </c:pt>
                <c:pt idx="89">
                  <c:v>1.088562294937061</c:v>
                </c:pt>
                <c:pt idx="90">
                  <c:v>1.1252408849651883</c:v>
                </c:pt>
                <c:pt idx="91">
                  <c:v>1.1573512190828252</c:v>
                </c:pt>
                <c:pt idx="92">
                  <c:v>1.1607317321410837</c:v>
                </c:pt>
                <c:pt idx="93">
                  <c:v>1.1935119946777377</c:v>
                </c:pt>
                <c:pt idx="94">
                  <c:v>1.2933080083597004</c:v>
                </c:pt>
                <c:pt idx="95">
                  <c:v>1.3006576888791135</c:v>
                </c:pt>
                <c:pt idx="96">
                  <c:v>1.3072997744824202</c:v>
                </c:pt>
                <c:pt idx="97">
                  <c:v>1.3201728926043841</c:v>
                </c:pt>
                <c:pt idx="98">
                  <c:v>1.3282751471537555</c:v>
                </c:pt>
                <c:pt idx="99">
                  <c:v>1.3592930931331151</c:v>
                </c:pt>
                <c:pt idx="100">
                  <c:v>1.3893836371301047</c:v>
                </c:pt>
                <c:pt idx="101">
                  <c:v>1.4570599695124704</c:v>
                </c:pt>
                <c:pt idx="102">
                  <c:v>1.4746501612318974</c:v>
                </c:pt>
                <c:pt idx="103">
                  <c:v>1.4799167353491935</c:v>
                </c:pt>
                <c:pt idx="104">
                  <c:v>1.5120608050198472</c:v>
                </c:pt>
                <c:pt idx="105">
                  <c:v>1.5632378548125487</c:v>
                </c:pt>
                <c:pt idx="106">
                  <c:v>1.5752476292840976</c:v>
                </c:pt>
                <c:pt idx="107">
                  <c:v>1.7130121087748451</c:v>
                </c:pt>
                <c:pt idx="108">
                  <c:v>1.8101887790863302</c:v>
                </c:pt>
                <c:pt idx="109">
                  <c:v>1.8519535193189707</c:v>
                </c:pt>
                <c:pt idx="110">
                  <c:v>1.9551601207275044</c:v>
                </c:pt>
                <c:pt idx="111">
                  <c:v>1.9636320377819911</c:v>
                </c:pt>
                <c:pt idx="112">
                  <c:v>1.9965489332311821</c:v>
                </c:pt>
                <c:pt idx="113">
                  <c:v>2.1127325139720563</c:v>
                </c:pt>
                <c:pt idx="114">
                  <c:v>2.1320616401803507</c:v>
                </c:pt>
                <c:pt idx="115">
                  <c:v>2.1528110708148573</c:v>
                </c:pt>
                <c:pt idx="116">
                  <c:v>2.1554149374730458</c:v>
                </c:pt>
                <c:pt idx="117">
                  <c:v>2.1937669383125291</c:v>
                </c:pt>
                <c:pt idx="118">
                  <c:v>2.2441569439350513</c:v>
                </c:pt>
                <c:pt idx="119">
                  <c:v>2.3109716137805942</c:v>
                </c:pt>
                <c:pt idx="120">
                  <c:v>2.3644571963769208</c:v>
                </c:pt>
                <c:pt idx="121">
                  <c:v>2.3878145236429944</c:v>
                </c:pt>
                <c:pt idx="122">
                  <c:v>2.4047017706743326</c:v>
                </c:pt>
                <c:pt idx="123">
                  <c:v>2.4711222871909655</c:v>
                </c:pt>
                <c:pt idx="124">
                  <c:v>2.5118747000438195</c:v>
                </c:pt>
                <c:pt idx="125">
                  <c:v>2.5198681337412903</c:v>
                </c:pt>
                <c:pt idx="126">
                  <c:v>2.5257042870557784</c:v>
                </c:pt>
                <c:pt idx="127">
                  <c:v>2.5343167951715437</c:v>
                </c:pt>
                <c:pt idx="128">
                  <c:v>2.6303236664701828</c:v>
                </c:pt>
                <c:pt idx="129">
                  <c:v>2.6535892327475388</c:v>
                </c:pt>
                <c:pt idx="130">
                  <c:v>2.664630651168546</c:v>
                </c:pt>
                <c:pt idx="131">
                  <c:v>2.683391280512204</c:v>
                </c:pt>
                <c:pt idx="132">
                  <c:v>2.7070180675265525</c:v>
                </c:pt>
                <c:pt idx="133">
                  <c:v>2.8438546235537174</c:v>
                </c:pt>
                <c:pt idx="134">
                  <c:v>2.8609360739223297</c:v>
                </c:pt>
                <c:pt idx="135">
                  <c:v>3.0698713827378343</c:v>
                </c:pt>
                <c:pt idx="136">
                  <c:v>3.1095108983661892</c:v>
                </c:pt>
                <c:pt idx="137">
                  <c:v>3.1666873562985165</c:v>
                </c:pt>
                <c:pt idx="138">
                  <c:v>3.3950819422879635</c:v>
                </c:pt>
                <c:pt idx="139">
                  <c:v>3.4388141552305238</c:v>
                </c:pt>
                <c:pt idx="140">
                  <c:v>3.580071379617352</c:v>
                </c:pt>
                <c:pt idx="141">
                  <c:v>3.8214888861569447</c:v>
                </c:pt>
                <c:pt idx="142">
                  <c:v>4.5018822436456931</c:v>
                </c:pt>
                <c:pt idx="143">
                  <c:v>5.5867022964527608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E8-2A47-8765-51DC44881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4791792"/>
        <c:axId val="1144212736"/>
      </c:scatterChart>
      <c:valAx>
        <c:axId val="1144791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44212736"/>
        <c:crosses val="autoZero"/>
        <c:crossBetween val="midCat"/>
      </c:valAx>
      <c:valAx>
        <c:axId val="11442127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Asset Returns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44791792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Average SONIA (%)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Data!$R$2:$R$145</c:f>
              <c:numCache>
                <c:formatCode>0.0000</c:formatCode>
                <c:ptCount val="144"/>
                <c:pt idx="0">
                  <c:v>3.5433333333333303E-2</c:v>
                </c:pt>
                <c:pt idx="1">
                  <c:v>3.5841666666666702E-2</c:v>
                </c:pt>
                <c:pt idx="2">
                  <c:v>3.55833333333333E-2</c:v>
                </c:pt>
                <c:pt idx="3">
                  <c:v>3.5825000000000003E-2</c:v>
                </c:pt>
                <c:pt idx="4">
                  <c:v>3.5941666666666698E-2</c:v>
                </c:pt>
                <c:pt idx="5">
                  <c:v>3.58333333333333E-2</c:v>
                </c:pt>
                <c:pt idx="6">
                  <c:v>3.5125000000000003E-2</c:v>
                </c:pt>
                <c:pt idx="7">
                  <c:v>3.5725E-2</c:v>
                </c:pt>
                <c:pt idx="8">
                  <c:v>3.4974999999999999E-2</c:v>
                </c:pt>
                <c:pt idx="9">
                  <c:v>3.4658333333333298E-2</c:v>
                </c:pt>
                <c:pt idx="10">
                  <c:v>3.51666666666667E-2</c:v>
                </c:pt>
                <c:pt idx="11">
                  <c:v>3.5275000000000001E-2</c:v>
                </c:pt>
                <c:pt idx="12">
                  <c:v>3.5424999999999998E-2</c:v>
                </c:pt>
                <c:pt idx="13">
                  <c:v>3.5691666666666698E-2</c:v>
                </c:pt>
                <c:pt idx="14">
                  <c:v>3.5233333333333297E-2</c:v>
                </c:pt>
                <c:pt idx="15">
                  <c:v>3.59916666666667E-2</c:v>
                </c:pt>
                <c:pt idx="16">
                  <c:v>3.5900000000000001E-2</c:v>
                </c:pt>
                <c:pt idx="17">
                  <c:v>3.6041666666666701E-2</c:v>
                </c:pt>
                <c:pt idx="18">
                  <c:v>3.5666666666666701E-2</c:v>
                </c:pt>
                <c:pt idx="19">
                  <c:v>3.6291666666666701E-2</c:v>
                </c:pt>
                <c:pt idx="20">
                  <c:v>3.7591666666666697E-2</c:v>
                </c:pt>
                <c:pt idx="21">
                  <c:v>3.80666666666667E-2</c:v>
                </c:pt>
                <c:pt idx="22">
                  <c:v>3.8116666666666701E-2</c:v>
                </c:pt>
                <c:pt idx="23">
                  <c:v>3.85E-2</c:v>
                </c:pt>
                <c:pt idx="24">
                  <c:v>3.805E-2</c:v>
                </c:pt>
                <c:pt idx="25">
                  <c:v>3.7908333333333301E-2</c:v>
                </c:pt>
                <c:pt idx="26">
                  <c:v>3.8249999999999999E-2</c:v>
                </c:pt>
                <c:pt idx="27">
                  <c:v>3.7866666666666701E-2</c:v>
                </c:pt>
                <c:pt idx="28">
                  <c:v>3.8516666666666699E-2</c:v>
                </c:pt>
                <c:pt idx="29">
                  <c:v>3.8633333333333297E-2</c:v>
                </c:pt>
                <c:pt idx="30">
                  <c:v>3.8124999999999999E-2</c:v>
                </c:pt>
                <c:pt idx="31">
                  <c:v>3.8824999999999998E-2</c:v>
                </c:pt>
                <c:pt idx="32">
                  <c:v>3.8808333333333299E-2</c:v>
                </c:pt>
                <c:pt idx="33">
                  <c:v>3.8716666666666698E-2</c:v>
                </c:pt>
                <c:pt idx="34">
                  <c:v>3.88583333333333E-2</c:v>
                </c:pt>
                <c:pt idx="35">
                  <c:v>3.86083333333333E-2</c:v>
                </c:pt>
                <c:pt idx="36">
                  <c:v>3.83166666666667E-2</c:v>
                </c:pt>
                <c:pt idx="37">
                  <c:v>3.8141666666666699E-2</c:v>
                </c:pt>
                <c:pt idx="38">
                  <c:v>2.0650000000000002E-2</c:v>
                </c:pt>
                <c:pt idx="39">
                  <c:v>1.7749999999999998E-2</c:v>
                </c:pt>
                <c:pt idx="40">
                  <c:v>1.7666666666666699E-2</c:v>
                </c:pt>
                <c:pt idx="41">
                  <c:v>1.7566666666666699E-2</c:v>
                </c:pt>
                <c:pt idx="42">
                  <c:v>1.7708333333333302E-2</c:v>
                </c:pt>
                <c:pt idx="43">
                  <c:v>1.7791666666666699E-2</c:v>
                </c:pt>
                <c:pt idx="44">
                  <c:v>1.755E-2</c:v>
                </c:pt>
                <c:pt idx="45">
                  <c:v>1.7458333333333301E-2</c:v>
                </c:pt>
                <c:pt idx="46">
                  <c:v>1.7616666666666701E-2</c:v>
                </c:pt>
                <c:pt idx="47">
                  <c:v>1.77166666666667E-2</c:v>
                </c:pt>
                <c:pt idx="48">
                  <c:v>1.7675E-2</c:v>
                </c:pt>
                <c:pt idx="49">
                  <c:v>1.77E-2</c:v>
                </c:pt>
                <c:pt idx="50">
                  <c:v>1.7766666666666701E-2</c:v>
                </c:pt>
                <c:pt idx="51">
                  <c:v>1.7691666666666699E-2</c:v>
                </c:pt>
                <c:pt idx="52">
                  <c:v>1.7583333333333302E-2</c:v>
                </c:pt>
                <c:pt idx="53">
                  <c:v>3.7441666666666699E-2</c:v>
                </c:pt>
                <c:pt idx="54">
                  <c:v>3.8491666666666702E-2</c:v>
                </c:pt>
                <c:pt idx="55">
                  <c:v>3.8591666666666698E-2</c:v>
                </c:pt>
                <c:pt idx="56">
                  <c:v>3.8616666666666702E-2</c:v>
                </c:pt>
                <c:pt idx="57">
                  <c:v>3.8641666666666699E-2</c:v>
                </c:pt>
                <c:pt idx="58">
                  <c:v>3.8475000000000002E-2</c:v>
                </c:pt>
                <c:pt idx="59">
                  <c:v>3.7741666666666701E-2</c:v>
                </c:pt>
                <c:pt idx="60">
                  <c:v>3.7558333333333298E-2</c:v>
                </c:pt>
                <c:pt idx="61">
                  <c:v>3.7874999999999999E-2</c:v>
                </c:pt>
                <c:pt idx="62">
                  <c:v>5.7591666666666701E-2</c:v>
                </c:pt>
                <c:pt idx="63">
                  <c:v>5.8433333333333302E-2</c:v>
                </c:pt>
                <c:pt idx="64">
                  <c:v>5.8424999999999998E-2</c:v>
                </c:pt>
                <c:pt idx="65">
                  <c:v>5.8474999999999999E-2</c:v>
                </c:pt>
                <c:pt idx="66">
                  <c:v>5.8549999999999998E-2</c:v>
                </c:pt>
                <c:pt idx="67">
                  <c:v>5.9174999999999998E-2</c:v>
                </c:pt>
                <c:pt idx="68">
                  <c:v>5.9150000000000001E-2</c:v>
                </c:pt>
                <c:pt idx="69">
                  <c:v>5.9233333333333298E-2</c:v>
                </c:pt>
                <c:pt idx="70">
                  <c:v>5.92083333333333E-2</c:v>
                </c:pt>
                <c:pt idx="71">
                  <c:v>5.9174999999999998E-2</c:v>
                </c:pt>
                <c:pt idx="72">
                  <c:v>5.9275000000000001E-2</c:v>
                </c:pt>
                <c:pt idx="73">
                  <c:v>5.9200000000000003E-2</c:v>
                </c:pt>
                <c:pt idx="74">
                  <c:v>2.6599999999999999E-2</c:v>
                </c:pt>
                <c:pt idx="75">
                  <c:v>5.4916666666666699E-3</c:v>
                </c:pt>
                <c:pt idx="76">
                  <c:v>5.61666666666667E-3</c:v>
                </c:pt>
                <c:pt idx="77">
                  <c:v>5.3833333333333303E-3</c:v>
                </c:pt>
                <c:pt idx="78">
                  <c:v>4.9916666666666703E-3</c:v>
                </c:pt>
                <c:pt idx="79">
                  <c:v>4.6833333333333301E-3</c:v>
                </c:pt>
                <c:pt idx="80">
                  <c:v>4.55833333333333E-3</c:v>
                </c:pt>
                <c:pt idx="81">
                  <c:v>4.4833333333333296E-3</c:v>
                </c:pt>
                <c:pt idx="82">
                  <c:v>4.4749999999999998E-3</c:v>
                </c:pt>
                <c:pt idx="83">
                  <c:v>4.1000000000000003E-3</c:v>
                </c:pt>
                <c:pt idx="84">
                  <c:v>4.1166666666666704E-3</c:v>
                </c:pt>
                <c:pt idx="85">
                  <c:v>4.0499999999999998E-3</c:v>
                </c:pt>
                <c:pt idx="86">
                  <c:v>4.0499999999999998E-3</c:v>
                </c:pt>
                <c:pt idx="87">
                  <c:v>4.0499999999999998E-3</c:v>
                </c:pt>
                <c:pt idx="88">
                  <c:v>4.1250000000000002E-3</c:v>
                </c:pt>
                <c:pt idx="89">
                  <c:v>4.15E-3</c:v>
                </c:pt>
                <c:pt idx="90">
                  <c:v>4.2166666666666698E-3</c:v>
                </c:pt>
                <c:pt idx="91">
                  <c:v>4.1999999999999997E-3</c:v>
                </c:pt>
                <c:pt idx="92">
                  <c:v>4.1666666666666701E-3</c:v>
                </c:pt>
                <c:pt idx="93">
                  <c:v>4.1833333333333297E-3</c:v>
                </c:pt>
                <c:pt idx="94">
                  <c:v>3.8999999999999998E-3</c:v>
                </c:pt>
                <c:pt idx="95">
                  <c:v>9.5083333333333304E-3</c:v>
                </c:pt>
                <c:pt idx="96">
                  <c:v>1.6316666666666702E-2</c:v>
                </c:pt>
                <c:pt idx="97">
                  <c:v>3.4991666666666699E-2</c:v>
                </c:pt>
                <c:pt idx="98">
                  <c:v>4.68583333333333E-2</c:v>
                </c:pt>
                <c:pt idx="99">
                  <c:v>5.7549999999999997E-2</c:v>
                </c:pt>
                <c:pt idx="100">
                  <c:v>7.6316666666666699E-2</c:v>
                </c:pt>
                <c:pt idx="101">
                  <c:v>8.9724999999999999E-2</c:v>
                </c:pt>
                <c:pt idx="102">
                  <c:v>9.9233333333333298E-2</c:v>
                </c:pt>
                <c:pt idx="103">
                  <c:v>0.13516666666666699</c:v>
                </c:pt>
                <c:pt idx="104">
                  <c:v>0.154741666666667</c:v>
                </c:pt>
                <c:pt idx="105">
                  <c:v>0.18214166666666701</c:v>
                </c:pt>
                <c:pt idx="106">
                  <c:v>0.23832500000000001</c:v>
                </c:pt>
                <c:pt idx="107">
                  <c:v>0.26482499999999998</c:v>
                </c:pt>
                <c:pt idx="108">
                  <c:v>0.28562500000000002</c:v>
                </c:pt>
                <c:pt idx="109">
                  <c:v>0.32517499999999999</c:v>
                </c:pt>
                <c:pt idx="110">
                  <c:v>0.33359166666666701</c:v>
                </c:pt>
                <c:pt idx="111">
                  <c:v>0.34811666666666702</c:v>
                </c:pt>
                <c:pt idx="112">
                  <c:v>0.36273333333333302</c:v>
                </c:pt>
                <c:pt idx="113">
                  <c:v>0.38226666666666698</c:v>
                </c:pt>
                <c:pt idx="114">
                  <c:v>0.41084999999999999</c:v>
                </c:pt>
                <c:pt idx="115">
                  <c:v>0.43007499999999999</c:v>
                </c:pt>
                <c:pt idx="116">
                  <c:v>0.43211666666666698</c:v>
                </c:pt>
                <c:pt idx="117">
                  <c:v>0.43225833333333302</c:v>
                </c:pt>
                <c:pt idx="118">
                  <c:v>0.43229166666666702</c:v>
                </c:pt>
                <c:pt idx="119">
                  <c:v>0.43225000000000002</c:v>
                </c:pt>
                <c:pt idx="120">
                  <c:v>0.43229166666666702</c:v>
                </c:pt>
                <c:pt idx="121">
                  <c:v>0.43235833333333301</c:v>
                </c:pt>
                <c:pt idx="122">
                  <c:v>0.432425</c:v>
                </c:pt>
                <c:pt idx="123">
                  <c:v>0.43315833333333298</c:v>
                </c:pt>
                <c:pt idx="124">
                  <c:v>0.43333333333333302</c:v>
                </c:pt>
                <c:pt idx="125">
                  <c:v>0.43333333333333302</c:v>
                </c:pt>
                <c:pt idx="126">
                  <c:v>0.43333333333333302</c:v>
                </c:pt>
                <c:pt idx="127">
                  <c:v>0.41249999999999998</c:v>
                </c:pt>
                <c:pt idx="128">
                  <c:v>0.41249999999999998</c:v>
                </c:pt>
                <c:pt idx="129">
                  <c:v>0.41249999999999998</c:v>
                </c:pt>
                <c:pt idx="130">
                  <c:v>0.395633333333333</c:v>
                </c:pt>
                <c:pt idx="131">
                  <c:v>0.391666666666667</c:v>
                </c:pt>
                <c:pt idx="132">
                  <c:v>0.39168333333333299</c:v>
                </c:pt>
                <c:pt idx="133">
                  <c:v>0.37432500000000002</c:v>
                </c:pt>
                <c:pt idx="134">
                  <c:v>0.37129166666666702</c:v>
                </c:pt>
                <c:pt idx="135">
                  <c:v>0.371475</c:v>
                </c:pt>
                <c:pt idx="136">
                  <c:v>0.35503333333333298</c:v>
                </c:pt>
                <c:pt idx="137">
                  <c:v>0.35120000000000001</c:v>
                </c:pt>
                <c:pt idx="138">
                  <c:v>0.35143333333333299</c:v>
                </c:pt>
                <c:pt idx="139">
                  <c:v>0.33476666666666699</c:v>
                </c:pt>
                <c:pt idx="140">
                  <c:v>0.3306</c:v>
                </c:pt>
                <c:pt idx="141">
                  <c:v>0.330683333333333</c:v>
                </c:pt>
                <c:pt idx="142">
                  <c:v>0.33077499999999999</c:v>
                </c:pt>
                <c:pt idx="143">
                  <c:v>0.32324166666666698</c:v>
                </c:pt>
              </c:numCache>
            </c:numRef>
          </c:xVal>
          <c:yVal>
            <c:numRef>
              <c:f>'SONIA, Swap, Credit'!$C$28:$C$171</c:f>
              <c:numCache>
                <c:formatCode>General</c:formatCode>
                <c:ptCount val="144"/>
                <c:pt idx="0">
                  <c:v>-2.1011515000367309</c:v>
                </c:pt>
                <c:pt idx="1">
                  <c:v>1.3015639820430991</c:v>
                </c:pt>
                <c:pt idx="2">
                  <c:v>-1.4070933389764084</c:v>
                </c:pt>
                <c:pt idx="3">
                  <c:v>-0.31118883603047909</c:v>
                </c:pt>
                <c:pt idx="4">
                  <c:v>0.78808228903551747</c:v>
                </c:pt>
                <c:pt idx="5">
                  <c:v>-0.1777859331111033</c:v>
                </c:pt>
                <c:pt idx="6">
                  <c:v>0.13195680922246755</c:v>
                </c:pt>
                <c:pt idx="7">
                  <c:v>-1.989866415704135</c:v>
                </c:pt>
                <c:pt idx="8">
                  <c:v>0.9481161564731484</c:v>
                </c:pt>
                <c:pt idx="9">
                  <c:v>-0.54635098559101147</c:v>
                </c:pt>
                <c:pt idx="10">
                  <c:v>-0.17514554432735596</c:v>
                </c:pt>
                <c:pt idx="11">
                  <c:v>0.55680861209497645</c:v>
                </c:pt>
                <c:pt idx="12">
                  <c:v>-0.65673683920162729</c:v>
                </c:pt>
                <c:pt idx="13">
                  <c:v>0.33300673465771946</c:v>
                </c:pt>
                <c:pt idx="14">
                  <c:v>0.29635353914635942</c:v>
                </c:pt>
                <c:pt idx="15">
                  <c:v>0.13523213965643399</c:v>
                </c:pt>
                <c:pt idx="16">
                  <c:v>-0.5570541174299557</c:v>
                </c:pt>
                <c:pt idx="17">
                  <c:v>1.8236563253435785</c:v>
                </c:pt>
                <c:pt idx="18">
                  <c:v>-0.28381408269923869</c:v>
                </c:pt>
                <c:pt idx="19">
                  <c:v>-0.34604912359868578</c:v>
                </c:pt>
                <c:pt idx="20">
                  <c:v>0.81020934890884044</c:v>
                </c:pt>
                <c:pt idx="21">
                  <c:v>0.54907333427743754</c:v>
                </c:pt>
                <c:pt idx="22">
                  <c:v>-2.6096691071828326E-2</c:v>
                </c:pt>
                <c:pt idx="23">
                  <c:v>0.17515749761127958</c:v>
                </c:pt>
                <c:pt idx="24">
                  <c:v>-1.4889602778005533</c:v>
                </c:pt>
                <c:pt idx="25">
                  <c:v>0.82777308175469466</c:v>
                </c:pt>
                <c:pt idx="26">
                  <c:v>-1.7630367613367852</c:v>
                </c:pt>
                <c:pt idx="27">
                  <c:v>2.7244363591638621E-4</c:v>
                </c:pt>
                <c:pt idx="28">
                  <c:v>0.79878484933891913</c:v>
                </c:pt>
                <c:pt idx="29">
                  <c:v>1.0554901563401222</c:v>
                </c:pt>
                <c:pt idx="30">
                  <c:v>0.68363792269082602</c:v>
                </c:pt>
                <c:pt idx="31">
                  <c:v>-1.0525816326714406</c:v>
                </c:pt>
                <c:pt idx="32">
                  <c:v>0.14705882311602941</c:v>
                </c:pt>
                <c:pt idx="33">
                  <c:v>-1.0488358025125812</c:v>
                </c:pt>
                <c:pt idx="34">
                  <c:v>-1.2047091115314041</c:v>
                </c:pt>
                <c:pt idx="35">
                  <c:v>0.12245669257282976</c:v>
                </c:pt>
                <c:pt idx="36">
                  <c:v>1.6052103888487976</c:v>
                </c:pt>
                <c:pt idx="37">
                  <c:v>5.8475101436120003E-2</c:v>
                </c:pt>
                <c:pt idx="38">
                  <c:v>-0.76730858638827848</c:v>
                </c:pt>
                <c:pt idx="39">
                  <c:v>0.75596101821338557</c:v>
                </c:pt>
                <c:pt idx="40">
                  <c:v>1.3709289671645464</c:v>
                </c:pt>
                <c:pt idx="41">
                  <c:v>-0.31175795612252577</c:v>
                </c:pt>
                <c:pt idx="42">
                  <c:v>0.64125990486237283</c:v>
                </c:pt>
                <c:pt idx="43">
                  <c:v>-0.51546123700602064</c:v>
                </c:pt>
                <c:pt idx="44">
                  <c:v>0.83947887882239591</c:v>
                </c:pt>
                <c:pt idx="45">
                  <c:v>0.25153277372583543</c:v>
                </c:pt>
                <c:pt idx="46">
                  <c:v>-1.3909193968746503</c:v>
                </c:pt>
                <c:pt idx="47">
                  <c:v>0.68574031260106705</c:v>
                </c:pt>
                <c:pt idx="48">
                  <c:v>-0.7769682252392589</c:v>
                </c:pt>
                <c:pt idx="49">
                  <c:v>-0.20795354505443975</c:v>
                </c:pt>
                <c:pt idx="50">
                  <c:v>0.58297896219815926</c:v>
                </c:pt>
                <c:pt idx="51">
                  <c:v>-0.91511371126202201</c:v>
                </c:pt>
                <c:pt idx="52">
                  <c:v>0.8175473378991116</c:v>
                </c:pt>
                <c:pt idx="53">
                  <c:v>-0.37496537591328094</c:v>
                </c:pt>
                <c:pt idx="54">
                  <c:v>1.3693830988979947</c:v>
                </c:pt>
                <c:pt idx="55">
                  <c:v>-0.74966002874684712</c:v>
                </c:pt>
                <c:pt idx="56">
                  <c:v>-0.62380917193921248</c:v>
                </c:pt>
                <c:pt idx="57">
                  <c:v>-1.591865866262375</c:v>
                </c:pt>
                <c:pt idx="58">
                  <c:v>1.9050403146922659</c:v>
                </c:pt>
                <c:pt idx="59">
                  <c:v>1.5031930455490277</c:v>
                </c:pt>
                <c:pt idx="60">
                  <c:v>0.25337192288326815</c:v>
                </c:pt>
                <c:pt idx="61">
                  <c:v>0.25238027876990277</c:v>
                </c:pt>
                <c:pt idx="62">
                  <c:v>-0.52763915344755696</c:v>
                </c:pt>
                <c:pt idx="63">
                  <c:v>4.5879148361926234E-2</c:v>
                </c:pt>
                <c:pt idx="64">
                  <c:v>-2.070846956454246</c:v>
                </c:pt>
                <c:pt idx="65">
                  <c:v>9.1778262169636138E-2</c:v>
                </c:pt>
                <c:pt idx="66">
                  <c:v>-2.5614175831020178</c:v>
                </c:pt>
                <c:pt idx="67">
                  <c:v>-2.1727728362090346</c:v>
                </c:pt>
                <c:pt idx="68">
                  <c:v>1.0581956395300156</c:v>
                </c:pt>
                <c:pt idx="69">
                  <c:v>-1.0957197083369041</c:v>
                </c:pt>
                <c:pt idx="70">
                  <c:v>0.76030344538230532</c:v>
                </c:pt>
                <c:pt idx="71">
                  <c:v>-9.3770516644807733E-2</c:v>
                </c:pt>
                <c:pt idx="72">
                  <c:v>-1.1287888200452234</c:v>
                </c:pt>
                <c:pt idx="73">
                  <c:v>-3.2700004203470892</c:v>
                </c:pt>
                <c:pt idx="74">
                  <c:v>0.71140428337790684</c:v>
                </c:pt>
                <c:pt idx="75">
                  <c:v>-0.77773768635426155</c:v>
                </c:pt>
                <c:pt idx="76">
                  <c:v>0.52658627489718901</c:v>
                </c:pt>
                <c:pt idx="77">
                  <c:v>0.36604450430524316</c:v>
                </c:pt>
                <c:pt idx="78">
                  <c:v>-2.8132111022769708</c:v>
                </c:pt>
                <c:pt idx="79">
                  <c:v>1.0602292330882586</c:v>
                </c:pt>
                <c:pt idx="80">
                  <c:v>-4.2862666926750725E-2</c:v>
                </c:pt>
                <c:pt idx="81">
                  <c:v>-2.2617032965952473</c:v>
                </c:pt>
                <c:pt idx="82">
                  <c:v>2.5767127146054301</c:v>
                </c:pt>
                <c:pt idx="83">
                  <c:v>0.51557765055536331</c:v>
                </c:pt>
                <c:pt idx="84">
                  <c:v>-0.48650858368331351</c:v>
                </c:pt>
                <c:pt idx="85">
                  <c:v>0.80548881923231563</c:v>
                </c:pt>
                <c:pt idx="86">
                  <c:v>1.5651145832281326</c:v>
                </c:pt>
                <c:pt idx="87">
                  <c:v>1.6349153757989712</c:v>
                </c:pt>
                <c:pt idx="88">
                  <c:v>-0.29524875073105639</c:v>
                </c:pt>
                <c:pt idx="89">
                  <c:v>0.28642447595357745</c:v>
                </c:pt>
                <c:pt idx="90">
                  <c:v>9.3202629080574528E-2</c:v>
                </c:pt>
                <c:pt idx="91">
                  <c:v>1.096355596837141</c:v>
                </c:pt>
                <c:pt idx="92">
                  <c:v>-0.49976270044406657</c:v>
                </c:pt>
                <c:pt idx="93">
                  <c:v>1.3092435184678606</c:v>
                </c:pt>
                <c:pt idx="94">
                  <c:v>0.27514588792549599</c:v>
                </c:pt>
                <c:pt idx="95">
                  <c:v>0.59966834047665829</c:v>
                </c:pt>
                <c:pt idx="96">
                  <c:v>-8.4006977125209215E-2</c:v>
                </c:pt>
                <c:pt idx="97">
                  <c:v>0.18948699586837159</c:v>
                </c:pt>
                <c:pt idx="98">
                  <c:v>1.9653917742597922</c:v>
                </c:pt>
                <c:pt idx="99">
                  <c:v>1.0568317270004357</c:v>
                </c:pt>
                <c:pt idx="100">
                  <c:v>-0.88586483259615634</c:v>
                </c:pt>
                <c:pt idx="101">
                  <c:v>0.280856073043112</c:v>
                </c:pt>
                <c:pt idx="102">
                  <c:v>-0.94140679086720258</c:v>
                </c:pt>
                <c:pt idx="103">
                  <c:v>2.3303181157447819</c:v>
                </c:pt>
                <c:pt idx="104">
                  <c:v>-0.84394544719170206</c:v>
                </c:pt>
                <c:pt idx="105">
                  <c:v>-0.72243243814616687</c:v>
                </c:pt>
                <c:pt idx="106">
                  <c:v>-6.2095805983918506E-2</c:v>
                </c:pt>
                <c:pt idx="107">
                  <c:v>-0.99168467415201356</c:v>
                </c:pt>
                <c:pt idx="108">
                  <c:v>0.28686756567470351</c:v>
                </c:pt>
                <c:pt idx="109">
                  <c:v>0.89053257916639783</c:v>
                </c:pt>
                <c:pt idx="110">
                  <c:v>-1.3381266039959829</c:v>
                </c:pt>
                <c:pt idx="111">
                  <c:v>0.47810757224670869</c:v>
                </c:pt>
                <c:pt idx="112">
                  <c:v>-0.53640347779410114</c:v>
                </c:pt>
                <c:pt idx="113">
                  <c:v>0.32032575235053529</c:v>
                </c:pt>
                <c:pt idx="114">
                  <c:v>0.39744067300122654</c:v>
                </c:pt>
                <c:pt idx="115">
                  <c:v>-0.87923777394282077</c:v>
                </c:pt>
                <c:pt idx="116">
                  <c:v>0.32358193256728501</c:v>
                </c:pt>
                <c:pt idx="117">
                  <c:v>-1.5700182836424155</c:v>
                </c:pt>
                <c:pt idx="118">
                  <c:v>-0.13426067390453822</c:v>
                </c:pt>
                <c:pt idx="119">
                  <c:v>0.21460545190259328</c:v>
                </c:pt>
                <c:pt idx="120">
                  <c:v>0.26096322699785934</c:v>
                </c:pt>
                <c:pt idx="121">
                  <c:v>0.73810967632617697</c:v>
                </c:pt>
                <c:pt idx="122">
                  <c:v>1.327480396007843</c:v>
                </c:pt>
                <c:pt idx="123">
                  <c:v>0.14324518057840896</c:v>
                </c:pt>
                <c:pt idx="124">
                  <c:v>0.11991716836547361</c:v>
                </c:pt>
                <c:pt idx="125">
                  <c:v>0.48930957210506676</c:v>
                </c:pt>
                <c:pt idx="126">
                  <c:v>-0.46927783027749326</c:v>
                </c:pt>
                <c:pt idx="127">
                  <c:v>-0.81635497616900965</c:v>
                </c:pt>
                <c:pt idx="128">
                  <c:v>-0.9472105555476148</c:v>
                </c:pt>
                <c:pt idx="129">
                  <c:v>0.48008636279917632</c:v>
                </c:pt>
                <c:pt idx="130">
                  <c:v>1.0788782839557021</c:v>
                </c:pt>
                <c:pt idx="131">
                  <c:v>-0.83169456190633229</c:v>
                </c:pt>
                <c:pt idx="132">
                  <c:v>1.64672871347046</c:v>
                </c:pt>
                <c:pt idx="133">
                  <c:v>-1.3076924256543432</c:v>
                </c:pt>
                <c:pt idx="134">
                  <c:v>-1.7879771158465121</c:v>
                </c:pt>
                <c:pt idx="135">
                  <c:v>-1.1977684003273412</c:v>
                </c:pt>
                <c:pt idx="136">
                  <c:v>1.6445313169355844</c:v>
                </c:pt>
                <c:pt idx="137">
                  <c:v>0.11393306252087365</c:v>
                </c:pt>
                <c:pt idx="138">
                  <c:v>1.576221653754847</c:v>
                </c:pt>
                <c:pt idx="139">
                  <c:v>-0.30212235766964224</c:v>
                </c:pt>
                <c:pt idx="140">
                  <c:v>0.6258272336044548</c:v>
                </c:pt>
                <c:pt idx="141">
                  <c:v>1.5230805357274084</c:v>
                </c:pt>
                <c:pt idx="142">
                  <c:v>-0.15957116634433727</c:v>
                </c:pt>
                <c:pt idx="143">
                  <c:v>1.1282021389921515E-2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DE1-2541-BEF0-33D6F685C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1369584"/>
        <c:axId val="1217196496"/>
      </c:scatterChart>
      <c:valAx>
        <c:axId val="1171369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Average SONIA (%)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1217196496"/>
        <c:crosses val="autoZero"/>
        <c:crossBetween val="midCat"/>
      </c:valAx>
      <c:valAx>
        <c:axId val="12171964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1369584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Average SONIA (%)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Asset Returns (%)</c:v>
          </c:tx>
          <c:spPr>
            <a:ln w="19050">
              <a:noFill/>
            </a:ln>
          </c:spPr>
          <c:xVal>
            <c:numRef>
              <c:f>Data!$R$2:$R$145</c:f>
              <c:numCache>
                <c:formatCode>0.0000</c:formatCode>
                <c:ptCount val="144"/>
                <c:pt idx="0">
                  <c:v>3.5433333333333303E-2</c:v>
                </c:pt>
                <c:pt idx="1">
                  <c:v>3.5841666666666702E-2</c:v>
                </c:pt>
                <c:pt idx="2">
                  <c:v>3.55833333333333E-2</c:v>
                </c:pt>
                <c:pt idx="3">
                  <c:v>3.5825000000000003E-2</c:v>
                </c:pt>
                <c:pt idx="4">
                  <c:v>3.5941666666666698E-2</c:v>
                </c:pt>
                <c:pt idx="5">
                  <c:v>3.58333333333333E-2</c:v>
                </c:pt>
                <c:pt idx="6">
                  <c:v>3.5125000000000003E-2</c:v>
                </c:pt>
                <c:pt idx="7">
                  <c:v>3.5725E-2</c:v>
                </c:pt>
                <c:pt idx="8">
                  <c:v>3.4974999999999999E-2</c:v>
                </c:pt>
                <c:pt idx="9">
                  <c:v>3.4658333333333298E-2</c:v>
                </c:pt>
                <c:pt idx="10">
                  <c:v>3.51666666666667E-2</c:v>
                </c:pt>
                <c:pt idx="11">
                  <c:v>3.5275000000000001E-2</c:v>
                </c:pt>
                <c:pt idx="12">
                  <c:v>3.5424999999999998E-2</c:v>
                </c:pt>
                <c:pt idx="13">
                  <c:v>3.5691666666666698E-2</c:v>
                </c:pt>
                <c:pt idx="14">
                  <c:v>3.5233333333333297E-2</c:v>
                </c:pt>
                <c:pt idx="15">
                  <c:v>3.59916666666667E-2</c:v>
                </c:pt>
                <c:pt idx="16">
                  <c:v>3.5900000000000001E-2</c:v>
                </c:pt>
                <c:pt idx="17">
                  <c:v>3.6041666666666701E-2</c:v>
                </c:pt>
                <c:pt idx="18">
                  <c:v>3.5666666666666701E-2</c:v>
                </c:pt>
                <c:pt idx="19">
                  <c:v>3.6291666666666701E-2</c:v>
                </c:pt>
                <c:pt idx="20">
                  <c:v>3.7591666666666697E-2</c:v>
                </c:pt>
                <c:pt idx="21">
                  <c:v>3.80666666666667E-2</c:v>
                </c:pt>
                <c:pt idx="22">
                  <c:v>3.8116666666666701E-2</c:v>
                </c:pt>
                <c:pt idx="23">
                  <c:v>3.85E-2</c:v>
                </c:pt>
                <c:pt idx="24">
                  <c:v>3.805E-2</c:v>
                </c:pt>
                <c:pt idx="25">
                  <c:v>3.7908333333333301E-2</c:v>
                </c:pt>
                <c:pt idx="26">
                  <c:v>3.8249999999999999E-2</c:v>
                </c:pt>
                <c:pt idx="27">
                  <c:v>3.7866666666666701E-2</c:v>
                </c:pt>
                <c:pt idx="28">
                  <c:v>3.8516666666666699E-2</c:v>
                </c:pt>
                <c:pt idx="29">
                  <c:v>3.8633333333333297E-2</c:v>
                </c:pt>
                <c:pt idx="30">
                  <c:v>3.8124999999999999E-2</c:v>
                </c:pt>
                <c:pt idx="31">
                  <c:v>3.8824999999999998E-2</c:v>
                </c:pt>
                <c:pt idx="32">
                  <c:v>3.8808333333333299E-2</c:v>
                </c:pt>
                <c:pt idx="33">
                  <c:v>3.8716666666666698E-2</c:v>
                </c:pt>
                <c:pt idx="34">
                  <c:v>3.88583333333333E-2</c:v>
                </c:pt>
                <c:pt idx="35">
                  <c:v>3.86083333333333E-2</c:v>
                </c:pt>
                <c:pt idx="36">
                  <c:v>3.83166666666667E-2</c:v>
                </c:pt>
                <c:pt idx="37">
                  <c:v>3.8141666666666699E-2</c:v>
                </c:pt>
                <c:pt idx="38">
                  <c:v>2.0650000000000002E-2</c:v>
                </c:pt>
                <c:pt idx="39">
                  <c:v>1.7749999999999998E-2</c:v>
                </c:pt>
                <c:pt idx="40">
                  <c:v>1.7666666666666699E-2</c:v>
                </c:pt>
                <c:pt idx="41">
                  <c:v>1.7566666666666699E-2</c:v>
                </c:pt>
                <c:pt idx="42">
                  <c:v>1.7708333333333302E-2</c:v>
                </c:pt>
                <c:pt idx="43">
                  <c:v>1.7791666666666699E-2</c:v>
                </c:pt>
                <c:pt idx="44">
                  <c:v>1.755E-2</c:v>
                </c:pt>
                <c:pt idx="45">
                  <c:v>1.7458333333333301E-2</c:v>
                </c:pt>
                <c:pt idx="46">
                  <c:v>1.7616666666666701E-2</c:v>
                </c:pt>
                <c:pt idx="47">
                  <c:v>1.77166666666667E-2</c:v>
                </c:pt>
                <c:pt idx="48">
                  <c:v>1.7675E-2</c:v>
                </c:pt>
                <c:pt idx="49">
                  <c:v>1.77E-2</c:v>
                </c:pt>
                <c:pt idx="50">
                  <c:v>1.7766666666666701E-2</c:v>
                </c:pt>
                <c:pt idx="51">
                  <c:v>1.7691666666666699E-2</c:v>
                </c:pt>
                <c:pt idx="52">
                  <c:v>1.7583333333333302E-2</c:v>
                </c:pt>
                <c:pt idx="53">
                  <c:v>3.7441666666666699E-2</c:v>
                </c:pt>
                <c:pt idx="54">
                  <c:v>3.8491666666666702E-2</c:v>
                </c:pt>
                <c:pt idx="55">
                  <c:v>3.8591666666666698E-2</c:v>
                </c:pt>
                <c:pt idx="56">
                  <c:v>3.8616666666666702E-2</c:v>
                </c:pt>
                <c:pt idx="57">
                  <c:v>3.8641666666666699E-2</c:v>
                </c:pt>
                <c:pt idx="58">
                  <c:v>3.8475000000000002E-2</c:v>
                </c:pt>
                <c:pt idx="59">
                  <c:v>3.7741666666666701E-2</c:v>
                </c:pt>
                <c:pt idx="60">
                  <c:v>3.7558333333333298E-2</c:v>
                </c:pt>
                <c:pt idx="61">
                  <c:v>3.7874999999999999E-2</c:v>
                </c:pt>
                <c:pt idx="62">
                  <c:v>5.7591666666666701E-2</c:v>
                </c:pt>
                <c:pt idx="63">
                  <c:v>5.8433333333333302E-2</c:v>
                </c:pt>
                <c:pt idx="64">
                  <c:v>5.8424999999999998E-2</c:v>
                </c:pt>
                <c:pt idx="65">
                  <c:v>5.8474999999999999E-2</c:v>
                </c:pt>
                <c:pt idx="66">
                  <c:v>5.8549999999999998E-2</c:v>
                </c:pt>
                <c:pt idx="67">
                  <c:v>5.9174999999999998E-2</c:v>
                </c:pt>
                <c:pt idx="68">
                  <c:v>5.9150000000000001E-2</c:v>
                </c:pt>
                <c:pt idx="69">
                  <c:v>5.9233333333333298E-2</c:v>
                </c:pt>
                <c:pt idx="70">
                  <c:v>5.92083333333333E-2</c:v>
                </c:pt>
                <c:pt idx="71">
                  <c:v>5.9174999999999998E-2</c:v>
                </c:pt>
                <c:pt idx="72">
                  <c:v>5.9275000000000001E-2</c:v>
                </c:pt>
                <c:pt idx="73">
                  <c:v>5.9200000000000003E-2</c:v>
                </c:pt>
                <c:pt idx="74">
                  <c:v>2.6599999999999999E-2</c:v>
                </c:pt>
                <c:pt idx="75">
                  <c:v>5.4916666666666699E-3</c:v>
                </c:pt>
                <c:pt idx="76">
                  <c:v>5.61666666666667E-3</c:v>
                </c:pt>
                <c:pt idx="77">
                  <c:v>5.3833333333333303E-3</c:v>
                </c:pt>
                <c:pt idx="78">
                  <c:v>4.9916666666666703E-3</c:v>
                </c:pt>
                <c:pt idx="79">
                  <c:v>4.6833333333333301E-3</c:v>
                </c:pt>
                <c:pt idx="80">
                  <c:v>4.55833333333333E-3</c:v>
                </c:pt>
                <c:pt idx="81">
                  <c:v>4.4833333333333296E-3</c:v>
                </c:pt>
                <c:pt idx="82">
                  <c:v>4.4749999999999998E-3</c:v>
                </c:pt>
                <c:pt idx="83">
                  <c:v>4.1000000000000003E-3</c:v>
                </c:pt>
                <c:pt idx="84">
                  <c:v>4.1166666666666704E-3</c:v>
                </c:pt>
                <c:pt idx="85">
                  <c:v>4.0499999999999998E-3</c:v>
                </c:pt>
                <c:pt idx="86">
                  <c:v>4.0499999999999998E-3</c:v>
                </c:pt>
                <c:pt idx="87">
                  <c:v>4.0499999999999998E-3</c:v>
                </c:pt>
                <c:pt idx="88">
                  <c:v>4.1250000000000002E-3</c:v>
                </c:pt>
                <c:pt idx="89">
                  <c:v>4.15E-3</c:v>
                </c:pt>
                <c:pt idx="90">
                  <c:v>4.2166666666666698E-3</c:v>
                </c:pt>
                <c:pt idx="91">
                  <c:v>4.1999999999999997E-3</c:v>
                </c:pt>
                <c:pt idx="92">
                  <c:v>4.1666666666666701E-3</c:v>
                </c:pt>
                <c:pt idx="93">
                  <c:v>4.1833333333333297E-3</c:v>
                </c:pt>
                <c:pt idx="94">
                  <c:v>3.8999999999999998E-3</c:v>
                </c:pt>
                <c:pt idx="95">
                  <c:v>9.5083333333333304E-3</c:v>
                </c:pt>
                <c:pt idx="96">
                  <c:v>1.6316666666666702E-2</c:v>
                </c:pt>
                <c:pt idx="97">
                  <c:v>3.4991666666666699E-2</c:v>
                </c:pt>
                <c:pt idx="98">
                  <c:v>4.68583333333333E-2</c:v>
                </c:pt>
                <c:pt idx="99">
                  <c:v>5.7549999999999997E-2</c:v>
                </c:pt>
                <c:pt idx="100">
                  <c:v>7.6316666666666699E-2</c:v>
                </c:pt>
                <c:pt idx="101">
                  <c:v>8.9724999999999999E-2</c:v>
                </c:pt>
                <c:pt idx="102">
                  <c:v>9.9233333333333298E-2</c:v>
                </c:pt>
                <c:pt idx="103">
                  <c:v>0.13516666666666699</c:v>
                </c:pt>
                <c:pt idx="104">
                  <c:v>0.154741666666667</c:v>
                </c:pt>
                <c:pt idx="105">
                  <c:v>0.18214166666666701</c:v>
                </c:pt>
                <c:pt idx="106">
                  <c:v>0.23832500000000001</c:v>
                </c:pt>
                <c:pt idx="107">
                  <c:v>0.26482499999999998</c:v>
                </c:pt>
                <c:pt idx="108">
                  <c:v>0.28562500000000002</c:v>
                </c:pt>
                <c:pt idx="109">
                  <c:v>0.32517499999999999</c:v>
                </c:pt>
                <c:pt idx="110">
                  <c:v>0.33359166666666701</c:v>
                </c:pt>
                <c:pt idx="111">
                  <c:v>0.34811666666666702</c:v>
                </c:pt>
                <c:pt idx="112">
                  <c:v>0.36273333333333302</c:v>
                </c:pt>
                <c:pt idx="113">
                  <c:v>0.38226666666666698</c:v>
                </c:pt>
                <c:pt idx="114">
                  <c:v>0.41084999999999999</c:v>
                </c:pt>
                <c:pt idx="115">
                  <c:v>0.43007499999999999</c:v>
                </c:pt>
                <c:pt idx="116">
                  <c:v>0.43211666666666698</c:v>
                </c:pt>
                <c:pt idx="117">
                  <c:v>0.43225833333333302</c:v>
                </c:pt>
                <c:pt idx="118">
                  <c:v>0.43229166666666702</c:v>
                </c:pt>
                <c:pt idx="119">
                  <c:v>0.43225000000000002</c:v>
                </c:pt>
                <c:pt idx="120">
                  <c:v>0.43229166666666702</c:v>
                </c:pt>
                <c:pt idx="121">
                  <c:v>0.43235833333333301</c:v>
                </c:pt>
                <c:pt idx="122">
                  <c:v>0.432425</c:v>
                </c:pt>
                <c:pt idx="123">
                  <c:v>0.43315833333333298</c:v>
                </c:pt>
                <c:pt idx="124">
                  <c:v>0.43333333333333302</c:v>
                </c:pt>
                <c:pt idx="125">
                  <c:v>0.43333333333333302</c:v>
                </c:pt>
                <c:pt idx="126">
                  <c:v>0.43333333333333302</c:v>
                </c:pt>
                <c:pt idx="127">
                  <c:v>0.41249999999999998</c:v>
                </c:pt>
                <c:pt idx="128">
                  <c:v>0.41249999999999998</c:v>
                </c:pt>
                <c:pt idx="129">
                  <c:v>0.41249999999999998</c:v>
                </c:pt>
                <c:pt idx="130">
                  <c:v>0.395633333333333</c:v>
                </c:pt>
                <c:pt idx="131">
                  <c:v>0.391666666666667</c:v>
                </c:pt>
                <c:pt idx="132">
                  <c:v>0.39168333333333299</c:v>
                </c:pt>
                <c:pt idx="133">
                  <c:v>0.37432500000000002</c:v>
                </c:pt>
                <c:pt idx="134">
                  <c:v>0.37129166666666702</c:v>
                </c:pt>
                <c:pt idx="135">
                  <c:v>0.371475</c:v>
                </c:pt>
                <c:pt idx="136">
                  <c:v>0.35503333333333298</c:v>
                </c:pt>
                <c:pt idx="137">
                  <c:v>0.35120000000000001</c:v>
                </c:pt>
                <c:pt idx="138">
                  <c:v>0.35143333333333299</c:v>
                </c:pt>
                <c:pt idx="139">
                  <c:v>0.33476666666666699</c:v>
                </c:pt>
                <c:pt idx="140">
                  <c:v>0.3306</c:v>
                </c:pt>
                <c:pt idx="141">
                  <c:v>0.330683333333333</c:v>
                </c:pt>
                <c:pt idx="142">
                  <c:v>0.33077499999999999</c:v>
                </c:pt>
                <c:pt idx="143">
                  <c:v>0.32324166666666698</c:v>
                </c:pt>
              </c:numCache>
            </c:numRef>
          </c:xVal>
          <c:yVal>
            <c:numRef>
              <c:f>Data!$O$2:$O$145</c:f>
              <c:numCache>
                <c:formatCode>0.0000</c:formatCode>
                <c:ptCount val="144"/>
                <c:pt idx="0">
                  <c:v>-3.1231512210139143</c:v>
                </c:pt>
                <c:pt idx="1">
                  <c:v>3.4388141552305238</c:v>
                </c:pt>
                <c:pt idx="2">
                  <c:v>-1.8423176925388944</c:v>
                </c:pt>
                <c:pt idx="3">
                  <c:v>0.76476526172699799</c:v>
                </c:pt>
                <c:pt idx="4">
                  <c:v>2.8438546235537174</c:v>
                </c:pt>
                <c:pt idx="5">
                  <c:v>-0.40587403799491967</c:v>
                </c:pt>
                <c:pt idx="6">
                  <c:v>0.39463790345239053</c:v>
                </c:pt>
                <c:pt idx="7">
                  <c:v>-0.84486748191592764</c:v>
                </c:pt>
                <c:pt idx="8">
                  <c:v>2.1320616401803507</c:v>
                </c:pt>
                <c:pt idx="9">
                  <c:v>-0.42414010254649709</c:v>
                </c:pt>
                <c:pt idx="10">
                  <c:v>0.74520035393408268</c:v>
                </c:pt>
                <c:pt idx="11">
                  <c:v>1.3893836371301047</c:v>
                </c:pt>
                <c:pt idx="12">
                  <c:v>-0.15960421366991845</c:v>
                </c:pt>
                <c:pt idx="13">
                  <c:v>2.1744398396726858E-3</c:v>
                </c:pt>
                <c:pt idx="14">
                  <c:v>2.1528110708148573</c:v>
                </c:pt>
                <c:pt idx="15">
                  <c:v>-0.63321922178810008</c:v>
                </c:pt>
                <c:pt idx="16">
                  <c:v>0.54311279831289316</c:v>
                </c:pt>
                <c:pt idx="17">
                  <c:v>2.6535892327475388</c:v>
                </c:pt>
                <c:pt idx="18">
                  <c:v>-0.18651939975316809</c:v>
                </c:pt>
                <c:pt idx="19">
                  <c:v>2.4047017706743326</c:v>
                </c:pt>
                <c:pt idx="20">
                  <c:v>0.8220675256694463</c:v>
                </c:pt>
                <c:pt idx="21">
                  <c:v>0.79790760681101336</c:v>
                </c:pt>
                <c:pt idx="22">
                  <c:v>-0.23417506109101072</c:v>
                </c:pt>
                <c:pt idx="23">
                  <c:v>0.44906329589973976</c:v>
                </c:pt>
                <c:pt idx="24">
                  <c:v>-3.3442885744124804</c:v>
                </c:pt>
                <c:pt idx="25">
                  <c:v>1.9551601207275044</c:v>
                </c:pt>
                <c:pt idx="26">
                  <c:v>-2.9682787226250409</c:v>
                </c:pt>
                <c:pt idx="27">
                  <c:v>-0.94912629185626851</c:v>
                </c:pt>
                <c:pt idx="28">
                  <c:v>2.683391280512204</c:v>
                </c:pt>
                <c:pt idx="29">
                  <c:v>1.084910181769061</c:v>
                </c:pt>
                <c:pt idx="30">
                  <c:v>-0.60205936122706527</c:v>
                </c:pt>
                <c:pt idx="31">
                  <c:v>-1.3845334693391671</c:v>
                </c:pt>
                <c:pt idx="32">
                  <c:v>0.51269214936388086</c:v>
                </c:pt>
                <c:pt idx="33">
                  <c:v>2.1127325139720563</c:v>
                </c:pt>
                <c:pt idx="34">
                  <c:v>0.44664249623499269</c:v>
                </c:pt>
                <c:pt idx="35">
                  <c:v>0.80909571022157933</c:v>
                </c:pt>
                <c:pt idx="36">
                  <c:v>3.3950819422879635</c:v>
                </c:pt>
                <c:pt idx="37">
                  <c:v>3.1095108983661892</c:v>
                </c:pt>
                <c:pt idx="38">
                  <c:v>1.5752476292840976</c:v>
                </c:pt>
                <c:pt idx="39">
                  <c:v>0.3941440510082177</c:v>
                </c:pt>
                <c:pt idx="40">
                  <c:v>0.29248739326307094</c:v>
                </c:pt>
                <c:pt idx="41">
                  <c:v>-0.93339874585644023</c:v>
                </c:pt>
                <c:pt idx="42">
                  <c:v>2.8609360739223297</c:v>
                </c:pt>
                <c:pt idx="43">
                  <c:v>-0.44945692130845749</c:v>
                </c:pt>
                <c:pt idx="44">
                  <c:v>2.5257042870557784</c:v>
                </c:pt>
                <c:pt idx="45">
                  <c:v>0.32195109833132546</c:v>
                </c:pt>
                <c:pt idx="46">
                  <c:v>-0.38364685529762182</c:v>
                </c:pt>
                <c:pt idx="47">
                  <c:v>1.8101887790863302</c:v>
                </c:pt>
                <c:pt idx="48">
                  <c:v>-0.8739297602339734</c:v>
                </c:pt>
                <c:pt idx="49">
                  <c:v>0.77913542886387466</c:v>
                </c:pt>
                <c:pt idx="50">
                  <c:v>1.1252408849651883</c:v>
                </c:pt>
                <c:pt idx="51">
                  <c:v>-1.0801430002995103</c:v>
                </c:pt>
                <c:pt idx="52">
                  <c:v>1.2933080083597004</c:v>
                </c:pt>
                <c:pt idx="53">
                  <c:v>-0.34952011853591453</c:v>
                </c:pt>
                <c:pt idx="54">
                  <c:v>2.1937669383125291</c:v>
                </c:pt>
                <c:pt idx="55">
                  <c:v>-0.70844610563042631</c:v>
                </c:pt>
                <c:pt idx="56">
                  <c:v>-1.1425691586862545</c:v>
                </c:pt>
                <c:pt idx="57">
                  <c:v>-1.4912303020014905</c:v>
                </c:pt>
                <c:pt idx="58">
                  <c:v>2.4711222871909655</c:v>
                </c:pt>
                <c:pt idx="59">
                  <c:v>1.5632378548125487</c:v>
                </c:pt>
                <c:pt idx="60">
                  <c:v>0.17050584189129772</c:v>
                </c:pt>
                <c:pt idx="61">
                  <c:v>1.3282751471537555</c:v>
                </c:pt>
                <c:pt idx="62">
                  <c:v>1.3361896540353232E-2</c:v>
                </c:pt>
                <c:pt idx="63">
                  <c:v>4.5162099813618559E-2</c:v>
                </c:pt>
                <c:pt idx="64">
                  <c:v>-2.5280472836281653</c:v>
                </c:pt>
                <c:pt idx="65">
                  <c:v>-0.85098504001589137</c:v>
                </c:pt>
                <c:pt idx="66">
                  <c:v>-2.5046976641667626</c:v>
                </c:pt>
                <c:pt idx="67">
                  <c:v>-1.2793531068196276</c:v>
                </c:pt>
                <c:pt idx="68">
                  <c:v>1.3201728926043841</c:v>
                </c:pt>
                <c:pt idx="69">
                  <c:v>-0.83998798555617005</c:v>
                </c:pt>
                <c:pt idx="70">
                  <c:v>1.3072997744824202</c:v>
                </c:pt>
                <c:pt idx="71">
                  <c:v>0.79930043255834871</c:v>
                </c:pt>
                <c:pt idx="72">
                  <c:v>-2.1093949631446327E-2</c:v>
                </c:pt>
                <c:pt idx="73">
                  <c:v>-4.1526948243374111</c:v>
                </c:pt>
                <c:pt idx="74">
                  <c:v>-7.0047284893671877</c:v>
                </c:pt>
                <c:pt idx="75">
                  <c:v>4.5018822436456931</c:v>
                </c:pt>
                <c:pt idx="76">
                  <c:v>2.7070180675265525</c:v>
                </c:pt>
                <c:pt idx="77">
                  <c:v>1.4570599695124704</c:v>
                </c:pt>
                <c:pt idx="78">
                  <c:v>-0.45287219230992509</c:v>
                </c:pt>
                <c:pt idx="79">
                  <c:v>1.4746501612318974</c:v>
                </c:pt>
                <c:pt idx="80">
                  <c:v>-0.32059917407416511</c:v>
                </c:pt>
                <c:pt idx="81">
                  <c:v>-1.9001782009329338</c:v>
                </c:pt>
                <c:pt idx="82">
                  <c:v>5.5867022964527608</c:v>
                </c:pt>
                <c:pt idx="83">
                  <c:v>1.8519535193189707</c:v>
                </c:pt>
                <c:pt idx="84">
                  <c:v>-0.72114034769675106</c:v>
                </c:pt>
                <c:pt idx="85">
                  <c:v>-2.8872892422191813E-2</c:v>
                </c:pt>
                <c:pt idx="86">
                  <c:v>2.1554149374730458</c:v>
                </c:pt>
                <c:pt idx="87">
                  <c:v>2.3109716137805942</c:v>
                </c:pt>
                <c:pt idx="88">
                  <c:v>0.25176219913533959</c:v>
                </c:pt>
                <c:pt idx="89">
                  <c:v>1.1935119946777377</c:v>
                </c:pt>
                <c:pt idx="90">
                  <c:v>1.088562294937061</c:v>
                </c:pt>
                <c:pt idx="91">
                  <c:v>1.4799167353491935</c:v>
                </c:pt>
                <c:pt idx="92">
                  <c:v>-1.3312319193447704</c:v>
                </c:pt>
                <c:pt idx="93">
                  <c:v>1.7130121087748451</c:v>
                </c:pt>
                <c:pt idx="94">
                  <c:v>0.3416951439283733</c:v>
                </c:pt>
                <c:pt idx="95">
                  <c:v>1.3592930931331151</c:v>
                </c:pt>
                <c:pt idx="96">
                  <c:v>-2.2568118607420633</c:v>
                </c:pt>
                <c:pt idx="97">
                  <c:v>-1.1072210028407516</c:v>
                </c:pt>
                <c:pt idx="98">
                  <c:v>1.9965489332311821</c:v>
                </c:pt>
                <c:pt idx="99">
                  <c:v>-1.7163787658669345</c:v>
                </c:pt>
                <c:pt idx="100">
                  <c:v>-0.82038765576752415</c:v>
                </c:pt>
                <c:pt idx="101">
                  <c:v>-3.6875242113072275</c:v>
                </c:pt>
                <c:pt idx="102">
                  <c:v>3.8214888861569447</c:v>
                </c:pt>
                <c:pt idx="103">
                  <c:v>-1.8267949190726551</c:v>
                </c:pt>
                <c:pt idx="104">
                  <c:v>-4.6868598995851904</c:v>
                </c:pt>
                <c:pt idx="105">
                  <c:v>2.2441569439350513</c:v>
                </c:pt>
                <c:pt idx="106">
                  <c:v>2.5198681337412903</c:v>
                </c:pt>
                <c:pt idx="107">
                  <c:v>-1.3850399013585131</c:v>
                </c:pt>
                <c:pt idx="108">
                  <c:v>3.0698713827378343</c:v>
                </c:pt>
                <c:pt idx="109">
                  <c:v>-0.16023377056929605</c:v>
                </c:pt>
                <c:pt idx="110">
                  <c:v>-0.25809067214290327</c:v>
                </c:pt>
                <c:pt idx="111">
                  <c:v>0.94080499762717185</c:v>
                </c:pt>
                <c:pt idx="112">
                  <c:v>-1.4816122688402813</c:v>
                </c:pt>
                <c:pt idx="113">
                  <c:v>0.76715041455256716</c:v>
                </c:pt>
                <c:pt idx="114">
                  <c:v>1.9636320377819911</c:v>
                </c:pt>
                <c:pt idx="115">
                  <c:v>-0.62523746935851443</c:v>
                </c:pt>
                <c:pt idx="116">
                  <c:v>0.27937046819359035</c:v>
                </c:pt>
                <c:pt idx="117">
                  <c:v>-1.7024670003016547</c:v>
                </c:pt>
                <c:pt idx="118">
                  <c:v>3.1666873562985165</c:v>
                </c:pt>
                <c:pt idx="119">
                  <c:v>3.580071379617352</c:v>
                </c:pt>
                <c:pt idx="120">
                  <c:v>5.5182858323510636E-2</c:v>
                </c:pt>
                <c:pt idx="121">
                  <c:v>0.8173714702258239</c:v>
                </c:pt>
                <c:pt idx="122">
                  <c:v>2.5343167951715437</c:v>
                </c:pt>
                <c:pt idx="123">
                  <c:v>-0.49649597275839152</c:v>
                </c:pt>
                <c:pt idx="124">
                  <c:v>1.1573512190828252</c:v>
                </c:pt>
                <c:pt idx="125">
                  <c:v>1.1607317321410837</c:v>
                </c:pt>
                <c:pt idx="126">
                  <c:v>0.98384974618307341</c:v>
                </c:pt>
                <c:pt idx="127">
                  <c:v>0.20128346879376346</c:v>
                </c:pt>
                <c:pt idx="128">
                  <c:v>6.2862567183433013E-2</c:v>
                </c:pt>
                <c:pt idx="129">
                  <c:v>1.5244628300109645E-2</c:v>
                </c:pt>
                <c:pt idx="130">
                  <c:v>2.5118747000438195</c:v>
                </c:pt>
                <c:pt idx="131">
                  <c:v>-0.73047275946122014</c:v>
                </c:pt>
                <c:pt idx="132">
                  <c:v>2.664630651168546</c:v>
                </c:pt>
                <c:pt idx="133">
                  <c:v>-0.63980558944311527</c:v>
                </c:pt>
                <c:pt idx="134">
                  <c:v>-2.5680570998352561</c:v>
                </c:pt>
                <c:pt idx="135">
                  <c:v>-0.12574664360828455</c:v>
                </c:pt>
                <c:pt idx="136">
                  <c:v>2.3878145236429944</c:v>
                </c:pt>
                <c:pt idx="137">
                  <c:v>1.3006576888791135</c:v>
                </c:pt>
                <c:pt idx="138">
                  <c:v>2.3644571963769208</c:v>
                </c:pt>
                <c:pt idx="139">
                  <c:v>-3.7635693365227305E-2</c:v>
                </c:pt>
                <c:pt idx="140">
                  <c:v>1.5120608050198472</c:v>
                </c:pt>
                <c:pt idx="141">
                  <c:v>2.6303236664701828</c:v>
                </c:pt>
                <c:pt idx="142">
                  <c:v>6.4450144874432388E-2</c:v>
                </c:pt>
                <c:pt idx="143">
                  <c:v>0.64991632276644051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C4-264E-9AF9-F87CE8292181}"/>
            </c:ext>
          </c:extLst>
        </c:ser>
        <c:ser>
          <c:idx val="1"/>
          <c:order val="1"/>
          <c:tx>
            <c:v>Predicted Asset Returns (%)</c:v>
          </c:tx>
          <c:spPr>
            <a:ln w="19050">
              <a:noFill/>
            </a:ln>
          </c:spPr>
          <c:xVal>
            <c:numRef>
              <c:f>Data!$R$2:$R$145</c:f>
              <c:numCache>
                <c:formatCode>0.0000</c:formatCode>
                <c:ptCount val="144"/>
                <c:pt idx="0">
                  <c:v>3.5433333333333303E-2</c:v>
                </c:pt>
                <c:pt idx="1">
                  <c:v>3.5841666666666702E-2</c:v>
                </c:pt>
                <c:pt idx="2">
                  <c:v>3.55833333333333E-2</c:v>
                </c:pt>
                <c:pt idx="3">
                  <c:v>3.5825000000000003E-2</c:v>
                </c:pt>
                <c:pt idx="4">
                  <c:v>3.5941666666666698E-2</c:v>
                </c:pt>
                <c:pt idx="5">
                  <c:v>3.58333333333333E-2</c:v>
                </c:pt>
                <c:pt idx="6">
                  <c:v>3.5125000000000003E-2</c:v>
                </c:pt>
                <c:pt idx="7">
                  <c:v>3.5725E-2</c:v>
                </c:pt>
                <c:pt idx="8">
                  <c:v>3.4974999999999999E-2</c:v>
                </c:pt>
                <c:pt idx="9">
                  <c:v>3.4658333333333298E-2</c:v>
                </c:pt>
                <c:pt idx="10">
                  <c:v>3.51666666666667E-2</c:v>
                </c:pt>
                <c:pt idx="11">
                  <c:v>3.5275000000000001E-2</c:v>
                </c:pt>
                <c:pt idx="12">
                  <c:v>3.5424999999999998E-2</c:v>
                </c:pt>
                <c:pt idx="13">
                  <c:v>3.5691666666666698E-2</c:v>
                </c:pt>
                <c:pt idx="14">
                  <c:v>3.5233333333333297E-2</c:v>
                </c:pt>
                <c:pt idx="15">
                  <c:v>3.59916666666667E-2</c:v>
                </c:pt>
                <c:pt idx="16">
                  <c:v>3.5900000000000001E-2</c:v>
                </c:pt>
                <c:pt idx="17">
                  <c:v>3.6041666666666701E-2</c:v>
                </c:pt>
                <c:pt idx="18">
                  <c:v>3.5666666666666701E-2</c:v>
                </c:pt>
                <c:pt idx="19">
                  <c:v>3.6291666666666701E-2</c:v>
                </c:pt>
                <c:pt idx="20">
                  <c:v>3.7591666666666697E-2</c:v>
                </c:pt>
                <c:pt idx="21">
                  <c:v>3.80666666666667E-2</c:v>
                </c:pt>
                <c:pt idx="22">
                  <c:v>3.8116666666666701E-2</c:v>
                </c:pt>
                <c:pt idx="23">
                  <c:v>3.85E-2</c:v>
                </c:pt>
                <c:pt idx="24">
                  <c:v>3.805E-2</c:v>
                </c:pt>
                <c:pt idx="25">
                  <c:v>3.7908333333333301E-2</c:v>
                </c:pt>
                <c:pt idx="26">
                  <c:v>3.8249999999999999E-2</c:v>
                </c:pt>
                <c:pt idx="27">
                  <c:v>3.7866666666666701E-2</c:v>
                </c:pt>
                <c:pt idx="28">
                  <c:v>3.8516666666666699E-2</c:v>
                </c:pt>
                <c:pt idx="29">
                  <c:v>3.8633333333333297E-2</c:v>
                </c:pt>
                <c:pt idx="30">
                  <c:v>3.8124999999999999E-2</c:v>
                </c:pt>
                <c:pt idx="31">
                  <c:v>3.8824999999999998E-2</c:v>
                </c:pt>
                <c:pt idx="32">
                  <c:v>3.8808333333333299E-2</c:v>
                </c:pt>
                <c:pt idx="33">
                  <c:v>3.8716666666666698E-2</c:v>
                </c:pt>
                <c:pt idx="34">
                  <c:v>3.88583333333333E-2</c:v>
                </c:pt>
                <c:pt idx="35">
                  <c:v>3.86083333333333E-2</c:v>
                </c:pt>
                <c:pt idx="36">
                  <c:v>3.83166666666667E-2</c:v>
                </c:pt>
                <c:pt idx="37">
                  <c:v>3.8141666666666699E-2</c:v>
                </c:pt>
                <c:pt idx="38">
                  <c:v>2.0650000000000002E-2</c:v>
                </c:pt>
                <c:pt idx="39">
                  <c:v>1.7749999999999998E-2</c:v>
                </c:pt>
                <c:pt idx="40">
                  <c:v>1.7666666666666699E-2</c:v>
                </c:pt>
                <c:pt idx="41">
                  <c:v>1.7566666666666699E-2</c:v>
                </c:pt>
                <c:pt idx="42">
                  <c:v>1.7708333333333302E-2</c:v>
                </c:pt>
                <c:pt idx="43">
                  <c:v>1.7791666666666699E-2</c:v>
                </c:pt>
                <c:pt idx="44">
                  <c:v>1.755E-2</c:v>
                </c:pt>
                <c:pt idx="45">
                  <c:v>1.7458333333333301E-2</c:v>
                </c:pt>
                <c:pt idx="46">
                  <c:v>1.7616666666666701E-2</c:v>
                </c:pt>
                <c:pt idx="47">
                  <c:v>1.77166666666667E-2</c:v>
                </c:pt>
                <c:pt idx="48">
                  <c:v>1.7675E-2</c:v>
                </c:pt>
                <c:pt idx="49">
                  <c:v>1.77E-2</c:v>
                </c:pt>
                <c:pt idx="50">
                  <c:v>1.7766666666666701E-2</c:v>
                </c:pt>
                <c:pt idx="51">
                  <c:v>1.7691666666666699E-2</c:v>
                </c:pt>
                <c:pt idx="52">
                  <c:v>1.7583333333333302E-2</c:v>
                </c:pt>
                <c:pt idx="53">
                  <c:v>3.7441666666666699E-2</c:v>
                </c:pt>
                <c:pt idx="54">
                  <c:v>3.8491666666666702E-2</c:v>
                </c:pt>
                <c:pt idx="55">
                  <c:v>3.8591666666666698E-2</c:v>
                </c:pt>
                <c:pt idx="56">
                  <c:v>3.8616666666666702E-2</c:v>
                </c:pt>
                <c:pt idx="57">
                  <c:v>3.8641666666666699E-2</c:v>
                </c:pt>
                <c:pt idx="58">
                  <c:v>3.8475000000000002E-2</c:v>
                </c:pt>
                <c:pt idx="59">
                  <c:v>3.7741666666666701E-2</c:v>
                </c:pt>
                <c:pt idx="60">
                  <c:v>3.7558333333333298E-2</c:v>
                </c:pt>
                <c:pt idx="61">
                  <c:v>3.7874999999999999E-2</c:v>
                </c:pt>
                <c:pt idx="62">
                  <c:v>5.7591666666666701E-2</c:v>
                </c:pt>
                <c:pt idx="63">
                  <c:v>5.8433333333333302E-2</c:v>
                </c:pt>
                <c:pt idx="64">
                  <c:v>5.8424999999999998E-2</c:v>
                </c:pt>
                <c:pt idx="65">
                  <c:v>5.8474999999999999E-2</c:v>
                </c:pt>
                <c:pt idx="66">
                  <c:v>5.8549999999999998E-2</c:v>
                </c:pt>
                <c:pt idx="67">
                  <c:v>5.9174999999999998E-2</c:v>
                </c:pt>
                <c:pt idx="68">
                  <c:v>5.9150000000000001E-2</c:v>
                </c:pt>
                <c:pt idx="69">
                  <c:v>5.9233333333333298E-2</c:v>
                </c:pt>
                <c:pt idx="70">
                  <c:v>5.92083333333333E-2</c:v>
                </c:pt>
                <c:pt idx="71">
                  <c:v>5.9174999999999998E-2</c:v>
                </c:pt>
                <c:pt idx="72">
                  <c:v>5.9275000000000001E-2</c:v>
                </c:pt>
                <c:pt idx="73">
                  <c:v>5.9200000000000003E-2</c:v>
                </c:pt>
                <c:pt idx="74">
                  <c:v>2.6599999999999999E-2</c:v>
                </c:pt>
                <c:pt idx="75">
                  <c:v>5.4916666666666699E-3</c:v>
                </c:pt>
                <c:pt idx="76">
                  <c:v>5.61666666666667E-3</c:v>
                </c:pt>
                <c:pt idx="77">
                  <c:v>5.3833333333333303E-3</c:v>
                </c:pt>
                <c:pt idx="78">
                  <c:v>4.9916666666666703E-3</c:v>
                </c:pt>
                <c:pt idx="79">
                  <c:v>4.6833333333333301E-3</c:v>
                </c:pt>
                <c:pt idx="80">
                  <c:v>4.55833333333333E-3</c:v>
                </c:pt>
                <c:pt idx="81">
                  <c:v>4.4833333333333296E-3</c:v>
                </c:pt>
                <c:pt idx="82">
                  <c:v>4.4749999999999998E-3</c:v>
                </c:pt>
                <c:pt idx="83">
                  <c:v>4.1000000000000003E-3</c:v>
                </c:pt>
                <c:pt idx="84">
                  <c:v>4.1166666666666704E-3</c:v>
                </c:pt>
                <c:pt idx="85">
                  <c:v>4.0499999999999998E-3</c:v>
                </c:pt>
                <c:pt idx="86">
                  <c:v>4.0499999999999998E-3</c:v>
                </c:pt>
                <c:pt idx="87">
                  <c:v>4.0499999999999998E-3</c:v>
                </c:pt>
                <c:pt idx="88">
                  <c:v>4.1250000000000002E-3</c:v>
                </c:pt>
                <c:pt idx="89">
                  <c:v>4.15E-3</c:v>
                </c:pt>
                <c:pt idx="90">
                  <c:v>4.2166666666666698E-3</c:v>
                </c:pt>
                <c:pt idx="91">
                  <c:v>4.1999999999999997E-3</c:v>
                </c:pt>
                <c:pt idx="92">
                  <c:v>4.1666666666666701E-3</c:v>
                </c:pt>
                <c:pt idx="93">
                  <c:v>4.1833333333333297E-3</c:v>
                </c:pt>
                <c:pt idx="94">
                  <c:v>3.8999999999999998E-3</c:v>
                </c:pt>
                <c:pt idx="95">
                  <c:v>9.5083333333333304E-3</c:v>
                </c:pt>
                <c:pt idx="96">
                  <c:v>1.6316666666666702E-2</c:v>
                </c:pt>
                <c:pt idx="97">
                  <c:v>3.4991666666666699E-2</c:v>
                </c:pt>
                <c:pt idx="98">
                  <c:v>4.68583333333333E-2</c:v>
                </c:pt>
                <c:pt idx="99">
                  <c:v>5.7549999999999997E-2</c:v>
                </c:pt>
                <c:pt idx="100">
                  <c:v>7.6316666666666699E-2</c:v>
                </c:pt>
                <c:pt idx="101">
                  <c:v>8.9724999999999999E-2</c:v>
                </c:pt>
                <c:pt idx="102">
                  <c:v>9.9233333333333298E-2</c:v>
                </c:pt>
                <c:pt idx="103">
                  <c:v>0.13516666666666699</c:v>
                </c:pt>
                <c:pt idx="104">
                  <c:v>0.154741666666667</c:v>
                </c:pt>
                <c:pt idx="105">
                  <c:v>0.18214166666666701</c:v>
                </c:pt>
                <c:pt idx="106">
                  <c:v>0.23832500000000001</c:v>
                </c:pt>
                <c:pt idx="107">
                  <c:v>0.26482499999999998</c:v>
                </c:pt>
                <c:pt idx="108">
                  <c:v>0.28562500000000002</c:v>
                </c:pt>
                <c:pt idx="109">
                  <c:v>0.32517499999999999</c:v>
                </c:pt>
                <c:pt idx="110">
                  <c:v>0.33359166666666701</c:v>
                </c:pt>
                <c:pt idx="111">
                  <c:v>0.34811666666666702</c:v>
                </c:pt>
                <c:pt idx="112">
                  <c:v>0.36273333333333302</c:v>
                </c:pt>
                <c:pt idx="113">
                  <c:v>0.38226666666666698</c:v>
                </c:pt>
                <c:pt idx="114">
                  <c:v>0.41084999999999999</c:v>
                </c:pt>
                <c:pt idx="115">
                  <c:v>0.43007499999999999</c:v>
                </c:pt>
                <c:pt idx="116">
                  <c:v>0.43211666666666698</c:v>
                </c:pt>
                <c:pt idx="117">
                  <c:v>0.43225833333333302</c:v>
                </c:pt>
                <c:pt idx="118">
                  <c:v>0.43229166666666702</c:v>
                </c:pt>
                <c:pt idx="119">
                  <c:v>0.43225000000000002</c:v>
                </c:pt>
                <c:pt idx="120">
                  <c:v>0.43229166666666702</c:v>
                </c:pt>
                <c:pt idx="121">
                  <c:v>0.43235833333333301</c:v>
                </c:pt>
                <c:pt idx="122">
                  <c:v>0.432425</c:v>
                </c:pt>
                <c:pt idx="123">
                  <c:v>0.43315833333333298</c:v>
                </c:pt>
                <c:pt idx="124">
                  <c:v>0.43333333333333302</c:v>
                </c:pt>
                <c:pt idx="125">
                  <c:v>0.43333333333333302</c:v>
                </c:pt>
                <c:pt idx="126">
                  <c:v>0.43333333333333302</c:v>
                </c:pt>
                <c:pt idx="127">
                  <c:v>0.41249999999999998</c:v>
                </c:pt>
                <c:pt idx="128">
                  <c:v>0.41249999999999998</c:v>
                </c:pt>
                <c:pt idx="129">
                  <c:v>0.41249999999999998</c:v>
                </c:pt>
                <c:pt idx="130">
                  <c:v>0.395633333333333</c:v>
                </c:pt>
                <c:pt idx="131">
                  <c:v>0.391666666666667</c:v>
                </c:pt>
                <c:pt idx="132">
                  <c:v>0.39168333333333299</c:v>
                </c:pt>
                <c:pt idx="133">
                  <c:v>0.37432500000000002</c:v>
                </c:pt>
                <c:pt idx="134">
                  <c:v>0.37129166666666702</c:v>
                </c:pt>
                <c:pt idx="135">
                  <c:v>0.371475</c:v>
                </c:pt>
                <c:pt idx="136">
                  <c:v>0.35503333333333298</c:v>
                </c:pt>
                <c:pt idx="137">
                  <c:v>0.35120000000000001</c:v>
                </c:pt>
                <c:pt idx="138">
                  <c:v>0.35143333333333299</c:v>
                </c:pt>
                <c:pt idx="139">
                  <c:v>0.33476666666666699</c:v>
                </c:pt>
                <c:pt idx="140">
                  <c:v>0.3306</c:v>
                </c:pt>
                <c:pt idx="141">
                  <c:v>0.330683333333333</c:v>
                </c:pt>
                <c:pt idx="142">
                  <c:v>0.33077499999999999</c:v>
                </c:pt>
                <c:pt idx="143">
                  <c:v>0.32324166666666698</c:v>
                </c:pt>
              </c:numCache>
            </c:numRef>
          </c:xVal>
          <c:yVal>
            <c:numRef>
              <c:f>'SONIA, Swap, Credit'!$B$28:$B$171</c:f>
              <c:numCache>
                <c:formatCode>General</c:formatCode>
                <c:ptCount val="144"/>
                <c:pt idx="0">
                  <c:v>-1.0219997209771834</c:v>
                </c:pt>
                <c:pt idx="1">
                  <c:v>2.1372501731874247</c:v>
                </c:pt>
                <c:pt idx="2">
                  <c:v>-0.43522435356248607</c:v>
                </c:pt>
                <c:pt idx="3">
                  <c:v>1.0759540977574771</c:v>
                </c:pt>
                <c:pt idx="4">
                  <c:v>2.0557723345182</c:v>
                </c:pt>
                <c:pt idx="5">
                  <c:v>-0.22808810488381637</c:v>
                </c:pt>
                <c:pt idx="6">
                  <c:v>0.26268109422992297</c:v>
                </c:pt>
                <c:pt idx="7">
                  <c:v>1.1449989337882074</c:v>
                </c:pt>
                <c:pt idx="8">
                  <c:v>1.1839454837072023</c:v>
                </c:pt>
                <c:pt idx="9">
                  <c:v>0.12221088304451443</c:v>
                </c:pt>
                <c:pt idx="10">
                  <c:v>0.92034589826143864</c:v>
                </c:pt>
                <c:pt idx="11">
                  <c:v>0.83257502503512826</c:v>
                </c:pt>
                <c:pt idx="12">
                  <c:v>0.49713262553170878</c:v>
                </c:pt>
                <c:pt idx="13">
                  <c:v>-0.33083229481804677</c:v>
                </c:pt>
                <c:pt idx="14">
                  <c:v>1.8564575316684979</c:v>
                </c:pt>
                <c:pt idx="15">
                  <c:v>-0.76845136144453408</c:v>
                </c:pt>
                <c:pt idx="16">
                  <c:v>1.1001669157428489</c:v>
                </c:pt>
                <c:pt idx="17">
                  <c:v>0.82993290740396031</c:v>
                </c:pt>
                <c:pt idx="18">
                  <c:v>9.7294682946070576E-2</c:v>
                </c:pt>
                <c:pt idx="19">
                  <c:v>2.7507508942730183</c:v>
                </c:pt>
                <c:pt idx="20">
                  <c:v>1.1858176760605854E-2</c:v>
                </c:pt>
                <c:pt idx="21">
                  <c:v>0.24883427253357582</c:v>
                </c:pt>
                <c:pt idx="22">
                  <c:v>-0.20807837001918239</c:v>
                </c:pt>
                <c:pt idx="23">
                  <c:v>0.27390579828846018</c:v>
                </c:pt>
                <c:pt idx="24">
                  <c:v>-1.8553282966119271</c:v>
                </c:pt>
                <c:pt idx="25">
                  <c:v>1.1273870389728098</c:v>
                </c:pt>
                <c:pt idx="26">
                  <c:v>-1.2052419612882557</c:v>
                </c:pt>
                <c:pt idx="27">
                  <c:v>-0.9493987354921849</c:v>
                </c:pt>
                <c:pt idx="28">
                  <c:v>1.8846064311732849</c:v>
                </c:pt>
                <c:pt idx="29">
                  <c:v>2.9420025428938734E-2</c:v>
                </c:pt>
                <c:pt idx="30">
                  <c:v>-1.2856972839178913</c:v>
                </c:pt>
                <c:pt idx="31">
                  <c:v>-0.33195183666772654</c:v>
                </c:pt>
                <c:pt idx="32">
                  <c:v>0.36563332624785144</c:v>
                </c:pt>
                <c:pt idx="33">
                  <c:v>3.1615683164846375</c:v>
                </c:pt>
                <c:pt idx="34">
                  <c:v>1.6513516077663968</c:v>
                </c:pt>
                <c:pt idx="35">
                  <c:v>0.68663901764874957</c:v>
                </c:pt>
                <c:pt idx="36">
                  <c:v>1.7898715534391658</c:v>
                </c:pt>
                <c:pt idx="37">
                  <c:v>3.0510357969300692</c:v>
                </c:pt>
                <c:pt idx="38">
                  <c:v>2.342556215672376</c:v>
                </c:pt>
                <c:pt idx="39">
                  <c:v>-0.36181696720516787</c:v>
                </c:pt>
                <c:pt idx="40">
                  <c:v>-1.0784415739014754</c:v>
                </c:pt>
                <c:pt idx="41">
                  <c:v>-0.62164078973391446</c:v>
                </c:pt>
                <c:pt idx="42">
                  <c:v>2.2196761690599569</c:v>
                </c:pt>
                <c:pt idx="43">
                  <c:v>6.6004315697563154E-2</c:v>
                </c:pt>
                <c:pt idx="44">
                  <c:v>1.6862254082333825</c:v>
                </c:pt>
                <c:pt idx="45">
                  <c:v>7.0418324605490037E-2</c:v>
                </c:pt>
                <c:pt idx="46">
                  <c:v>1.0072725415770285</c:v>
                </c:pt>
                <c:pt idx="47">
                  <c:v>1.1244484664852632</c:v>
                </c:pt>
                <c:pt idx="48">
                  <c:v>-9.6961534994714493E-2</c:v>
                </c:pt>
                <c:pt idx="49">
                  <c:v>0.98708897391831441</c:v>
                </c:pt>
                <c:pt idx="50">
                  <c:v>0.542261922767029</c:v>
                </c:pt>
                <c:pt idx="51">
                  <c:v>-0.16502928903748826</c:v>
                </c:pt>
                <c:pt idx="52">
                  <c:v>0.47576067046058879</c:v>
                </c:pt>
                <c:pt idx="53">
                  <c:v>2.5445257377366397E-2</c:v>
                </c:pt>
                <c:pt idx="54">
                  <c:v>0.8243838394145343</c:v>
                </c:pt>
                <c:pt idx="55">
                  <c:v>4.1213923116420803E-2</c:v>
                </c:pt>
                <c:pt idx="56">
                  <c:v>-0.51875998674704205</c:v>
                </c:pt>
                <c:pt idx="57">
                  <c:v>0.10063556426088438</c:v>
                </c:pt>
                <c:pt idx="58">
                  <c:v>0.56608197249869963</c:v>
                </c:pt>
                <c:pt idx="59">
                  <c:v>6.0044809263520973E-2</c:v>
                </c:pt>
                <c:pt idx="60">
                  <c:v>-8.2866080991970459E-2</c:v>
                </c:pt>
                <c:pt idx="61">
                  <c:v>1.0758948683838527</c:v>
                </c:pt>
                <c:pt idx="62">
                  <c:v>0.54100104998791021</c:v>
                </c:pt>
                <c:pt idx="63">
                  <c:v>-7.1704854830767495E-4</c:v>
                </c:pt>
                <c:pt idx="64">
                  <c:v>-0.45720032717391934</c:v>
                </c:pt>
                <c:pt idx="65">
                  <c:v>-0.94276330218552751</c:v>
                </c:pt>
                <c:pt idx="66">
                  <c:v>5.6719918935255409E-2</c:v>
                </c:pt>
                <c:pt idx="67">
                  <c:v>0.89341972938940728</c:v>
                </c:pt>
                <c:pt idx="68">
                  <c:v>0.26197725307436853</c:v>
                </c:pt>
                <c:pt idx="69">
                  <c:v>0.25573172278073408</c:v>
                </c:pt>
                <c:pt idx="70">
                  <c:v>0.54699632910011486</c:v>
                </c:pt>
                <c:pt idx="71">
                  <c:v>0.89307094920315644</c:v>
                </c:pt>
                <c:pt idx="72">
                  <c:v>1.107694870413777</c:v>
                </c:pt>
                <c:pt idx="73">
                  <c:v>-0.88269440399032217</c:v>
                </c:pt>
                <c:pt idx="74">
                  <c:v>-7.7161327727450946</c:v>
                </c:pt>
                <c:pt idx="75">
                  <c:v>5.2796199299999547</c:v>
                </c:pt>
                <c:pt idx="76">
                  <c:v>2.1804317926293635</c:v>
                </c:pt>
                <c:pt idx="77">
                  <c:v>1.0910154652072273</c:v>
                </c:pt>
                <c:pt idx="78">
                  <c:v>2.3603389099670458</c:v>
                </c:pt>
                <c:pt idx="79">
                  <c:v>0.41442092814363896</c:v>
                </c:pt>
                <c:pt idx="80">
                  <c:v>-0.27773650714741438</c:v>
                </c:pt>
                <c:pt idx="81">
                  <c:v>0.3615250956623135</c:v>
                </c:pt>
                <c:pt idx="82">
                  <c:v>3.0099895818473308</c:v>
                </c:pt>
                <c:pt idx="83">
                  <c:v>1.3363758687636074</c:v>
                </c:pt>
                <c:pt idx="84">
                  <c:v>-0.23463176401343755</c:v>
                </c:pt>
                <c:pt idx="85">
                  <c:v>-0.83436171165450745</c:v>
                </c:pt>
                <c:pt idx="86">
                  <c:v>0.59030035424491323</c:v>
                </c:pt>
                <c:pt idx="87">
                  <c:v>0.67605623798162306</c:v>
                </c:pt>
                <c:pt idx="88">
                  <c:v>0.54701094986639598</c:v>
                </c:pt>
                <c:pt idx="89">
                  <c:v>0.90708751872416027</c:v>
                </c:pt>
                <c:pt idx="90">
                  <c:v>0.9953596658564865</c:v>
                </c:pt>
                <c:pt idx="91">
                  <c:v>0.38356113851205254</c:v>
                </c:pt>
                <c:pt idx="92">
                  <c:v>-0.8314692189007038</c:v>
                </c:pt>
                <c:pt idx="93">
                  <c:v>0.40376859030698448</c:v>
                </c:pt>
                <c:pt idx="94">
                  <c:v>6.6549256002877311E-2</c:v>
                </c:pt>
                <c:pt idx="95">
                  <c:v>0.75962475265645679</c:v>
                </c:pt>
                <c:pt idx="96">
                  <c:v>-2.1728048836168541</c:v>
                </c:pt>
                <c:pt idx="97">
                  <c:v>-1.2967079987091232</c:v>
                </c:pt>
                <c:pt idx="98">
                  <c:v>3.1157158971390042E-2</c:v>
                </c:pt>
                <c:pt idx="99">
                  <c:v>-2.7732104928673702</c:v>
                </c:pt>
                <c:pt idx="100">
                  <c:v>6.5477176828632189E-2</c:v>
                </c:pt>
                <c:pt idx="101">
                  <c:v>-3.9683802843503395</c:v>
                </c:pt>
                <c:pt idx="102">
                  <c:v>4.7628956770241473</c:v>
                </c:pt>
                <c:pt idx="103">
                  <c:v>-4.1571130348174368</c:v>
                </c:pt>
                <c:pt idx="104">
                  <c:v>-3.8429144523934884</c:v>
                </c:pt>
                <c:pt idx="105">
                  <c:v>2.9665893820812181</c:v>
                </c:pt>
                <c:pt idx="106">
                  <c:v>2.5819639397252088</c:v>
                </c:pt>
                <c:pt idx="107">
                  <c:v>-0.39335522720649951</c:v>
                </c:pt>
                <c:pt idx="108">
                  <c:v>2.7830038170631308</c:v>
                </c:pt>
                <c:pt idx="109">
                  <c:v>-1.0507663497356938</c:v>
                </c:pt>
                <c:pt idx="110">
                  <c:v>1.0800359318530797</c:v>
                </c:pt>
                <c:pt idx="111">
                  <c:v>0.46269742538046316</c:v>
                </c:pt>
                <c:pt idx="112">
                  <c:v>-0.94520879104618016</c:v>
                </c:pt>
                <c:pt idx="113">
                  <c:v>0.44682466220203187</c:v>
                </c:pt>
                <c:pt idx="114">
                  <c:v>1.5661913647807646</c:v>
                </c:pt>
                <c:pt idx="115">
                  <c:v>0.25400030458430634</c:v>
                </c:pt>
                <c:pt idx="116">
                  <c:v>-4.4211464373694664E-2</c:v>
                </c:pt>
                <c:pt idx="117">
                  <c:v>-0.13244871665923919</c:v>
                </c:pt>
                <c:pt idx="118">
                  <c:v>3.3009480302030547</c:v>
                </c:pt>
                <c:pt idx="119">
                  <c:v>3.3654659277147587</c:v>
                </c:pt>
                <c:pt idx="120">
                  <c:v>-0.20578036867434873</c:v>
                </c:pt>
                <c:pt idx="121">
                  <c:v>7.9261793899646993E-2</c:v>
                </c:pt>
                <c:pt idx="122">
                  <c:v>1.2068363991637008</c:v>
                </c:pt>
                <c:pt idx="123">
                  <c:v>-0.63974115333680048</c:v>
                </c:pt>
                <c:pt idx="124">
                  <c:v>1.0374340507173516</c:v>
                </c:pt>
                <c:pt idx="125">
                  <c:v>0.67142216003601696</c:v>
                </c:pt>
                <c:pt idx="126">
                  <c:v>1.4531275764605667</c:v>
                </c:pt>
                <c:pt idx="127">
                  <c:v>1.0176384449627731</c:v>
                </c:pt>
                <c:pt idx="128">
                  <c:v>1.0100731227310478</c:v>
                </c:pt>
                <c:pt idx="129">
                  <c:v>-0.46484173449906668</c:v>
                </c:pt>
                <c:pt idx="130">
                  <c:v>1.4329964160881175</c:v>
                </c:pt>
                <c:pt idx="131">
                  <c:v>0.10122180244511209</c:v>
                </c:pt>
                <c:pt idx="132">
                  <c:v>1.017901937698086</c:v>
                </c:pt>
                <c:pt idx="133">
                  <c:v>0.66788683621122802</c:v>
                </c:pt>
                <c:pt idx="134">
                  <c:v>-0.78007998398874401</c:v>
                </c:pt>
                <c:pt idx="135">
                  <c:v>1.0720217567190566</c:v>
                </c:pt>
                <c:pt idx="136">
                  <c:v>0.74328320670740999</c:v>
                </c:pt>
                <c:pt idx="137">
                  <c:v>1.1867246263582398</c:v>
                </c:pt>
                <c:pt idx="138">
                  <c:v>0.78823554262207374</c:v>
                </c:pt>
                <c:pt idx="139">
                  <c:v>0.26448666430441492</c:v>
                </c:pt>
                <c:pt idx="140">
                  <c:v>0.88623357141539238</c:v>
                </c:pt>
                <c:pt idx="141">
                  <c:v>1.1072431307427744</c:v>
                </c:pt>
                <c:pt idx="142">
                  <c:v>0.22402131121876964</c:v>
                </c:pt>
                <c:pt idx="143">
                  <c:v>0.638634301376519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4C4-264E-9AF9-F87CE8292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1651664"/>
        <c:axId val="1171653664"/>
      </c:scatterChart>
      <c:valAx>
        <c:axId val="11716516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Average SONIA (%)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1171653664"/>
        <c:crosses val="autoZero"/>
        <c:crossBetween val="midCat"/>
      </c:valAx>
      <c:valAx>
        <c:axId val="11716536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Asset Returns (%)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117165166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'SONIA, Swap, Credit'!$F$28:$F$171</c:f>
              <c:numCache>
                <c:formatCode>General</c:formatCode>
                <c:ptCount val="144"/>
                <c:pt idx="0">
                  <c:v>0.34722222222222221</c:v>
                </c:pt>
                <c:pt idx="1">
                  <c:v>1.0416666666666665</c:v>
                </c:pt>
                <c:pt idx="2">
                  <c:v>1.7361111111111112</c:v>
                </c:pt>
                <c:pt idx="3">
                  <c:v>2.4305555555555554</c:v>
                </c:pt>
                <c:pt idx="4">
                  <c:v>3.125</c:v>
                </c:pt>
                <c:pt idx="5">
                  <c:v>3.8194444444444446</c:v>
                </c:pt>
                <c:pt idx="6">
                  <c:v>4.5138888888888884</c:v>
                </c:pt>
                <c:pt idx="7">
                  <c:v>5.208333333333333</c:v>
                </c:pt>
                <c:pt idx="8">
                  <c:v>5.9027777777777777</c:v>
                </c:pt>
                <c:pt idx="9">
                  <c:v>6.5972222222222223</c:v>
                </c:pt>
                <c:pt idx="10">
                  <c:v>7.291666666666667</c:v>
                </c:pt>
                <c:pt idx="11">
                  <c:v>7.9861111111111107</c:v>
                </c:pt>
                <c:pt idx="12">
                  <c:v>8.6805555555555536</c:v>
                </c:pt>
                <c:pt idx="13">
                  <c:v>9.3749999999999982</c:v>
                </c:pt>
                <c:pt idx="14">
                  <c:v>10.069444444444443</c:v>
                </c:pt>
                <c:pt idx="15">
                  <c:v>10.763888888888888</c:v>
                </c:pt>
                <c:pt idx="16">
                  <c:v>11.458333333333332</c:v>
                </c:pt>
                <c:pt idx="17">
                  <c:v>12.152777777777777</c:v>
                </c:pt>
                <c:pt idx="18">
                  <c:v>12.847222222222221</c:v>
                </c:pt>
                <c:pt idx="19">
                  <c:v>13.541666666666666</c:v>
                </c:pt>
                <c:pt idx="20">
                  <c:v>14.236111111111111</c:v>
                </c:pt>
                <c:pt idx="21">
                  <c:v>14.930555555555554</c:v>
                </c:pt>
                <c:pt idx="22">
                  <c:v>15.624999999999998</c:v>
                </c:pt>
                <c:pt idx="23">
                  <c:v>16.319444444444443</c:v>
                </c:pt>
                <c:pt idx="24">
                  <c:v>17.013888888888886</c:v>
                </c:pt>
                <c:pt idx="25">
                  <c:v>17.708333333333332</c:v>
                </c:pt>
                <c:pt idx="26">
                  <c:v>18.402777777777775</c:v>
                </c:pt>
                <c:pt idx="27">
                  <c:v>19.097222222222221</c:v>
                </c:pt>
                <c:pt idx="28">
                  <c:v>19.791666666666664</c:v>
                </c:pt>
                <c:pt idx="29">
                  <c:v>20.486111111111111</c:v>
                </c:pt>
                <c:pt idx="30">
                  <c:v>21.180555555555554</c:v>
                </c:pt>
                <c:pt idx="31">
                  <c:v>21.875</c:v>
                </c:pt>
                <c:pt idx="32">
                  <c:v>22.569444444444443</c:v>
                </c:pt>
                <c:pt idx="33">
                  <c:v>23.263888888888886</c:v>
                </c:pt>
                <c:pt idx="34">
                  <c:v>23.958333333333332</c:v>
                </c:pt>
                <c:pt idx="35">
                  <c:v>24.652777777777775</c:v>
                </c:pt>
                <c:pt idx="36">
                  <c:v>25.347222222222221</c:v>
                </c:pt>
                <c:pt idx="37">
                  <c:v>26.041666666666664</c:v>
                </c:pt>
                <c:pt idx="38">
                  <c:v>26.736111111111111</c:v>
                </c:pt>
                <c:pt idx="39">
                  <c:v>27.430555555555554</c:v>
                </c:pt>
                <c:pt idx="40">
                  <c:v>28.125</c:v>
                </c:pt>
                <c:pt idx="41">
                  <c:v>28.819444444444443</c:v>
                </c:pt>
                <c:pt idx="42">
                  <c:v>29.513888888888886</c:v>
                </c:pt>
                <c:pt idx="43">
                  <c:v>30.208333333333332</c:v>
                </c:pt>
                <c:pt idx="44">
                  <c:v>30.902777777777775</c:v>
                </c:pt>
                <c:pt idx="45">
                  <c:v>31.597222222222221</c:v>
                </c:pt>
                <c:pt idx="46">
                  <c:v>32.291666666666664</c:v>
                </c:pt>
                <c:pt idx="47">
                  <c:v>32.986111111111107</c:v>
                </c:pt>
                <c:pt idx="48">
                  <c:v>33.68055555555555</c:v>
                </c:pt>
                <c:pt idx="49">
                  <c:v>34.375</c:v>
                </c:pt>
                <c:pt idx="50">
                  <c:v>35.069444444444443</c:v>
                </c:pt>
                <c:pt idx="51">
                  <c:v>35.763888888888886</c:v>
                </c:pt>
                <c:pt idx="52">
                  <c:v>36.458333333333329</c:v>
                </c:pt>
                <c:pt idx="53">
                  <c:v>37.152777777777779</c:v>
                </c:pt>
                <c:pt idx="54">
                  <c:v>37.847222222222221</c:v>
                </c:pt>
                <c:pt idx="55">
                  <c:v>38.541666666666664</c:v>
                </c:pt>
                <c:pt idx="56">
                  <c:v>39.236111111111107</c:v>
                </c:pt>
                <c:pt idx="57">
                  <c:v>39.93055555555555</c:v>
                </c:pt>
                <c:pt idx="58">
                  <c:v>40.625</c:v>
                </c:pt>
                <c:pt idx="59">
                  <c:v>41.319444444444443</c:v>
                </c:pt>
                <c:pt idx="60">
                  <c:v>42.013888888888886</c:v>
                </c:pt>
                <c:pt idx="61">
                  <c:v>42.708333333333329</c:v>
                </c:pt>
                <c:pt idx="62">
                  <c:v>43.402777777777779</c:v>
                </c:pt>
                <c:pt idx="63">
                  <c:v>44.097222222222221</c:v>
                </c:pt>
                <c:pt idx="64">
                  <c:v>44.791666666666664</c:v>
                </c:pt>
                <c:pt idx="65">
                  <c:v>45.486111111111107</c:v>
                </c:pt>
                <c:pt idx="66">
                  <c:v>46.18055555555555</c:v>
                </c:pt>
                <c:pt idx="67">
                  <c:v>46.875</c:v>
                </c:pt>
                <c:pt idx="68">
                  <c:v>47.569444444444443</c:v>
                </c:pt>
                <c:pt idx="69">
                  <c:v>48.263888888888886</c:v>
                </c:pt>
                <c:pt idx="70">
                  <c:v>48.958333333333329</c:v>
                </c:pt>
                <c:pt idx="71">
                  <c:v>49.652777777777779</c:v>
                </c:pt>
                <c:pt idx="72">
                  <c:v>50.347222222222221</c:v>
                </c:pt>
                <c:pt idx="73">
                  <c:v>51.041666666666664</c:v>
                </c:pt>
                <c:pt idx="74">
                  <c:v>51.736111111111107</c:v>
                </c:pt>
                <c:pt idx="75">
                  <c:v>52.43055555555555</c:v>
                </c:pt>
                <c:pt idx="76">
                  <c:v>53.125</c:v>
                </c:pt>
                <c:pt idx="77">
                  <c:v>53.819444444444443</c:v>
                </c:pt>
                <c:pt idx="78">
                  <c:v>54.513888888888886</c:v>
                </c:pt>
                <c:pt idx="79">
                  <c:v>55.208333333333329</c:v>
                </c:pt>
                <c:pt idx="80">
                  <c:v>55.902777777777779</c:v>
                </c:pt>
                <c:pt idx="81">
                  <c:v>56.597222222222221</c:v>
                </c:pt>
                <c:pt idx="82">
                  <c:v>57.291666666666664</c:v>
                </c:pt>
                <c:pt idx="83">
                  <c:v>57.986111111111107</c:v>
                </c:pt>
                <c:pt idx="84">
                  <c:v>58.68055555555555</c:v>
                </c:pt>
                <c:pt idx="85">
                  <c:v>59.375</c:v>
                </c:pt>
                <c:pt idx="86">
                  <c:v>60.069444444444443</c:v>
                </c:pt>
                <c:pt idx="87">
                  <c:v>60.763888888888886</c:v>
                </c:pt>
                <c:pt idx="88">
                  <c:v>61.458333333333329</c:v>
                </c:pt>
                <c:pt idx="89">
                  <c:v>62.152777777777771</c:v>
                </c:pt>
                <c:pt idx="90">
                  <c:v>62.847222222222221</c:v>
                </c:pt>
                <c:pt idx="91">
                  <c:v>63.541666666666664</c:v>
                </c:pt>
                <c:pt idx="92">
                  <c:v>64.236111111111114</c:v>
                </c:pt>
                <c:pt idx="93">
                  <c:v>64.930555555555557</c:v>
                </c:pt>
                <c:pt idx="94">
                  <c:v>65.625</c:v>
                </c:pt>
                <c:pt idx="95">
                  <c:v>66.319444444444443</c:v>
                </c:pt>
                <c:pt idx="96">
                  <c:v>67.013888888888886</c:v>
                </c:pt>
                <c:pt idx="97">
                  <c:v>67.708333333333343</c:v>
                </c:pt>
                <c:pt idx="98">
                  <c:v>68.402777777777786</c:v>
                </c:pt>
                <c:pt idx="99">
                  <c:v>69.097222222222229</c:v>
                </c:pt>
                <c:pt idx="100">
                  <c:v>69.791666666666671</c:v>
                </c:pt>
                <c:pt idx="101">
                  <c:v>70.486111111111114</c:v>
                </c:pt>
                <c:pt idx="102">
                  <c:v>71.180555555555557</c:v>
                </c:pt>
                <c:pt idx="103">
                  <c:v>71.875</c:v>
                </c:pt>
                <c:pt idx="104">
                  <c:v>72.569444444444443</c:v>
                </c:pt>
                <c:pt idx="105">
                  <c:v>73.263888888888886</c:v>
                </c:pt>
                <c:pt idx="106">
                  <c:v>73.958333333333343</c:v>
                </c:pt>
                <c:pt idx="107">
                  <c:v>74.652777777777786</c:v>
                </c:pt>
                <c:pt idx="108">
                  <c:v>75.347222222222229</c:v>
                </c:pt>
                <c:pt idx="109">
                  <c:v>76.041666666666671</c:v>
                </c:pt>
                <c:pt idx="110">
                  <c:v>76.736111111111114</c:v>
                </c:pt>
                <c:pt idx="111">
                  <c:v>77.430555555555557</c:v>
                </c:pt>
                <c:pt idx="112">
                  <c:v>78.125</c:v>
                </c:pt>
                <c:pt idx="113">
                  <c:v>78.819444444444443</c:v>
                </c:pt>
                <c:pt idx="114">
                  <c:v>79.513888888888886</c:v>
                </c:pt>
                <c:pt idx="115">
                  <c:v>80.208333333333343</c:v>
                </c:pt>
                <c:pt idx="116">
                  <c:v>80.902777777777786</c:v>
                </c:pt>
                <c:pt idx="117">
                  <c:v>81.597222222222229</c:v>
                </c:pt>
                <c:pt idx="118">
                  <c:v>82.291666666666671</c:v>
                </c:pt>
                <c:pt idx="119">
                  <c:v>82.986111111111114</c:v>
                </c:pt>
                <c:pt idx="120">
                  <c:v>83.680555555555557</c:v>
                </c:pt>
                <c:pt idx="121">
                  <c:v>84.375</c:v>
                </c:pt>
                <c:pt idx="122">
                  <c:v>85.069444444444443</c:v>
                </c:pt>
                <c:pt idx="123">
                  <c:v>85.763888888888886</c:v>
                </c:pt>
                <c:pt idx="124">
                  <c:v>86.458333333333343</c:v>
                </c:pt>
                <c:pt idx="125">
                  <c:v>87.152777777777786</c:v>
                </c:pt>
                <c:pt idx="126">
                  <c:v>87.847222222222229</c:v>
                </c:pt>
                <c:pt idx="127">
                  <c:v>88.541666666666671</c:v>
                </c:pt>
                <c:pt idx="128">
                  <c:v>89.236111111111114</c:v>
                </c:pt>
                <c:pt idx="129">
                  <c:v>89.930555555555557</c:v>
                </c:pt>
                <c:pt idx="130">
                  <c:v>90.625</c:v>
                </c:pt>
                <c:pt idx="131">
                  <c:v>91.319444444444443</c:v>
                </c:pt>
                <c:pt idx="132">
                  <c:v>92.013888888888886</c:v>
                </c:pt>
                <c:pt idx="133">
                  <c:v>92.708333333333343</c:v>
                </c:pt>
                <c:pt idx="134">
                  <c:v>93.402777777777786</c:v>
                </c:pt>
                <c:pt idx="135">
                  <c:v>94.097222222222229</c:v>
                </c:pt>
                <c:pt idx="136">
                  <c:v>94.791666666666671</c:v>
                </c:pt>
                <c:pt idx="137">
                  <c:v>95.486111111111114</c:v>
                </c:pt>
                <c:pt idx="138">
                  <c:v>96.180555555555557</c:v>
                </c:pt>
                <c:pt idx="139">
                  <c:v>96.875</c:v>
                </c:pt>
                <c:pt idx="140">
                  <c:v>97.569444444444443</c:v>
                </c:pt>
                <c:pt idx="141">
                  <c:v>98.263888888888886</c:v>
                </c:pt>
                <c:pt idx="142">
                  <c:v>98.958333333333343</c:v>
                </c:pt>
                <c:pt idx="143">
                  <c:v>99.652777777777786</c:v>
                </c:pt>
              </c:numCache>
            </c:numRef>
          </c:xVal>
          <c:yVal>
            <c:numRef>
              <c:f>'SONIA, Swap, Credit'!$G$28:$G$171</c:f>
              <c:numCache>
                <c:formatCode>General</c:formatCode>
                <c:ptCount val="144"/>
                <c:pt idx="0">
                  <c:v>-7.0047284893671877</c:v>
                </c:pt>
                <c:pt idx="1">
                  <c:v>-4.6868598995851904</c:v>
                </c:pt>
                <c:pt idx="2">
                  <c:v>-4.1526948243374111</c:v>
                </c:pt>
                <c:pt idx="3">
                  <c:v>-3.6875242113072275</c:v>
                </c:pt>
                <c:pt idx="4">
                  <c:v>-3.3442885744124804</c:v>
                </c:pt>
                <c:pt idx="5">
                  <c:v>-3.1231512210139143</c:v>
                </c:pt>
                <c:pt idx="6">
                  <c:v>-2.9682787226250409</c:v>
                </c:pt>
                <c:pt idx="7">
                  <c:v>-2.5680570998352561</c:v>
                </c:pt>
                <c:pt idx="8">
                  <c:v>-2.5280472836281653</c:v>
                </c:pt>
                <c:pt idx="9">
                  <c:v>-2.5046976641667626</c:v>
                </c:pt>
                <c:pt idx="10">
                  <c:v>-2.2568118607420633</c:v>
                </c:pt>
                <c:pt idx="11">
                  <c:v>-1.9001782009329338</c:v>
                </c:pt>
                <c:pt idx="12">
                  <c:v>-1.8423176925388944</c:v>
                </c:pt>
                <c:pt idx="13">
                  <c:v>-1.8267949190726551</c:v>
                </c:pt>
                <c:pt idx="14">
                  <c:v>-1.7163787658669345</c:v>
                </c:pt>
                <c:pt idx="15">
                  <c:v>-1.7024670003016547</c:v>
                </c:pt>
                <c:pt idx="16">
                  <c:v>-1.4912303020014905</c:v>
                </c:pt>
                <c:pt idx="17">
                  <c:v>-1.4816122688402813</c:v>
                </c:pt>
                <c:pt idx="18">
                  <c:v>-1.3850399013585131</c:v>
                </c:pt>
                <c:pt idx="19">
                  <c:v>-1.3845334693391671</c:v>
                </c:pt>
                <c:pt idx="20">
                  <c:v>-1.3312319193447704</c:v>
                </c:pt>
                <c:pt idx="21">
                  <c:v>-1.2793531068196276</c:v>
                </c:pt>
                <c:pt idx="22">
                  <c:v>-1.1425691586862545</c:v>
                </c:pt>
                <c:pt idx="23">
                  <c:v>-1.1072210028407516</c:v>
                </c:pt>
                <c:pt idx="24">
                  <c:v>-1.0801430002995103</c:v>
                </c:pt>
                <c:pt idx="25">
                  <c:v>-0.94912629185626851</c:v>
                </c:pt>
                <c:pt idx="26">
                  <c:v>-0.93339874585644023</c:v>
                </c:pt>
                <c:pt idx="27">
                  <c:v>-0.8739297602339734</c:v>
                </c:pt>
                <c:pt idx="28">
                  <c:v>-0.85098504001589137</c:v>
                </c:pt>
                <c:pt idx="29">
                  <c:v>-0.84486748191592764</c:v>
                </c:pt>
                <c:pt idx="30">
                  <c:v>-0.83998798555617005</c:v>
                </c:pt>
                <c:pt idx="31">
                  <c:v>-0.82038765576752415</c:v>
                </c:pt>
                <c:pt idx="32">
                  <c:v>-0.73047275946122014</c:v>
                </c:pt>
                <c:pt idx="33">
                  <c:v>-0.72114034769675106</c:v>
                </c:pt>
                <c:pt idx="34">
                  <c:v>-0.70844610563042631</c:v>
                </c:pt>
                <c:pt idx="35">
                  <c:v>-0.63980558944311527</c:v>
                </c:pt>
                <c:pt idx="36">
                  <c:v>-0.63321922178810008</c:v>
                </c:pt>
                <c:pt idx="37">
                  <c:v>-0.62523746935851443</c:v>
                </c:pt>
                <c:pt idx="38">
                  <c:v>-0.60205936122706527</c:v>
                </c:pt>
                <c:pt idx="39">
                  <c:v>-0.49649597275839152</c:v>
                </c:pt>
                <c:pt idx="40">
                  <c:v>-0.45287219230992509</c:v>
                </c:pt>
                <c:pt idx="41">
                  <c:v>-0.44945692130845749</c:v>
                </c:pt>
                <c:pt idx="42">
                  <c:v>-0.42414010254649709</c:v>
                </c:pt>
                <c:pt idx="43">
                  <c:v>-0.40587403799491967</c:v>
                </c:pt>
                <c:pt idx="44">
                  <c:v>-0.38364685529762182</c:v>
                </c:pt>
                <c:pt idx="45">
                  <c:v>-0.34952011853591453</c:v>
                </c:pt>
                <c:pt idx="46">
                  <c:v>-0.32059917407416511</c:v>
                </c:pt>
                <c:pt idx="47">
                  <c:v>-0.25809067214290327</c:v>
                </c:pt>
                <c:pt idx="48">
                  <c:v>-0.23417506109101072</c:v>
                </c:pt>
                <c:pt idx="49">
                  <c:v>-0.18651939975316809</c:v>
                </c:pt>
                <c:pt idx="50">
                  <c:v>-0.16023377056929605</c:v>
                </c:pt>
                <c:pt idx="51">
                  <c:v>-0.15960421366991845</c:v>
                </c:pt>
                <c:pt idx="52">
                  <c:v>-0.12574664360828455</c:v>
                </c:pt>
                <c:pt idx="53">
                  <c:v>-3.7635693365227305E-2</c:v>
                </c:pt>
                <c:pt idx="54">
                  <c:v>-2.8872892422191813E-2</c:v>
                </c:pt>
                <c:pt idx="55">
                  <c:v>-2.1093949631446327E-2</c:v>
                </c:pt>
                <c:pt idx="56">
                  <c:v>2.1744398396726858E-3</c:v>
                </c:pt>
                <c:pt idx="57">
                  <c:v>1.3361896540353232E-2</c:v>
                </c:pt>
                <c:pt idx="58">
                  <c:v>1.5244628300109645E-2</c:v>
                </c:pt>
                <c:pt idx="59">
                  <c:v>4.5162099813618559E-2</c:v>
                </c:pt>
                <c:pt idx="60">
                  <c:v>5.5182858323510636E-2</c:v>
                </c:pt>
                <c:pt idx="61">
                  <c:v>6.2862567183433013E-2</c:v>
                </c:pt>
                <c:pt idx="62">
                  <c:v>6.4450144874432388E-2</c:v>
                </c:pt>
                <c:pt idx="63">
                  <c:v>0.17050584189129772</c:v>
                </c:pt>
                <c:pt idx="64">
                  <c:v>0.20128346879376346</c:v>
                </c:pt>
                <c:pt idx="65">
                  <c:v>0.25176219913533959</c:v>
                </c:pt>
                <c:pt idx="66">
                  <c:v>0.27937046819359035</c:v>
                </c:pt>
                <c:pt idx="67">
                  <c:v>0.29248739326307094</c:v>
                </c:pt>
                <c:pt idx="68">
                  <c:v>0.32195109833132546</c:v>
                </c:pt>
                <c:pt idx="69">
                  <c:v>0.3416951439283733</c:v>
                </c:pt>
                <c:pt idx="70">
                  <c:v>0.3941440510082177</c:v>
                </c:pt>
                <c:pt idx="71">
                  <c:v>0.39463790345239053</c:v>
                </c:pt>
                <c:pt idx="72">
                  <c:v>0.44664249623499269</c:v>
                </c:pt>
                <c:pt idx="73">
                  <c:v>0.44906329589973976</c:v>
                </c:pt>
                <c:pt idx="74">
                  <c:v>0.51269214936388086</c:v>
                </c:pt>
                <c:pt idx="75">
                  <c:v>0.54311279831289316</c:v>
                </c:pt>
                <c:pt idx="76">
                  <c:v>0.64991632276644051</c:v>
                </c:pt>
                <c:pt idx="77">
                  <c:v>0.74520035393408268</c:v>
                </c:pt>
                <c:pt idx="78">
                  <c:v>0.76476526172699799</c:v>
                </c:pt>
                <c:pt idx="79">
                  <c:v>0.76715041455256716</c:v>
                </c:pt>
                <c:pt idx="80">
                  <c:v>0.77913542886387466</c:v>
                </c:pt>
                <c:pt idx="81">
                  <c:v>0.79790760681101336</c:v>
                </c:pt>
                <c:pt idx="82">
                  <c:v>0.79930043255834871</c:v>
                </c:pt>
                <c:pt idx="83">
                  <c:v>0.80909571022157933</c:v>
                </c:pt>
                <c:pt idx="84">
                  <c:v>0.8173714702258239</c:v>
                </c:pt>
                <c:pt idx="85">
                  <c:v>0.8220675256694463</c:v>
                </c:pt>
                <c:pt idx="86">
                  <c:v>0.94080499762717185</c:v>
                </c:pt>
                <c:pt idx="87">
                  <c:v>0.98384974618307341</c:v>
                </c:pt>
                <c:pt idx="88">
                  <c:v>1.084910181769061</c:v>
                </c:pt>
                <c:pt idx="89">
                  <c:v>1.088562294937061</c:v>
                </c:pt>
                <c:pt idx="90">
                  <c:v>1.1252408849651883</c:v>
                </c:pt>
                <c:pt idx="91">
                  <c:v>1.1573512190828252</c:v>
                </c:pt>
                <c:pt idx="92">
                  <c:v>1.1607317321410837</c:v>
                </c:pt>
                <c:pt idx="93">
                  <c:v>1.1935119946777377</c:v>
                </c:pt>
                <c:pt idx="94">
                  <c:v>1.2933080083597004</c:v>
                </c:pt>
                <c:pt idx="95">
                  <c:v>1.3006576888791135</c:v>
                </c:pt>
                <c:pt idx="96">
                  <c:v>1.3072997744824202</c:v>
                </c:pt>
                <c:pt idx="97">
                  <c:v>1.3201728926043841</c:v>
                </c:pt>
                <c:pt idx="98">
                  <c:v>1.3282751471537555</c:v>
                </c:pt>
                <c:pt idx="99">
                  <c:v>1.3592930931331151</c:v>
                </c:pt>
                <c:pt idx="100">
                  <c:v>1.3893836371301047</c:v>
                </c:pt>
                <c:pt idx="101">
                  <c:v>1.4570599695124704</c:v>
                </c:pt>
                <c:pt idx="102">
                  <c:v>1.4746501612318974</c:v>
                </c:pt>
                <c:pt idx="103">
                  <c:v>1.4799167353491935</c:v>
                </c:pt>
                <c:pt idx="104">
                  <c:v>1.5120608050198472</c:v>
                </c:pt>
                <c:pt idx="105">
                  <c:v>1.5632378548125487</c:v>
                </c:pt>
                <c:pt idx="106">
                  <c:v>1.5752476292840976</c:v>
                </c:pt>
                <c:pt idx="107">
                  <c:v>1.7130121087748451</c:v>
                </c:pt>
                <c:pt idx="108">
                  <c:v>1.8101887790863302</c:v>
                </c:pt>
                <c:pt idx="109">
                  <c:v>1.8519535193189707</c:v>
                </c:pt>
                <c:pt idx="110">
                  <c:v>1.9551601207275044</c:v>
                </c:pt>
                <c:pt idx="111">
                  <c:v>1.9636320377819911</c:v>
                </c:pt>
                <c:pt idx="112">
                  <c:v>1.9965489332311821</c:v>
                </c:pt>
                <c:pt idx="113">
                  <c:v>2.1127325139720563</c:v>
                </c:pt>
                <c:pt idx="114">
                  <c:v>2.1320616401803507</c:v>
                </c:pt>
                <c:pt idx="115">
                  <c:v>2.1528110708148573</c:v>
                </c:pt>
                <c:pt idx="116">
                  <c:v>2.1554149374730458</c:v>
                </c:pt>
                <c:pt idx="117">
                  <c:v>2.1937669383125291</c:v>
                </c:pt>
                <c:pt idx="118">
                  <c:v>2.2441569439350513</c:v>
                </c:pt>
                <c:pt idx="119">
                  <c:v>2.3109716137805942</c:v>
                </c:pt>
                <c:pt idx="120">
                  <c:v>2.3644571963769208</c:v>
                </c:pt>
                <c:pt idx="121">
                  <c:v>2.3878145236429944</c:v>
                </c:pt>
                <c:pt idx="122">
                  <c:v>2.4047017706743326</c:v>
                </c:pt>
                <c:pt idx="123">
                  <c:v>2.4711222871909655</c:v>
                </c:pt>
                <c:pt idx="124">
                  <c:v>2.5118747000438195</c:v>
                </c:pt>
                <c:pt idx="125">
                  <c:v>2.5198681337412903</c:v>
                </c:pt>
                <c:pt idx="126">
                  <c:v>2.5257042870557784</c:v>
                </c:pt>
                <c:pt idx="127">
                  <c:v>2.5343167951715437</c:v>
                </c:pt>
                <c:pt idx="128">
                  <c:v>2.6303236664701828</c:v>
                </c:pt>
                <c:pt idx="129">
                  <c:v>2.6535892327475388</c:v>
                </c:pt>
                <c:pt idx="130">
                  <c:v>2.664630651168546</c:v>
                </c:pt>
                <c:pt idx="131">
                  <c:v>2.683391280512204</c:v>
                </c:pt>
                <c:pt idx="132">
                  <c:v>2.7070180675265525</c:v>
                </c:pt>
                <c:pt idx="133">
                  <c:v>2.8438546235537174</c:v>
                </c:pt>
                <c:pt idx="134">
                  <c:v>2.8609360739223297</c:v>
                </c:pt>
                <c:pt idx="135">
                  <c:v>3.0698713827378343</c:v>
                </c:pt>
                <c:pt idx="136">
                  <c:v>3.1095108983661892</c:v>
                </c:pt>
                <c:pt idx="137">
                  <c:v>3.1666873562985165</c:v>
                </c:pt>
                <c:pt idx="138">
                  <c:v>3.3950819422879635</c:v>
                </c:pt>
                <c:pt idx="139">
                  <c:v>3.4388141552305238</c:v>
                </c:pt>
                <c:pt idx="140">
                  <c:v>3.580071379617352</c:v>
                </c:pt>
                <c:pt idx="141">
                  <c:v>3.8214888861569447</c:v>
                </c:pt>
                <c:pt idx="142">
                  <c:v>4.5018822436456931</c:v>
                </c:pt>
                <c:pt idx="143">
                  <c:v>5.5867022964527608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FC-BC44-98FB-E1E245A47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1424640"/>
        <c:axId val="1171944512"/>
      </c:scatterChart>
      <c:valAx>
        <c:axId val="1171424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1944512"/>
        <c:crosses val="autoZero"/>
        <c:crossBetween val="midCat"/>
      </c:valAx>
      <c:valAx>
        <c:axId val="11719445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Asset Returns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1424640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IG Credit Spread (%)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Data!$W$2:$W$145</c:f>
              <c:numCache>
                <c:formatCode>0.0000</c:formatCode>
                <c:ptCount val="144"/>
                <c:pt idx="0">
                  <c:v>-5.1387194346069833</c:v>
                </c:pt>
                <c:pt idx="1">
                  <c:v>2.3484491421995508</c:v>
                </c:pt>
                <c:pt idx="2">
                  <c:v>-0.92319478819390199</c:v>
                </c:pt>
                <c:pt idx="3">
                  <c:v>0.82434767702086331</c:v>
                </c:pt>
                <c:pt idx="4">
                  <c:v>2.0252115715454142</c:v>
                </c:pt>
                <c:pt idx="5">
                  <c:v>-1.4083021680096535</c:v>
                </c:pt>
                <c:pt idx="6">
                  <c:v>-0.89531690384682072</c:v>
                </c:pt>
                <c:pt idx="7">
                  <c:v>2.0846292055168538</c:v>
                </c:pt>
                <c:pt idx="8">
                  <c:v>0.18815829103602541</c:v>
                </c:pt>
                <c:pt idx="9">
                  <c:v>-0.30403984882426438</c:v>
                </c:pt>
                <c:pt idx="10">
                  <c:v>1.2224064307019109</c:v>
                </c:pt>
                <c:pt idx="11">
                  <c:v>1.1188106566869516</c:v>
                </c:pt>
                <c:pt idx="12">
                  <c:v>-0.39386738542473537</c:v>
                </c:pt>
                <c:pt idx="13">
                  <c:v>0.23199314515441699</c:v>
                </c:pt>
                <c:pt idx="14">
                  <c:v>3.0510319131719719</c:v>
                </c:pt>
                <c:pt idx="15">
                  <c:v>-0.57569475557887417</c:v>
                </c:pt>
                <c:pt idx="16">
                  <c:v>0.34508593485068878</c:v>
                </c:pt>
                <c:pt idx="17">
                  <c:v>2.4668637873530348</c:v>
                </c:pt>
                <c:pt idx="18">
                  <c:v>1.3828982966028573</c:v>
                </c:pt>
                <c:pt idx="19">
                  <c:v>5.9348906527047323</c:v>
                </c:pt>
                <c:pt idx="20">
                  <c:v>-3.7396932352934624</c:v>
                </c:pt>
                <c:pt idx="21">
                  <c:v>1.0994857308880885</c:v>
                </c:pt>
                <c:pt idx="22">
                  <c:v>-2.3264834455409638</c:v>
                </c:pt>
                <c:pt idx="23">
                  <c:v>0.27399978476401698</c:v>
                </c:pt>
                <c:pt idx="24">
                  <c:v>-3.7708043023703515</c:v>
                </c:pt>
                <c:pt idx="25">
                  <c:v>2.4312561086316236</c:v>
                </c:pt>
                <c:pt idx="26">
                  <c:v>-2.163876747359093</c:v>
                </c:pt>
                <c:pt idx="27">
                  <c:v>0.5025858772171532</c:v>
                </c:pt>
                <c:pt idx="28">
                  <c:v>1.5012701524955124E-2</c:v>
                </c:pt>
                <c:pt idx="29">
                  <c:v>2.0734306549589543</c:v>
                </c:pt>
                <c:pt idx="30">
                  <c:v>-1.4165022256805997</c:v>
                </c:pt>
                <c:pt idx="31">
                  <c:v>0.66815720708482551</c:v>
                </c:pt>
                <c:pt idx="32">
                  <c:v>-0.80775400785913054</c:v>
                </c:pt>
                <c:pt idx="33">
                  <c:v>3.5954167685518694</c:v>
                </c:pt>
                <c:pt idx="34">
                  <c:v>0.91190414214845739</c:v>
                </c:pt>
                <c:pt idx="35">
                  <c:v>0.85468808124803441</c:v>
                </c:pt>
                <c:pt idx="36">
                  <c:v>3.5664770305249829</c:v>
                </c:pt>
                <c:pt idx="37">
                  <c:v>5.0465169683722939</c:v>
                </c:pt>
                <c:pt idx="38">
                  <c:v>3.4210472846484357</c:v>
                </c:pt>
                <c:pt idx="39">
                  <c:v>-1.9050206096671818</c:v>
                </c:pt>
                <c:pt idx="40">
                  <c:v>-4.4556526959210885</c:v>
                </c:pt>
                <c:pt idx="41">
                  <c:v>-1.6600067055434231</c:v>
                </c:pt>
                <c:pt idx="42">
                  <c:v>2.9503559863160107</c:v>
                </c:pt>
                <c:pt idx="43">
                  <c:v>-1.5202579266307075</c:v>
                </c:pt>
                <c:pt idx="44">
                  <c:v>2.6350509941130018</c:v>
                </c:pt>
                <c:pt idx="45">
                  <c:v>-0.17390455263532517</c:v>
                </c:pt>
                <c:pt idx="46">
                  <c:v>0.72625925846252182</c:v>
                </c:pt>
                <c:pt idx="47">
                  <c:v>1.5534992085354618</c:v>
                </c:pt>
                <c:pt idx="48">
                  <c:v>-1.3128763768352263</c:v>
                </c:pt>
                <c:pt idx="49">
                  <c:v>1.0235515044919676</c:v>
                </c:pt>
                <c:pt idx="50">
                  <c:v>0.87915557139737288</c:v>
                </c:pt>
                <c:pt idx="51">
                  <c:v>-2.0519560737810645</c:v>
                </c:pt>
                <c:pt idx="52">
                  <c:v>0.34628136161819018</c:v>
                </c:pt>
                <c:pt idx="53">
                  <c:v>-0.35419358995709715</c:v>
                </c:pt>
                <c:pt idx="54">
                  <c:v>1.858001601839639</c:v>
                </c:pt>
                <c:pt idx="55">
                  <c:v>-0.8877688063153264</c:v>
                </c:pt>
                <c:pt idx="56">
                  <c:v>-1.3769514272096248</c:v>
                </c:pt>
                <c:pt idx="57">
                  <c:v>0.20136749777207796</c:v>
                </c:pt>
                <c:pt idx="58">
                  <c:v>0.12731740286215751</c:v>
                </c:pt>
                <c:pt idx="59">
                  <c:v>-0.371473926792939</c:v>
                </c:pt>
                <c:pt idx="60">
                  <c:v>-0.41320150136606915</c:v>
                </c:pt>
                <c:pt idx="61">
                  <c:v>0.2551971584802315</c:v>
                </c:pt>
                <c:pt idx="62">
                  <c:v>0.54532839444733927</c:v>
                </c:pt>
                <c:pt idx="63">
                  <c:v>-1.1987084485525838</c:v>
                </c:pt>
                <c:pt idx="64">
                  <c:v>0.20365796077345244</c:v>
                </c:pt>
                <c:pt idx="65">
                  <c:v>-2.1905269483508447</c:v>
                </c:pt>
                <c:pt idx="66">
                  <c:v>1.357859374712971</c:v>
                </c:pt>
                <c:pt idx="67">
                  <c:v>1.0678641457547986</c:v>
                </c:pt>
                <c:pt idx="68">
                  <c:v>-4.062169850005945E-3</c:v>
                </c:pt>
                <c:pt idx="69">
                  <c:v>-0.25340601070870289</c:v>
                </c:pt>
                <c:pt idx="70">
                  <c:v>-0.20371933742089599</c:v>
                </c:pt>
                <c:pt idx="71">
                  <c:v>-6.8036926882462212E-2</c:v>
                </c:pt>
                <c:pt idx="72">
                  <c:v>3.0998066900760599</c:v>
                </c:pt>
                <c:pt idx="73">
                  <c:v>-1.5756409548922983</c:v>
                </c:pt>
                <c:pt idx="74">
                  <c:v>-6.5893968100260576</c:v>
                </c:pt>
                <c:pt idx="75">
                  <c:v>7.3665586735762902</c:v>
                </c:pt>
                <c:pt idx="76">
                  <c:v>1.0916617932992878</c:v>
                </c:pt>
                <c:pt idx="77">
                  <c:v>1.0163751457846373</c:v>
                </c:pt>
                <c:pt idx="78">
                  <c:v>2.1435700279400138</c:v>
                </c:pt>
                <c:pt idx="79">
                  <c:v>-1.204767361587278</c:v>
                </c:pt>
                <c:pt idx="80">
                  <c:v>-1.9469169716171044E-3</c:v>
                </c:pt>
                <c:pt idx="81">
                  <c:v>0.28979934223811843</c:v>
                </c:pt>
                <c:pt idx="82">
                  <c:v>2.3639052440224098</c:v>
                </c:pt>
                <c:pt idx="83">
                  <c:v>1.5490140567033936</c:v>
                </c:pt>
                <c:pt idx="84">
                  <c:v>-1.6477775578392471</c:v>
                </c:pt>
                <c:pt idx="85">
                  <c:v>-3.4798493915758022</c:v>
                </c:pt>
                <c:pt idx="86">
                  <c:v>1.7190145145590065E-2</c:v>
                </c:pt>
                <c:pt idx="87">
                  <c:v>0.3804319559628988</c:v>
                </c:pt>
                <c:pt idx="88">
                  <c:v>0.31001431749484604</c:v>
                </c:pt>
                <c:pt idx="89">
                  <c:v>0.85502216530240871</c:v>
                </c:pt>
                <c:pt idx="90">
                  <c:v>1.6132309956574875</c:v>
                </c:pt>
                <c:pt idx="91">
                  <c:v>-0.22870458134476115</c:v>
                </c:pt>
                <c:pt idx="92">
                  <c:v>-2.8087660797989829</c:v>
                </c:pt>
                <c:pt idx="93">
                  <c:v>0.69722145982741013</c:v>
                </c:pt>
                <c:pt idx="94">
                  <c:v>0.99547551042253035</c:v>
                </c:pt>
                <c:pt idx="95">
                  <c:v>-1.12353903746557</c:v>
                </c:pt>
                <c:pt idx="96">
                  <c:v>-4.0342794589013895</c:v>
                </c:pt>
                <c:pt idx="97">
                  <c:v>-3.1651689144312303</c:v>
                </c:pt>
                <c:pt idx="98">
                  <c:v>0.13326767049501004</c:v>
                </c:pt>
                <c:pt idx="99">
                  <c:v>-3.8653528730622675</c:v>
                </c:pt>
                <c:pt idx="100">
                  <c:v>-1.556403524525015</c:v>
                </c:pt>
                <c:pt idx="101">
                  <c:v>-3.4565692008015478</c:v>
                </c:pt>
                <c:pt idx="102">
                  <c:v>4.373127894277208</c:v>
                </c:pt>
                <c:pt idx="103">
                  <c:v>-8.1411935429504894</c:v>
                </c:pt>
                <c:pt idx="104">
                  <c:v>-9.1415438687040886</c:v>
                </c:pt>
                <c:pt idx="105">
                  <c:v>4.9981561061963475</c:v>
                </c:pt>
                <c:pt idx="106">
                  <c:v>3.7315693621188237</c:v>
                </c:pt>
                <c:pt idx="107">
                  <c:v>-1.6930601373866518</c:v>
                </c:pt>
                <c:pt idx="108">
                  <c:v>3.2693974797429637</c:v>
                </c:pt>
                <c:pt idx="109">
                  <c:v>-3.4044713219137206</c:v>
                </c:pt>
                <c:pt idx="110">
                  <c:v>1.1229372544900045</c:v>
                </c:pt>
                <c:pt idx="111">
                  <c:v>-4.5251950847142508E-2</c:v>
                </c:pt>
                <c:pt idx="112">
                  <c:v>-3.2207902839867755</c:v>
                </c:pt>
                <c:pt idx="113">
                  <c:v>-1.5304704600210068</c:v>
                </c:pt>
                <c:pt idx="114">
                  <c:v>2.0217015238879137</c:v>
                </c:pt>
                <c:pt idx="115">
                  <c:v>-0.73548575994241516</c:v>
                </c:pt>
                <c:pt idx="116">
                  <c:v>-0.41335762746622851</c:v>
                </c:pt>
                <c:pt idx="117">
                  <c:v>-0.46656124638286833</c:v>
                </c:pt>
                <c:pt idx="118">
                  <c:v>3.4138089910941942</c:v>
                </c:pt>
                <c:pt idx="119">
                  <c:v>4.4012225363925044</c:v>
                </c:pt>
                <c:pt idx="120">
                  <c:v>-1.5196917747234271</c:v>
                </c:pt>
                <c:pt idx="121">
                  <c:v>-1.062073375074631</c:v>
                </c:pt>
                <c:pt idx="122">
                  <c:v>1.477489362217179</c:v>
                </c:pt>
                <c:pt idx="123">
                  <c:v>-2.3781283099238917</c:v>
                </c:pt>
                <c:pt idx="124">
                  <c:v>0.47811004572060589</c:v>
                </c:pt>
                <c:pt idx="125">
                  <c:v>0.44551959930867541</c:v>
                </c:pt>
                <c:pt idx="126">
                  <c:v>1.3614075313738643</c:v>
                </c:pt>
                <c:pt idx="127">
                  <c:v>-7.7650136808625758E-3</c:v>
                </c:pt>
                <c:pt idx="128">
                  <c:v>-0.12972116439056908</c:v>
                </c:pt>
                <c:pt idx="129">
                  <c:v>-1.6695833580904584</c:v>
                </c:pt>
                <c:pt idx="130">
                  <c:v>1.4530967525660716</c:v>
                </c:pt>
                <c:pt idx="131">
                  <c:v>-0.78143310266141697</c:v>
                </c:pt>
                <c:pt idx="132">
                  <c:v>0.34908255979636738</c:v>
                </c:pt>
                <c:pt idx="133">
                  <c:v>0.13535969057984193</c:v>
                </c:pt>
                <c:pt idx="134">
                  <c:v>-1.8716624465378884</c:v>
                </c:pt>
                <c:pt idx="135">
                  <c:v>1.2656565827966442</c:v>
                </c:pt>
                <c:pt idx="136">
                  <c:v>-0.42014204580768427</c:v>
                </c:pt>
                <c:pt idx="137">
                  <c:v>1.4055246320234833</c:v>
                </c:pt>
                <c:pt idx="138">
                  <c:v>-2.3798636141916241E-2</c:v>
                </c:pt>
                <c:pt idx="139">
                  <c:v>-0.94564972218921284</c:v>
                </c:pt>
                <c:pt idx="140">
                  <c:v>0.73546966098117694</c:v>
                </c:pt>
                <c:pt idx="141">
                  <c:v>1.7116922764778253</c:v>
                </c:pt>
                <c:pt idx="142">
                  <c:v>-0.26362362275971585</c:v>
                </c:pt>
                <c:pt idx="143">
                  <c:v>0.22777557059858333</c:v>
                </c:pt>
              </c:numCache>
            </c:numRef>
          </c:xVal>
          <c:yVal>
            <c:numRef>
              <c:f>'Credit, VIX'!$C$27:$C$170</c:f>
              <c:numCache>
                <c:formatCode>General</c:formatCode>
                <c:ptCount val="144"/>
                <c:pt idx="0">
                  <c:v>-2.2203704715431032</c:v>
                </c:pt>
                <c:pt idx="1">
                  <c:v>1.1715085389939812</c:v>
                </c:pt>
                <c:pt idx="2">
                  <c:v>-1.586225821956605</c:v>
                </c:pt>
                <c:pt idx="3">
                  <c:v>-0.38449279563996663</c:v>
                </c:pt>
                <c:pt idx="4">
                  <c:v>0.67180133481290394</c:v>
                </c:pt>
                <c:pt idx="5">
                  <c:v>-0.45686913636303966</c:v>
                </c:pt>
                <c:pt idx="6">
                  <c:v>-0.10152032825712426</c:v>
                </c:pt>
                <c:pt idx="7">
                  <c:v>-2.0192879246041437</c:v>
                </c:pt>
                <c:pt idx="8">
                  <c:v>0.80361877467996323</c:v>
                </c:pt>
                <c:pt idx="9">
                  <c:v>-0.80696977190315922</c:v>
                </c:pt>
                <c:pt idx="10">
                  <c:v>-0.40925304604564017</c:v>
                </c:pt>
                <c:pt idx="11">
                  <c:v>0.23338536854205083</c:v>
                </c:pt>
                <c:pt idx="12">
                  <c:v>-0.96281936479881924</c:v>
                </c:pt>
                <c:pt idx="13">
                  <c:v>0.13230687748246361</c:v>
                </c:pt>
                <c:pt idx="14">
                  <c:v>5.5380448123697246E-2</c:v>
                </c:pt>
                <c:pt idx="15">
                  <c:v>-0.1169333028345908</c:v>
                </c:pt>
                <c:pt idx="16">
                  <c:v>-0.71254088421053319</c:v>
                </c:pt>
                <c:pt idx="17">
                  <c:v>1.5359827738816554</c:v>
                </c:pt>
                <c:pt idx="18">
                  <c:v>-0.37296472737598663</c:v>
                </c:pt>
                <c:pt idx="19">
                  <c:v>-0.19652728123140051</c:v>
                </c:pt>
                <c:pt idx="20">
                  <c:v>0.63680738344716648</c:v>
                </c:pt>
                <c:pt idx="21">
                  <c:v>0.32694920929764026</c:v>
                </c:pt>
                <c:pt idx="22">
                  <c:v>-0.22301676985983521</c:v>
                </c:pt>
                <c:pt idx="23">
                  <c:v>-7.9263316564448238E-2</c:v>
                </c:pt>
                <c:pt idx="24">
                  <c:v>-1.6798351963337574</c:v>
                </c:pt>
                <c:pt idx="25">
                  <c:v>0.53362803362346156</c:v>
                </c:pt>
                <c:pt idx="26">
                  <c:v>-1.5060184494988911</c:v>
                </c:pt>
                <c:pt idx="27">
                  <c:v>3.4329338505016849E-2</c:v>
                </c:pt>
                <c:pt idx="28">
                  <c:v>0.79068796471754554</c:v>
                </c:pt>
                <c:pt idx="29">
                  <c:v>0.80058818202144033</c:v>
                </c:pt>
                <c:pt idx="30">
                  <c:v>0.47864718814384499</c:v>
                </c:pt>
                <c:pt idx="31">
                  <c:v>-1.1322682371086608</c:v>
                </c:pt>
                <c:pt idx="32">
                  <c:v>0.21098160876060512</c:v>
                </c:pt>
                <c:pt idx="33">
                  <c:v>-1.0719692304032922</c:v>
                </c:pt>
                <c:pt idx="34">
                  <c:v>-1.246342483657551</c:v>
                </c:pt>
                <c:pt idx="35">
                  <c:v>-9.146886633239848E-2</c:v>
                </c:pt>
                <c:pt idx="36">
                  <c:v>1.4873534801891601</c:v>
                </c:pt>
                <c:pt idx="37">
                  <c:v>-0.10877768822795675</c:v>
                </c:pt>
                <c:pt idx="38">
                  <c:v>-0.91198095710366878</c:v>
                </c:pt>
                <c:pt idx="39">
                  <c:v>0.45975780974765235</c:v>
                </c:pt>
                <c:pt idx="40">
                  <c:v>1.2264740345111913</c:v>
                </c:pt>
                <c:pt idx="41">
                  <c:v>-0.63877287830675</c:v>
                </c:pt>
                <c:pt idx="42">
                  <c:v>0.53269885970252906</c:v>
                </c:pt>
                <c:pt idx="43">
                  <c:v>-0.81795169770903331</c:v>
                </c:pt>
                <c:pt idx="44">
                  <c:v>0.63193772900327638</c:v>
                </c:pt>
                <c:pt idx="45">
                  <c:v>-7.2130962076454697E-2</c:v>
                </c:pt>
                <c:pt idx="46">
                  <c:v>-1.6978592091418681</c:v>
                </c:pt>
                <c:pt idx="47">
                  <c:v>0.34827397951946759</c:v>
                </c:pt>
                <c:pt idx="48">
                  <c:v>-1.1348128303597378</c:v>
                </c:pt>
                <c:pt idx="49">
                  <c:v>-0.55283271078735019</c:v>
                </c:pt>
                <c:pt idx="50">
                  <c:v>0.20638188203247299</c:v>
                </c:pt>
                <c:pt idx="51">
                  <c:v>-1.324000931675045</c:v>
                </c:pt>
                <c:pt idx="52">
                  <c:v>0.43417181542332572</c:v>
                </c:pt>
                <c:pt idx="53">
                  <c:v>-0.73292600579148104</c:v>
                </c:pt>
                <c:pt idx="54">
                  <c:v>1.0221592057860285</c:v>
                </c:pt>
                <c:pt idx="55">
                  <c:v>-0.99795960776712889</c:v>
                </c:pt>
                <c:pt idx="56">
                  <c:v>-0.6604958888499477</c:v>
                </c:pt>
                <c:pt idx="57">
                  <c:v>-1.6066740816776606</c:v>
                </c:pt>
                <c:pt idx="58">
                  <c:v>1.7767357213577912</c:v>
                </c:pt>
                <c:pt idx="59">
                  <c:v>1.3164937708901467</c:v>
                </c:pt>
                <c:pt idx="60">
                  <c:v>7.5832470008366154E-2</c:v>
                </c:pt>
                <c:pt idx="61">
                  <c:v>5.6954499604642495E-2</c:v>
                </c:pt>
                <c:pt idx="62">
                  <c:v>-0.78485499571535167</c:v>
                </c:pt>
                <c:pt idx="63">
                  <c:v>-0.25064628085994728</c:v>
                </c:pt>
                <c:pt idx="64">
                  <c:v>-2.0834905037186342</c:v>
                </c:pt>
                <c:pt idx="65">
                  <c:v>-3.081720032439339E-2</c:v>
                </c:pt>
                <c:pt idx="66">
                  <c:v>-2.3778788425568695</c:v>
                </c:pt>
                <c:pt idx="67">
                  <c:v>-2.1550544183692342</c:v>
                </c:pt>
                <c:pt idx="68">
                  <c:v>0.92589594664201169</c:v>
                </c:pt>
                <c:pt idx="69">
                  <c:v>-1.3475834795228563</c:v>
                </c:pt>
                <c:pt idx="70">
                  <c:v>0.51425597277482116</c:v>
                </c:pt>
                <c:pt idx="71">
                  <c:v>-0.25263902827040463</c:v>
                </c:pt>
                <c:pt idx="72">
                  <c:v>-1.1600591766759996</c:v>
                </c:pt>
                <c:pt idx="73">
                  <c:v>-2.4972561375095692</c:v>
                </c:pt>
                <c:pt idx="74">
                  <c:v>1.3786349282036126</c:v>
                </c:pt>
                <c:pt idx="75">
                  <c:v>0.15711898106865974</c:v>
                </c:pt>
                <c:pt idx="76">
                  <c:v>1.0220042035192631</c:v>
                </c:pt>
                <c:pt idx="77">
                  <c:v>0.85688679799881884</c:v>
                </c:pt>
                <c:pt idx="78">
                  <c:v>-2.4583668318688989</c:v>
                </c:pt>
                <c:pt idx="79">
                  <c:v>1.3743971305999252</c:v>
                </c:pt>
                <c:pt idx="80">
                  <c:v>0.14610666484348239</c:v>
                </c:pt>
                <c:pt idx="81">
                  <c:v>-1.5200949720809269</c:v>
                </c:pt>
                <c:pt idx="82">
                  <c:v>2.836545837383615</c:v>
                </c:pt>
                <c:pt idx="83">
                  <c:v>0.69820057867922403</c:v>
                </c:pt>
                <c:pt idx="84">
                  <c:v>4.5084919889914477E-2</c:v>
                </c:pt>
                <c:pt idx="85">
                  <c:v>1.1105430885879795</c:v>
                </c:pt>
                <c:pt idx="86">
                  <c:v>1.5701277720508564</c:v>
                </c:pt>
                <c:pt idx="87">
                  <c:v>1.6073579152652813</c:v>
                </c:pt>
                <c:pt idx="88">
                  <c:v>-0.41198301957131456</c:v>
                </c:pt>
                <c:pt idx="89">
                  <c:v>0.15759872052502621</c:v>
                </c:pt>
                <c:pt idx="90">
                  <c:v>5.2856164189540422E-2</c:v>
                </c:pt>
                <c:pt idx="91">
                  <c:v>0.96933278763164965</c:v>
                </c:pt>
                <c:pt idx="92">
                  <c:v>-0.40566455724077388</c:v>
                </c:pt>
                <c:pt idx="93">
                  <c:v>1.1627876639573567</c:v>
                </c:pt>
                <c:pt idx="94">
                  <c:v>0.54090699230629202</c:v>
                </c:pt>
                <c:pt idx="95">
                  <c:v>0.59838391449763906</c:v>
                </c:pt>
                <c:pt idx="96">
                  <c:v>-1.8611064155975576E-2</c:v>
                </c:pt>
                <c:pt idx="97">
                  <c:v>0.57522093925338758</c:v>
                </c:pt>
                <c:pt idx="98">
                  <c:v>2.0108966713353698</c:v>
                </c:pt>
                <c:pt idx="99">
                  <c:v>1.4402405042403204</c:v>
                </c:pt>
                <c:pt idx="100">
                  <c:v>-0.52061051817868231</c:v>
                </c:pt>
                <c:pt idx="101">
                  <c:v>0.33818433304218054</c:v>
                </c:pt>
                <c:pt idx="102">
                  <c:v>-0.40574434074217347</c:v>
                </c:pt>
                <c:pt idx="103">
                  <c:v>2.4362509504180148</c:v>
                </c:pt>
                <c:pt idx="104">
                  <c:v>-0.40978694313337716</c:v>
                </c:pt>
                <c:pt idx="105">
                  <c:v>-0.16563192588825038</c:v>
                </c:pt>
                <c:pt idx="106">
                  <c:v>0.28963547515998389</c:v>
                </c:pt>
                <c:pt idx="107">
                  <c:v>-0.76821622192219507</c:v>
                </c:pt>
                <c:pt idx="108">
                  <c:v>0.62932598808578755</c:v>
                </c:pt>
                <c:pt idx="109">
                  <c:v>1.0723548227836082</c:v>
                </c:pt>
                <c:pt idx="110">
                  <c:v>-1.1397830128546769</c:v>
                </c:pt>
                <c:pt idx="111">
                  <c:v>0.52602073637712532</c:v>
                </c:pt>
                <c:pt idx="112">
                  <c:v>-0.45437670928097784</c:v>
                </c:pt>
                <c:pt idx="113">
                  <c:v>0.34546475736021542</c:v>
                </c:pt>
                <c:pt idx="114">
                  <c:v>0.4580773740799684</c:v>
                </c:pt>
                <c:pt idx="115">
                  <c:v>-0.87886702145461504</c:v>
                </c:pt>
                <c:pt idx="116">
                  <c:v>0.43665540300102879</c:v>
                </c:pt>
                <c:pt idx="117">
                  <c:v>-1.4476987482708132</c:v>
                </c:pt>
                <c:pt idx="118">
                  <c:v>4.5755013520580867E-2</c:v>
                </c:pt>
                <c:pt idx="119">
                  <c:v>0.34471360177303634</c:v>
                </c:pt>
                <c:pt idx="120">
                  <c:v>0.23602407756318897</c:v>
                </c:pt>
                <c:pt idx="121">
                  <c:v>0.69432241703773734</c:v>
                </c:pt>
                <c:pt idx="122">
                  <c:v>1.315717395684014</c:v>
                </c:pt>
                <c:pt idx="123">
                  <c:v>0.15129083127155529</c:v>
                </c:pt>
                <c:pt idx="124">
                  <c:v>0.11728420538011908</c:v>
                </c:pt>
                <c:pt idx="125">
                  <c:v>0.42022863559805435</c:v>
                </c:pt>
                <c:pt idx="126">
                  <c:v>-0.30736707210993941</c:v>
                </c:pt>
                <c:pt idx="127">
                  <c:v>-0.73314883134300179</c:v>
                </c:pt>
                <c:pt idx="128">
                  <c:v>-0.79531255943385115</c:v>
                </c:pt>
                <c:pt idx="129">
                  <c:v>0.77329257955815145</c:v>
                </c:pt>
                <c:pt idx="130">
                  <c:v>1.0831642415662475</c:v>
                </c:pt>
                <c:pt idx="131">
                  <c:v>-0.75378063697084818</c:v>
                </c:pt>
                <c:pt idx="132">
                  <c:v>1.7566161237729361</c:v>
                </c:pt>
                <c:pt idx="133">
                  <c:v>-1.106419930409456</c:v>
                </c:pt>
                <c:pt idx="134">
                  <c:v>-1.58310050954801</c:v>
                </c:pt>
                <c:pt idx="135">
                  <c:v>-0.78097985413276194</c:v>
                </c:pt>
                <c:pt idx="136">
                  <c:v>1.8128493347194838</c:v>
                </c:pt>
                <c:pt idx="137">
                  <c:v>0.19625821991192516</c:v>
                </c:pt>
                <c:pt idx="138">
                  <c:v>1.6607809717556927</c:v>
                </c:pt>
                <c:pt idx="139">
                  <c:v>-0.3162870642737432</c:v>
                </c:pt>
                <c:pt idx="140">
                  <c:v>0.66390286137721199</c:v>
                </c:pt>
                <c:pt idx="141">
                  <c:v>1.6015933190852087</c:v>
                </c:pt>
                <c:pt idx="142">
                  <c:v>-0.16597478504693014</c:v>
                </c:pt>
                <c:pt idx="143">
                  <c:v>-2.6756998704122292E-2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F0C-D441-ABAB-1B2B9F2649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0408432"/>
        <c:axId val="1172939376"/>
      </c:scatterChart>
      <c:valAx>
        <c:axId val="1170408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IG Credit Spread (%)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1172939376"/>
        <c:crosses val="autoZero"/>
        <c:crossBetween val="midCat"/>
      </c:valAx>
      <c:valAx>
        <c:axId val="11729393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0408432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IG Credit Spread (%)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Asset Returns (%)</c:v>
          </c:tx>
          <c:spPr>
            <a:ln w="19050">
              <a:noFill/>
            </a:ln>
          </c:spPr>
          <c:xVal>
            <c:numRef>
              <c:f>Data!$W$2:$W$145</c:f>
              <c:numCache>
                <c:formatCode>0.0000</c:formatCode>
                <c:ptCount val="144"/>
                <c:pt idx="0">
                  <c:v>-5.1387194346069833</c:v>
                </c:pt>
                <c:pt idx="1">
                  <c:v>2.3484491421995508</c:v>
                </c:pt>
                <c:pt idx="2">
                  <c:v>-0.92319478819390199</c:v>
                </c:pt>
                <c:pt idx="3">
                  <c:v>0.82434767702086331</c:v>
                </c:pt>
                <c:pt idx="4">
                  <c:v>2.0252115715454142</c:v>
                </c:pt>
                <c:pt idx="5">
                  <c:v>-1.4083021680096535</c:v>
                </c:pt>
                <c:pt idx="6">
                  <c:v>-0.89531690384682072</c:v>
                </c:pt>
                <c:pt idx="7">
                  <c:v>2.0846292055168538</c:v>
                </c:pt>
                <c:pt idx="8">
                  <c:v>0.18815829103602541</c:v>
                </c:pt>
                <c:pt idx="9">
                  <c:v>-0.30403984882426438</c:v>
                </c:pt>
                <c:pt idx="10">
                  <c:v>1.2224064307019109</c:v>
                </c:pt>
                <c:pt idx="11">
                  <c:v>1.1188106566869516</c:v>
                </c:pt>
                <c:pt idx="12">
                  <c:v>-0.39386738542473537</c:v>
                </c:pt>
                <c:pt idx="13">
                  <c:v>0.23199314515441699</c:v>
                </c:pt>
                <c:pt idx="14">
                  <c:v>3.0510319131719719</c:v>
                </c:pt>
                <c:pt idx="15">
                  <c:v>-0.57569475557887417</c:v>
                </c:pt>
                <c:pt idx="16">
                  <c:v>0.34508593485068878</c:v>
                </c:pt>
                <c:pt idx="17">
                  <c:v>2.4668637873530348</c:v>
                </c:pt>
                <c:pt idx="18">
                  <c:v>1.3828982966028573</c:v>
                </c:pt>
                <c:pt idx="19">
                  <c:v>5.9348906527047323</c:v>
                </c:pt>
                <c:pt idx="20">
                  <c:v>-3.7396932352934624</c:v>
                </c:pt>
                <c:pt idx="21">
                  <c:v>1.0994857308880885</c:v>
                </c:pt>
                <c:pt idx="22">
                  <c:v>-2.3264834455409638</c:v>
                </c:pt>
                <c:pt idx="23">
                  <c:v>0.27399978476401698</c:v>
                </c:pt>
                <c:pt idx="24">
                  <c:v>-3.7708043023703515</c:v>
                </c:pt>
                <c:pt idx="25">
                  <c:v>2.4312561086316236</c:v>
                </c:pt>
                <c:pt idx="26">
                  <c:v>-2.163876747359093</c:v>
                </c:pt>
                <c:pt idx="27">
                  <c:v>0.5025858772171532</c:v>
                </c:pt>
                <c:pt idx="28">
                  <c:v>1.5012701524955124E-2</c:v>
                </c:pt>
                <c:pt idx="29">
                  <c:v>2.0734306549589543</c:v>
                </c:pt>
                <c:pt idx="30">
                  <c:v>-1.4165022256805997</c:v>
                </c:pt>
                <c:pt idx="31">
                  <c:v>0.66815720708482551</c:v>
                </c:pt>
                <c:pt idx="32">
                  <c:v>-0.80775400785913054</c:v>
                </c:pt>
                <c:pt idx="33">
                  <c:v>3.5954167685518694</c:v>
                </c:pt>
                <c:pt idx="34">
                  <c:v>0.91190414214845739</c:v>
                </c:pt>
                <c:pt idx="35">
                  <c:v>0.85468808124803441</c:v>
                </c:pt>
                <c:pt idx="36">
                  <c:v>3.5664770305249829</c:v>
                </c:pt>
                <c:pt idx="37">
                  <c:v>5.0465169683722939</c:v>
                </c:pt>
                <c:pt idx="38">
                  <c:v>3.4210472846484357</c:v>
                </c:pt>
                <c:pt idx="39">
                  <c:v>-1.9050206096671818</c:v>
                </c:pt>
                <c:pt idx="40">
                  <c:v>-4.4556526959210885</c:v>
                </c:pt>
                <c:pt idx="41">
                  <c:v>-1.6600067055434231</c:v>
                </c:pt>
                <c:pt idx="42">
                  <c:v>2.9503559863160107</c:v>
                </c:pt>
                <c:pt idx="43">
                  <c:v>-1.5202579266307075</c:v>
                </c:pt>
                <c:pt idx="44">
                  <c:v>2.6350509941130018</c:v>
                </c:pt>
                <c:pt idx="45">
                  <c:v>-0.17390455263532517</c:v>
                </c:pt>
                <c:pt idx="46">
                  <c:v>0.72625925846252182</c:v>
                </c:pt>
                <c:pt idx="47">
                  <c:v>1.5534992085354618</c:v>
                </c:pt>
                <c:pt idx="48">
                  <c:v>-1.3128763768352263</c:v>
                </c:pt>
                <c:pt idx="49">
                  <c:v>1.0235515044919676</c:v>
                </c:pt>
                <c:pt idx="50">
                  <c:v>0.87915557139737288</c:v>
                </c:pt>
                <c:pt idx="51">
                  <c:v>-2.0519560737810645</c:v>
                </c:pt>
                <c:pt idx="52">
                  <c:v>0.34628136161819018</c:v>
                </c:pt>
                <c:pt idx="53">
                  <c:v>-0.35419358995709715</c:v>
                </c:pt>
                <c:pt idx="54">
                  <c:v>1.858001601839639</c:v>
                </c:pt>
                <c:pt idx="55">
                  <c:v>-0.8877688063153264</c:v>
                </c:pt>
                <c:pt idx="56">
                  <c:v>-1.3769514272096248</c:v>
                </c:pt>
                <c:pt idx="57">
                  <c:v>0.20136749777207796</c:v>
                </c:pt>
                <c:pt idx="58">
                  <c:v>0.12731740286215751</c:v>
                </c:pt>
                <c:pt idx="59">
                  <c:v>-0.371473926792939</c:v>
                </c:pt>
                <c:pt idx="60">
                  <c:v>-0.41320150136606915</c:v>
                </c:pt>
                <c:pt idx="61">
                  <c:v>0.2551971584802315</c:v>
                </c:pt>
                <c:pt idx="62">
                  <c:v>0.54532839444733927</c:v>
                </c:pt>
                <c:pt idx="63">
                  <c:v>-1.1987084485525838</c:v>
                </c:pt>
                <c:pt idx="64">
                  <c:v>0.20365796077345244</c:v>
                </c:pt>
                <c:pt idx="65">
                  <c:v>-2.1905269483508447</c:v>
                </c:pt>
                <c:pt idx="66">
                  <c:v>1.357859374712971</c:v>
                </c:pt>
                <c:pt idx="67">
                  <c:v>1.0678641457547986</c:v>
                </c:pt>
                <c:pt idx="68">
                  <c:v>-4.062169850005945E-3</c:v>
                </c:pt>
                <c:pt idx="69">
                  <c:v>-0.25340601070870289</c:v>
                </c:pt>
                <c:pt idx="70">
                  <c:v>-0.20371933742089599</c:v>
                </c:pt>
                <c:pt idx="71">
                  <c:v>-6.8036926882462212E-2</c:v>
                </c:pt>
                <c:pt idx="72">
                  <c:v>3.0998066900760599</c:v>
                </c:pt>
                <c:pt idx="73">
                  <c:v>-1.5756409548922983</c:v>
                </c:pt>
                <c:pt idx="74">
                  <c:v>-6.5893968100260576</c:v>
                </c:pt>
                <c:pt idx="75">
                  <c:v>7.3665586735762902</c:v>
                </c:pt>
                <c:pt idx="76">
                  <c:v>1.0916617932992878</c:v>
                </c:pt>
                <c:pt idx="77">
                  <c:v>1.0163751457846373</c:v>
                </c:pt>
                <c:pt idx="78">
                  <c:v>2.1435700279400138</c:v>
                </c:pt>
                <c:pt idx="79">
                  <c:v>-1.204767361587278</c:v>
                </c:pt>
                <c:pt idx="80">
                  <c:v>-1.9469169716171044E-3</c:v>
                </c:pt>
                <c:pt idx="81">
                  <c:v>0.28979934223811843</c:v>
                </c:pt>
                <c:pt idx="82">
                  <c:v>2.3639052440224098</c:v>
                </c:pt>
                <c:pt idx="83">
                  <c:v>1.5490140567033936</c:v>
                </c:pt>
                <c:pt idx="84">
                  <c:v>-1.6477775578392471</c:v>
                </c:pt>
                <c:pt idx="85">
                  <c:v>-3.4798493915758022</c:v>
                </c:pt>
                <c:pt idx="86">
                  <c:v>1.7190145145590065E-2</c:v>
                </c:pt>
                <c:pt idx="87">
                  <c:v>0.3804319559628988</c:v>
                </c:pt>
                <c:pt idx="88">
                  <c:v>0.31001431749484604</c:v>
                </c:pt>
                <c:pt idx="89">
                  <c:v>0.85502216530240871</c:v>
                </c:pt>
                <c:pt idx="90">
                  <c:v>1.6132309956574875</c:v>
                </c:pt>
                <c:pt idx="91">
                  <c:v>-0.22870458134476115</c:v>
                </c:pt>
                <c:pt idx="92">
                  <c:v>-2.8087660797989829</c:v>
                </c:pt>
                <c:pt idx="93">
                  <c:v>0.69722145982741013</c:v>
                </c:pt>
                <c:pt idx="94">
                  <c:v>0.99547551042253035</c:v>
                </c:pt>
                <c:pt idx="95">
                  <c:v>-1.12353903746557</c:v>
                </c:pt>
                <c:pt idx="96">
                  <c:v>-4.0342794589013895</c:v>
                </c:pt>
                <c:pt idx="97">
                  <c:v>-3.1651689144312303</c:v>
                </c:pt>
                <c:pt idx="98">
                  <c:v>0.13326767049501004</c:v>
                </c:pt>
                <c:pt idx="99">
                  <c:v>-3.8653528730622675</c:v>
                </c:pt>
                <c:pt idx="100">
                  <c:v>-1.556403524525015</c:v>
                </c:pt>
                <c:pt idx="101">
                  <c:v>-3.4565692008015478</c:v>
                </c:pt>
                <c:pt idx="102">
                  <c:v>4.373127894277208</c:v>
                </c:pt>
                <c:pt idx="103">
                  <c:v>-8.1411935429504894</c:v>
                </c:pt>
                <c:pt idx="104">
                  <c:v>-9.1415438687040886</c:v>
                </c:pt>
                <c:pt idx="105">
                  <c:v>4.9981561061963475</c:v>
                </c:pt>
                <c:pt idx="106">
                  <c:v>3.7315693621188237</c:v>
                </c:pt>
                <c:pt idx="107">
                  <c:v>-1.6930601373866518</c:v>
                </c:pt>
                <c:pt idx="108">
                  <c:v>3.2693974797429637</c:v>
                </c:pt>
                <c:pt idx="109">
                  <c:v>-3.4044713219137206</c:v>
                </c:pt>
                <c:pt idx="110">
                  <c:v>1.1229372544900045</c:v>
                </c:pt>
                <c:pt idx="111">
                  <c:v>-4.5251950847142508E-2</c:v>
                </c:pt>
                <c:pt idx="112">
                  <c:v>-3.2207902839867755</c:v>
                </c:pt>
                <c:pt idx="113">
                  <c:v>-1.5304704600210068</c:v>
                </c:pt>
                <c:pt idx="114">
                  <c:v>2.0217015238879137</c:v>
                </c:pt>
                <c:pt idx="115">
                  <c:v>-0.73548575994241516</c:v>
                </c:pt>
                <c:pt idx="116">
                  <c:v>-0.41335762746622851</c:v>
                </c:pt>
                <c:pt idx="117">
                  <c:v>-0.46656124638286833</c:v>
                </c:pt>
                <c:pt idx="118">
                  <c:v>3.4138089910941942</c:v>
                </c:pt>
                <c:pt idx="119">
                  <c:v>4.4012225363925044</c:v>
                </c:pt>
                <c:pt idx="120">
                  <c:v>-1.5196917747234271</c:v>
                </c:pt>
                <c:pt idx="121">
                  <c:v>-1.062073375074631</c:v>
                </c:pt>
                <c:pt idx="122">
                  <c:v>1.477489362217179</c:v>
                </c:pt>
                <c:pt idx="123">
                  <c:v>-2.3781283099238917</c:v>
                </c:pt>
                <c:pt idx="124">
                  <c:v>0.47811004572060589</c:v>
                </c:pt>
                <c:pt idx="125">
                  <c:v>0.44551959930867541</c:v>
                </c:pt>
                <c:pt idx="126">
                  <c:v>1.3614075313738643</c:v>
                </c:pt>
                <c:pt idx="127">
                  <c:v>-7.7650136808625758E-3</c:v>
                </c:pt>
                <c:pt idx="128">
                  <c:v>-0.12972116439056908</c:v>
                </c:pt>
                <c:pt idx="129">
                  <c:v>-1.6695833580904584</c:v>
                </c:pt>
                <c:pt idx="130">
                  <c:v>1.4530967525660716</c:v>
                </c:pt>
                <c:pt idx="131">
                  <c:v>-0.78143310266141697</c:v>
                </c:pt>
                <c:pt idx="132">
                  <c:v>0.34908255979636738</c:v>
                </c:pt>
                <c:pt idx="133">
                  <c:v>0.13535969057984193</c:v>
                </c:pt>
                <c:pt idx="134">
                  <c:v>-1.8716624465378884</c:v>
                </c:pt>
                <c:pt idx="135">
                  <c:v>1.2656565827966442</c:v>
                </c:pt>
                <c:pt idx="136">
                  <c:v>-0.42014204580768427</c:v>
                </c:pt>
                <c:pt idx="137">
                  <c:v>1.4055246320234833</c:v>
                </c:pt>
                <c:pt idx="138">
                  <c:v>-2.3798636141916241E-2</c:v>
                </c:pt>
                <c:pt idx="139">
                  <c:v>-0.94564972218921284</c:v>
                </c:pt>
                <c:pt idx="140">
                  <c:v>0.73546966098117694</c:v>
                </c:pt>
                <c:pt idx="141">
                  <c:v>1.7116922764778253</c:v>
                </c:pt>
                <c:pt idx="142">
                  <c:v>-0.26362362275971585</c:v>
                </c:pt>
                <c:pt idx="143">
                  <c:v>0.22777557059858333</c:v>
                </c:pt>
              </c:numCache>
            </c:numRef>
          </c:xVal>
          <c:yVal>
            <c:numRef>
              <c:f>Data!$O$2:$O$145</c:f>
              <c:numCache>
                <c:formatCode>0.0000</c:formatCode>
                <c:ptCount val="144"/>
                <c:pt idx="0">
                  <c:v>-3.1231512210139143</c:v>
                </c:pt>
                <c:pt idx="1">
                  <c:v>3.4388141552305238</c:v>
                </c:pt>
                <c:pt idx="2">
                  <c:v>-1.8423176925388944</c:v>
                </c:pt>
                <c:pt idx="3">
                  <c:v>0.76476526172699799</c:v>
                </c:pt>
                <c:pt idx="4">
                  <c:v>2.8438546235537174</c:v>
                </c:pt>
                <c:pt idx="5">
                  <c:v>-0.40587403799491967</c:v>
                </c:pt>
                <c:pt idx="6">
                  <c:v>0.39463790345239053</c:v>
                </c:pt>
                <c:pt idx="7">
                  <c:v>-0.84486748191592764</c:v>
                </c:pt>
                <c:pt idx="8">
                  <c:v>2.1320616401803507</c:v>
                </c:pt>
                <c:pt idx="9">
                  <c:v>-0.42414010254649709</c:v>
                </c:pt>
                <c:pt idx="10">
                  <c:v>0.74520035393408268</c:v>
                </c:pt>
                <c:pt idx="11">
                  <c:v>1.3893836371301047</c:v>
                </c:pt>
                <c:pt idx="12">
                  <c:v>-0.15960421366991845</c:v>
                </c:pt>
                <c:pt idx="13">
                  <c:v>2.1744398396726858E-3</c:v>
                </c:pt>
                <c:pt idx="14">
                  <c:v>2.1528110708148573</c:v>
                </c:pt>
                <c:pt idx="15">
                  <c:v>-0.63321922178810008</c:v>
                </c:pt>
                <c:pt idx="16">
                  <c:v>0.54311279831289316</c:v>
                </c:pt>
                <c:pt idx="17">
                  <c:v>2.6535892327475388</c:v>
                </c:pt>
                <c:pt idx="18">
                  <c:v>-0.18651939975316809</c:v>
                </c:pt>
                <c:pt idx="19">
                  <c:v>2.4047017706743326</c:v>
                </c:pt>
                <c:pt idx="20">
                  <c:v>0.8220675256694463</c:v>
                </c:pt>
                <c:pt idx="21">
                  <c:v>0.79790760681101336</c:v>
                </c:pt>
                <c:pt idx="22">
                  <c:v>-0.23417506109101072</c:v>
                </c:pt>
                <c:pt idx="23">
                  <c:v>0.44906329589973976</c:v>
                </c:pt>
                <c:pt idx="24">
                  <c:v>-3.3442885744124804</c:v>
                </c:pt>
                <c:pt idx="25">
                  <c:v>1.9551601207275044</c:v>
                </c:pt>
                <c:pt idx="26">
                  <c:v>-2.9682787226250409</c:v>
                </c:pt>
                <c:pt idx="27">
                  <c:v>-0.94912629185626851</c:v>
                </c:pt>
                <c:pt idx="28">
                  <c:v>2.683391280512204</c:v>
                </c:pt>
                <c:pt idx="29">
                  <c:v>1.084910181769061</c:v>
                </c:pt>
                <c:pt idx="30">
                  <c:v>-0.60205936122706527</c:v>
                </c:pt>
                <c:pt idx="31">
                  <c:v>-1.3845334693391671</c:v>
                </c:pt>
                <c:pt idx="32">
                  <c:v>0.51269214936388086</c:v>
                </c:pt>
                <c:pt idx="33">
                  <c:v>2.1127325139720563</c:v>
                </c:pt>
                <c:pt idx="34">
                  <c:v>0.44664249623499269</c:v>
                </c:pt>
                <c:pt idx="35">
                  <c:v>0.80909571022157933</c:v>
                </c:pt>
                <c:pt idx="36">
                  <c:v>3.3950819422879635</c:v>
                </c:pt>
                <c:pt idx="37">
                  <c:v>3.1095108983661892</c:v>
                </c:pt>
                <c:pt idx="38">
                  <c:v>1.5752476292840976</c:v>
                </c:pt>
                <c:pt idx="39">
                  <c:v>0.3941440510082177</c:v>
                </c:pt>
                <c:pt idx="40">
                  <c:v>0.29248739326307094</c:v>
                </c:pt>
                <c:pt idx="41">
                  <c:v>-0.93339874585644023</c:v>
                </c:pt>
                <c:pt idx="42">
                  <c:v>2.8609360739223297</c:v>
                </c:pt>
                <c:pt idx="43">
                  <c:v>-0.44945692130845749</c:v>
                </c:pt>
                <c:pt idx="44">
                  <c:v>2.5257042870557784</c:v>
                </c:pt>
                <c:pt idx="45">
                  <c:v>0.32195109833132546</c:v>
                </c:pt>
                <c:pt idx="46">
                  <c:v>-0.38364685529762182</c:v>
                </c:pt>
                <c:pt idx="47">
                  <c:v>1.8101887790863302</c:v>
                </c:pt>
                <c:pt idx="48">
                  <c:v>-0.8739297602339734</c:v>
                </c:pt>
                <c:pt idx="49">
                  <c:v>0.77913542886387466</c:v>
                </c:pt>
                <c:pt idx="50">
                  <c:v>1.1252408849651883</c:v>
                </c:pt>
                <c:pt idx="51">
                  <c:v>-1.0801430002995103</c:v>
                </c:pt>
                <c:pt idx="52">
                  <c:v>1.2933080083597004</c:v>
                </c:pt>
                <c:pt idx="53">
                  <c:v>-0.34952011853591453</c:v>
                </c:pt>
                <c:pt idx="54">
                  <c:v>2.1937669383125291</c:v>
                </c:pt>
                <c:pt idx="55">
                  <c:v>-0.70844610563042631</c:v>
                </c:pt>
                <c:pt idx="56">
                  <c:v>-1.1425691586862545</c:v>
                </c:pt>
                <c:pt idx="57">
                  <c:v>-1.4912303020014905</c:v>
                </c:pt>
                <c:pt idx="58">
                  <c:v>2.4711222871909655</c:v>
                </c:pt>
                <c:pt idx="59">
                  <c:v>1.5632378548125487</c:v>
                </c:pt>
                <c:pt idx="60">
                  <c:v>0.17050584189129772</c:v>
                </c:pt>
                <c:pt idx="61">
                  <c:v>1.3282751471537555</c:v>
                </c:pt>
                <c:pt idx="62">
                  <c:v>1.3361896540353232E-2</c:v>
                </c:pt>
                <c:pt idx="63">
                  <c:v>4.5162099813618559E-2</c:v>
                </c:pt>
                <c:pt idx="64">
                  <c:v>-2.5280472836281653</c:v>
                </c:pt>
                <c:pt idx="65">
                  <c:v>-0.85098504001589137</c:v>
                </c:pt>
                <c:pt idx="66">
                  <c:v>-2.5046976641667626</c:v>
                </c:pt>
                <c:pt idx="67">
                  <c:v>-1.2793531068196276</c:v>
                </c:pt>
                <c:pt idx="68">
                  <c:v>1.3201728926043841</c:v>
                </c:pt>
                <c:pt idx="69">
                  <c:v>-0.83998798555617005</c:v>
                </c:pt>
                <c:pt idx="70">
                  <c:v>1.3072997744824202</c:v>
                </c:pt>
                <c:pt idx="71">
                  <c:v>0.79930043255834871</c:v>
                </c:pt>
                <c:pt idx="72">
                  <c:v>-2.1093949631446327E-2</c:v>
                </c:pt>
                <c:pt idx="73">
                  <c:v>-4.1526948243374111</c:v>
                </c:pt>
                <c:pt idx="74">
                  <c:v>-7.0047284893671877</c:v>
                </c:pt>
                <c:pt idx="75">
                  <c:v>4.5018822436456931</c:v>
                </c:pt>
                <c:pt idx="76">
                  <c:v>2.7070180675265525</c:v>
                </c:pt>
                <c:pt idx="77">
                  <c:v>1.4570599695124704</c:v>
                </c:pt>
                <c:pt idx="78">
                  <c:v>-0.45287219230992509</c:v>
                </c:pt>
                <c:pt idx="79">
                  <c:v>1.4746501612318974</c:v>
                </c:pt>
                <c:pt idx="80">
                  <c:v>-0.32059917407416511</c:v>
                </c:pt>
                <c:pt idx="81">
                  <c:v>-1.9001782009329338</c:v>
                </c:pt>
                <c:pt idx="82">
                  <c:v>5.5867022964527608</c:v>
                </c:pt>
                <c:pt idx="83">
                  <c:v>1.8519535193189707</c:v>
                </c:pt>
                <c:pt idx="84">
                  <c:v>-0.72114034769675106</c:v>
                </c:pt>
                <c:pt idx="85">
                  <c:v>-2.8872892422191813E-2</c:v>
                </c:pt>
                <c:pt idx="86">
                  <c:v>2.1554149374730458</c:v>
                </c:pt>
                <c:pt idx="87">
                  <c:v>2.3109716137805942</c:v>
                </c:pt>
                <c:pt idx="88">
                  <c:v>0.25176219913533959</c:v>
                </c:pt>
                <c:pt idx="89">
                  <c:v>1.1935119946777377</c:v>
                </c:pt>
                <c:pt idx="90">
                  <c:v>1.088562294937061</c:v>
                </c:pt>
                <c:pt idx="91">
                  <c:v>1.4799167353491935</c:v>
                </c:pt>
                <c:pt idx="92">
                  <c:v>-1.3312319193447704</c:v>
                </c:pt>
                <c:pt idx="93">
                  <c:v>1.7130121087748451</c:v>
                </c:pt>
                <c:pt idx="94">
                  <c:v>0.3416951439283733</c:v>
                </c:pt>
                <c:pt idx="95">
                  <c:v>1.3592930931331151</c:v>
                </c:pt>
                <c:pt idx="96">
                  <c:v>-2.2568118607420633</c:v>
                </c:pt>
                <c:pt idx="97">
                  <c:v>-1.1072210028407516</c:v>
                </c:pt>
                <c:pt idx="98">
                  <c:v>1.9965489332311821</c:v>
                </c:pt>
                <c:pt idx="99">
                  <c:v>-1.7163787658669345</c:v>
                </c:pt>
                <c:pt idx="100">
                  <c:v>-0.82038765576752415</c:v>
                </c:pt>
                <c:pt idx="101">
                  <c:v>-3.6875242113072275</c:v>
                </c:pt>
                <c:pt idx="102">
                  <c:v>3.8214888861569447</c:v>
                </c:pt>
                <c:pt idx="103">
                  <c:v>-1.8267949190726551</c:v>
                </c:pt>
                <c:pt idx="104">
                  <c:v>-4.6868598995851904</c:v>
                </c:pt>
                <c:pt idx="105">
                  <c:v>2.2441569439350513</c:v>
                </c:pt>
                <c:pt idx="106">
                  <c:v>2.5198681337412903</c:v>
                </c:pt>
                <c:pt idx="107">
                  <c:v>-1.3850399013585131</c:v>
                </c:pt>
                <c:pt idx="108">
                  <c:v>3.0698713827378343</c:v>
                </c:pt>
                <c:pt idx="109">
                  <c:v>-0.16023377056929605</c:v>
                </c:pt>
                <c:pt idx="110">
                  <c:v>-0.25809067214290327</c:v>
                </c:pt>
                <c:pt idx="111">
                  <c:v>0.94080499762717185</c:v>
                </c:pt>
                <c:pt idx="112">
                  <c:v>-1.4816122688402813</c:v>
                </c:pt>
                <c:pt idx="113">
                  <c:v>0.76715041455256716</c:v>
                </c:pt>
                <c:pt idx="114">
                  <c:v>1.9636320377819911</c:v>
                </c:pt>
                <c:pt idx="115">
                  <c:v>-0.62523746935851443</c:v>
                </c:pt>
                <c:pt idx="116">
                  <c:v>0.27937046819359035</c:v>
                </c:pt>
                <c:pt idx="117">
                  <c:v>-1.7024670003016547</c:v>
                </c:pt>
                <c:pt idx="118">
                  <c:v>3.1666873562985165</c:v>
                </c:pt>
                <c:pt idx="119">
                  <c:v>3.580071379617352</c:v>
                </c:pt>
                <c:pt idx="120">
                  <c:v>5.5182858323510636E-2</c:v>
                </c:pt>
                <c:pt idx="121">
                  <c:v>0.8173714702258239</c:v>
                </c:pt>
                <c:pt idx="122">
                  <c:v>2.5343167951715437</c:v>
                </c:pt>
                <c:pt idx="123">
                  <c:v>-0.49649597275839152</c:v>
                </c:pt>
                <c:pt idx="124">
                  <c:v>1.1573512190828252</c:v>
                </c:pt>
                <c:pt idx="125">
                  <c:v>1.1607317321410837</c:v>
                </c:pt>
                <c:pt idx="126">
                  <c:v>0.98384974618307341</c:v>
                </c:pt>
                <c:pt idx="127">
                  <c:v>0.20128346879376346</c:v>
                </c:pt>
                <c:pt idx="128">
                  <c:v>6.2862567183433013E-2</c:v>
                </c:pt>
                <c:pt idx="129">
                  <c:v>1.5244628300109645E-2</c:v>
                </c:pt>
                <c:pt idx="130">
                  <c:v>2.5118747000438195</c:v>
                </c:pt>
                <c:pt idx="131">
                  <c:v>-0.73047275946122014</c:v>
                </c:pt>
                <c:pt idx="132">
                  <c:v>2.664630651168546</c:v>
                </c:pt>
                <c:pt idx="133">
                  <c:v>-0.63980558944311527</c:v>
                </c:pt>
                <c:pt idx="134">
                  <c:v>-2.5680570998352561</c:v>
                </c:pt>
                <c:pt idx="135">
                  <c:v>-0.12574664360828455</c:v>
                </c:pt>
                <c:pt idx="136">
                  <c:v>2.3878145236429944</c:v>
                </c:pt>
                <c:pt idx="137">
                  <c:v>1.3006576888791135</c:v>
                </c:pt>
                <c:pt idx="138">
                  <c:v>2.3644571963769208</c:v>
                </c:pt>
                <c:pt idx="139">
                  <c:v>-3.7635693365227305E-2</c:v>
                </c:pt>
                <c:pt idx="140">
                  <c:v>1.5120608050198472</c:v>
                </c:pt>
                <c:pt idx="141">
                  <c:v>2.6303236664701828</c:v>
                </c:pt>
                <c:pt idx="142">
                  <c:v>6.4450144874432388E-2</c:v>
                </c:pt>
                <c:pt idx="143">
                  <c:v>0.64991632276644051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76-C24D-BB2F-161116A8BD74}"/>
            </c:ext>
          </c:extLst>
        </c:ser>
        <c:ser>
          <c:idx val="1"/>
          <c:order val="1"/>
          <c:tx>
            <c:v>Predicted Asset Returns (%)</c:v>
          </c:tx>
          <c:spPr>
            <a:ln w="19050">
              <a:noFill/>
            </a:ln>
          </c:spPr>
          <c:xVal>
            <c:numRef>
              <c:f>Data!$W$2:$W$145</c:f>
              <c:numCache>
                <c:formatCode>0.0000</c:formatCode>
                <c:ptCount val="144"/>
                <c:pt idx="0">
                  <c:v>-5.1387194346069833</c:v>
                </c:pt>
                <c:pt idx="1">
                  <c:v>2.3484491421995508</c:v>
                </c:pt>
                <c:pt idx="2">
                  <c:v>-0.92319478819390199</c:v>
                </c:pt>
                <c:pt idx="3">
                  <c:v>0.82434767702086331</c:v>
                </c:pt>
                <c:pt idx="4">
                  <c:v>2.0252115715454142</c:v>
                </c:pt>
                <c:pt idx="5">
                  <c:v>-1.4083021680096535</c:v>
                </c:pt>
                <c:pt idx="6">
                  <c:v>-0.89531690384682072</c:v>
                </c:pt>
                <c:pt idx="7">
                  <c:v>2.0846292055168538</c:v>
                </c:pt>
                <c:pt idx="8">
                  <c:v>0.18815829103602541</c:v>
                </c:pt>
                <c:pt idx="9">
                  <c:v>-0.30403984882426438</c:v>
                </c:pt>
                <c:pt idx="10">
                  <c:v>1.2224064307019109</c:v>
                </c:pt>
                <c:pt idx="11">
                  <c:v>1.1188106566869516</c:v>
                </c:pt>
                <c:pt idx="12">
                  <c:v>-0.39386738542473537</c:v>
                </c:pt>
                <c:pt idx="13">
                  <c:v>0.23199314515441699</c:v>
                </c:pt>
                <c:pt idx="14">
                  <c:v>3.0510319131719719</c:v>
                </c:pt>
                <c:pt idx="15">
                  <c:v>-0.57569475557887417</c:v>
                </c:pt>
                <c:pt idx="16">
                  <c:v>0.34508593485068878</c:v>
                </c:pt>
                <c:pt idx="17">
                  <c:v>2.4668637873530348</c:v>
                </c:pt>
                <c:pt idx="18">
                  <c:v>1.3828982966028573</c:v>
                </c:pt>
                <c:pt idx="19">
                  <c:v>5.9348906527047323</c:v>
                </c:pt>
                <c:pt idx="20">
                  <c:v>-3.7396932352934624</c:v>
                </c:pt>
                <c:pt idx="21">
                  <c:v>1.0994857308880885</c:v>
                </c:pt>
                <c:pt idx="22">
                  <c:v>-2.3264834455409638</c:v>
                </c:pt>
                <c:pt idx="23">
                  <c:v>0.27399978476401698</c:v>
                </c:pt>
                <c:pt idx="24">
                  <c:v>-3.7708043023703515</c:v>
                </c:pt>
                <c:pt idx="25">
                  <c:v>2.4312561086316236</c:v>
                </c:pt>
                <c:pt idx="26">
                  <c:v>-2.163876747359093</c:v>
                </c:pt>
                <c:pt idx="27">
                  <c:v>0.5025858772171532</c:v>
                </c:pt>
                <c:pt idx="28">
                  <c:v>1.5012701524955124E-2</c:v>
                </c:pt>
                <c:pt idx="29">
                  <c:v>2.0734306549589543</c:v>
                </c:pt>
                <c:pt idx="30">
                  <c:v>-1.4165022256805997</c:v>
                </c:pt>
                <c:pt idx="31">
                  <c:v>0.66815720708482551</c:v>
                </c:pt>
                <c:pt idx="32">
                  <c:v>-0.80775400785913054</c:v>
                </c:pt>
                <c:pt idx="33">
                  <c:v>3.5954167685518694</c:v>
                </c:pt>
                <c:pt idx="34">
                  <c:v>0.91190414214845739</c:v>
                </c:pt>
                <c:pt idx="35">
                  <c:v>0.85468808124803441</c:v>
                </c:pt>
                <c:pt idx="36">
                  <c:v>3.5664770305249829</c:v>
                </c:pt>
                <c:pt idx="37">
                  <c:v>5.0465169683722939</c:v>
                </c:pt>
                <c:pt idx="38">
                  <c:v>3.4210472846484357</c:v>
                </c:pt>
                <c:pt idx="39">
                  <c:v>-1.9050206096671818</c:v>
                </c:pt>
                <c:pt idx="40">
                  <c:v>-4.4556526959210885</c:v>
                </c:pt>
                <c:pt idx="41">
                  <c:v>-1.6600067055434231</c:v>
                </c:pt>
                <c:pt idx="42">
                  <c:v>2.9503559863160107</c:v>
                </c:pt>
                <c:pt idx="43">
                  <c:v>-1.5202579266307075</c:v>
                </c:pt>
                <c:pt idx="44">
                  <c:v>2.6350509941130018</c:v>
                </c:pt>
                <c:pt idx="45">
                  <c:v>-0.17390455263532517</c:v>
                </c:pt>
                <c:pt idx="46">
                  <c:v>0.72625925846252182</c:v>
                </c:pt>
                <c:pt idx="47">
                  <c:v>1.5534992085354618</c:v>
                </c:pt>
                <c:pt idx="48">
                  <c:v>-1.3128763768352263</c:v>
                </c:pt>
                <c:pt idx="49">
                  <c:v>1.0235515044919676</c:v>
                </c:pt>
                <c:pt idx="50">
                  <c:v>0.87915557139737288</c:v>
                </c:pt>
                <c:pt idx="51">
                  <c:v>-2.0519560737810645</c:v>
                </c:pt>
                <c:pt idx="52">
                  <c:v>0.34628136161819018</c:v>
                </c:pt>
                <c:pt idx="53">
                  <c:v>-0.35419358995709715</c:v>
                </c:pt>
                <c:pt idx="54">
                  <c:v>1.858001601839639</c:v>
                </c:pt>
                <c:pt idx="55">
                  <c:v>-0.8877688063153264</c:v>
                </c:pt>
                <c:pt idx="56">
                  <c:v>-1.3769514272096248</c:v>
                </c:pt>
                <c:pt idx="57">
                  <c:v>0.20136749777207796</c:v>
                </c:pt>
                <c:pt idx="58">
                  <c:v>0.12731740286215751</c:v>
                </c:pt>
                <c:pt idx="59">
                  <c:v>-0.371473926792939</c:v>
                </c:pt>
                <c:pt idx="60">
                  <c:v>-0.41320150136606915</c:v>
                </c:pt>
                <c:pt idx="61">
                  <c:v>0.2551971584802315</c:v>
                </c:pt>
                <c:pt idx="62">
                  <c:v>0.54532839444733927</c:v>
                </c:pt>
                <c:pt idx="63">
                  <c:v>-1.1987084485525838</c:v>
                </c:pt>
                <c:pt idx="64">
                  <c:v>0.20365796077345244</c:v>
                </c:pt>
                <c:pt idx="65">
                  <c:v>-2.1905269483508447</c:v>
                </c:pt>
                <c:pt idx="66">
                  <c:v>1.357859374712971</c:v>
                </c:pt>
                <c:pt idx="67">
                  <c:v>1.0678641457547986</c:v>
                </c:pt>
                <c:pt idx="68">
                  <c:v>-4.062169850005945E-3</c:v>
                </c:pt>
                <c:pt idx="69">
                  <c:v>-0.25340601070870289</c:v>
                </c:pt>
                <c:pt idx="70">
                  <c:v>-0.20371933742089599</c:v>
                </c:pt>
                <c:pt idx="71">
                  <c:v>-6.8036926882462212E-2</c:v>
                </c:pt>
                <c:pt idx="72">
                  <c:v>3.0998066900760599</c:v>
                </c:pt>
                <c:pt idx="73">
                  <c:v>-1.5756409548922983</c:v>
                </c:pt>
                <c:pt idx="74">
                  <c:v>-6.5893968100260576</c:v>
                </c:pt>
                <c:pt idx="75">
                  <c:v>7.3665586735762902</c:v>
                </c:pt>
                <c:pt idx="76">
                  <c:v>1.0916617932992878</c:v>
                </c:pt>
                <c:pt idx="77">
                  <c:v>1.0163751457846373</c:v>
                </c:pt>
                <c:pt idx="78">
                  <c:v>2.1435700279400138</c:v>
                </c:pt>
                <c:pt idx="79">
                  <c:v>-1.204767361587278</c:v>
                </c:pt>
                <c:pt idx="80">
                  <c:v>-1.9469169716171044E-3</c:v>
                </c:pt>
                <c:pt idx="81">
                  <c:v>0.28979934223811843</c:v>
                </c:pt>
                <c:pt idx="82">
                  <c:v>2.3639052440224098</c:v>
                </c:pt>
                <c:pt idx="83">
                  <c:v>1.5490140567033936</c:v>
                </c:pt>
                <c:pt idx="84">
                  <c:v>-1.6477775578392471</c:v>
                </c:pt>
                <c:pt idx="85">
                  <c:v>-3.4798493915758022</c:v>
                </c:pt>
                <c:pt idx="86">
                  <c:v>1.7190145145590065E-2</c:v>
                </c:pt>
                <c:pt idx="87">
                  <c:v>0.3804319559628988</c:v>
                </c:pt>
                <c:pt idx="88">
                  <c:v>0.31001431749484604</c:v>
                </c:pt>
                <c:pt idx="89">
                  <c:v>0.85502216530240871</c:v>
                </c:pt>
                <c:pt idx="90">
                  <c:v>1.6132309956574875</c:v>
                </c:pt>
                <c:pt idx="91">
                  <c:v>-0.22870458134476115</c:v>
                </c:pt>
                <c:pt idx="92">
                  <c:v>-2.8087660797989829</c:v>
                </c:pt>
                <c:pt idx="93">
                  <c:v>0.69722145982741013</c:v>
                </c:pt>
                <c:pt idx="94">
                  <c:v>0.99547551042253035</c:v>
                </c:pt>
                <c:pt idx="95">
                  <c:v>-1.12353903746557</c:v>
                </c:pt>
                <c:pt idx="96">
                  <c:v>-4.0342794589013895</c:v>
                </c:pt>
                <c:pt idx="97">
                  <c:v>-3.1651689144312303</c:v>
                </c:pt>
                <c:pt idx="98">
                  <c:v>0.13326767049501004</c:v>
                </c:pt>
                <c:pt idx="99">
                  <c:v>-3.8653528730622675</c:v>
                </c:pt>
                <c:pt idx="100">
                  <c:v>-1.556403524525015</c:v>
                </c:pt>
                <c:pt idx="101">
                  <c:v>-3.4565692008015478</c:v>
                </c:pt>
                <c:pt idx="102">
                  <c:v>4.373127894277208</c:v>
                </c:pt>
                <c:pt idx="103">
                  <c:v>-8.1411935429504894</c:v>
                </c:pt>
                <c:pt idx="104">
                  <c:v>-9.1415438687040886</c:v>
                </c:pt>
                <c:pt idx="105">
                  <c:v>4.9981561061963475</c:v>
                </c:pt>
                <c:pt idx="106">
                  <c:v>3.7315693621188237</c:v>
                </c:pt>
                <c:pt idx="107">
                  <c:v>-1.6930601373866518</c:v>
                </c:pt>
                <c:pt idx="108">
                  <c:v>3.2693974797429637</c:v>
                </c:pt>
                <c:pt idx="109">
                  <c:v>-3.4044713219137206</c:v>
                </c:pt>
                <c:pt idx="110">
                  <c:v>1.1229372544900045</c:v>
                </c:pt>
                <c:pt idx="111">
                  <c:v>-4.5251950847142508E-2</c:v>
                </c:pt>
                <c:pt idx="112">
                  <c:v>-3.2207902839867755</c:v>
                </c:pt>
                <c:pt idx="113">
                  <c:v>-1.5304704600210068</c:v>
                </c:pt>
                <c:pt idx="114">
                  <c:v>2.0217015238879137</c:v>
                </c:pt>
                <c:pt idx="115">
                  <c:v>-0.73548575994241516</c:v>
                </c:pt>
                <c:pt idx="116">
                  <c:v>-0.41335762746622851</c:v>
                </c:pt>
                <c:pt idx="117">
                  <c:v>-0.46656124638286833</c:v>
                </c:pt>
                <c:pt idx="118">
                  <c:v>3.4138089910941942</c:v>
                </c:pt>
                <c:pt idx="119">
                  <c:v>4.4012225363925044</c:v>
                </c:pt>
                <c:pt idx="120">
                  <c:v>-1.5196917747234271</c:v>
                </c:pt>
                <c:pt idx="121">
                  <c:v>-1.062073375074631</c:v>
                </c:pt>
                <c:pt idx="122">
                  <c:v>1.477489362217179</c:v>
                </c:pt>
                <c:pt idx="123">
                  <c:v>-2.3781283099238917</c:v>
                </c:pt>
                <c:pt idx="124">
                  <c:v>0.47811004572060589</c:v>
                </c:pt>
                <c:pt idx="125">
                  <c:v>0.44551959930867541</c:v>
                </c:pt>
                <c:pt idx="126">
                  <c:v>1.3614075313738643</c:v>
                </c:pt>
                <c:pt idx="127">
                  <c:v>-7.7650136808625758E-3</c:v>
                </c:pt>
                <c:pt idx="128">
                  <c:v>-0.12972116439056908</c:v>
                </c:pt>
                <c:pt idx="129">
                  <c:v>-1.6695833580904584</c:v>
                </c:pt>
                <c:pt idx="130">
                  <c:v>1.4530967525660716</c:v>
                </c:pt>
                <c:pt idx="131">
                  <c:v>-0.78143310266141697</c:v>
                </c:pt>
                <c:pt idx="132">
                  <c:v>0.34908255979636738</c:v>
                </c:pt>
                <c:pt idx="133">
                  <c:v>0.13535969057984193</c:v>
                </c:pt>
                <c:pt idx="134">
                  <c:v>-1.8716624465378884</c:v>
                </c:pt>
                <c:pt idx="135">
                  <c:v>1.2656565827966442</c:v>
                </c:pt>
                <c:pt idx="136">
                  <c:v>-0.42014204580768427</c:v>
                </c:pt>
                <c:pt idx="137">
                  <c:v>1.4055246320234833</c:v>
                </c:pt>
                <c:pt idx="138">
                  <c:v>-2.3798636141916241E-2</c:v>
                </c:pt>
                <c:pt idx="139">
                  <c:v>-0.94564972218921284</c:v>
                </c:pt>
                <c:pt idx="140">
                  <c:v>0.73546966098117694</c:v>
                </c:pt>
                <c:pt idx="141">
                  <c:v>1.7116922764778253</c:v>
                </c:pt>
                <c:pt idx="142">
                  <c:v>-0.26362362275971585</c:v>
                </c:pt>
                <c:pt idx="143">
                  <c:v>0.22777557059858333</c:v>
                </c:pt>
              </c:numCache>
            </c:numRef>
          </c:xVal>
          <c:yVal>
            <c:numRef>
              <c:f>'Credit, VIX'!$B$27:$B$170</c:f>
              <c:numCache>
                <c:formatCode>General</c:formatCode>
                <c:ptCount val="144"/>
                <c:pt idx="0">
                  <c:v>-0.90278074947081122</c:v>
                </c:pt>
                <c:pt idx="1">
                  <c:v>2.2673056162365426</c:v>
                </c:pt>
                <c:pt idx="2">
                  <c:v>-0.25609187058228949</c:v>
                </c:pt>
                <c:pt idx="3">
                  <c:v>1.1492580573669646</c:v>
                </c:pt>
                <c:pt idx="4">
                  <c:v>2.1720532887408135</c:v>
                </c:pt>
                <c:pt idx="5">
                  <c:v>5.0995098368119995E-2</c:v>
                </c:pt>
                <c:pt idx="6">
                  <c:v>0.49615823170951479</c:v>
                </c:pt>
                <c:pt idx="7">
                  <c:v>1.1744204426882159</c:v>
                </c:pt>
                <c:pt idx="8">
                  <c:v>1.3284428655003875</c:v>
                </c:pt>
                <c:pt idx="9">
                  <c:v>0.38282966935666207</c:v>
                </c:pt>
                <c:pt idx="10">
                  <c:v>1.1544533999797228</c:v>
                </c:pt>
                <c:pt idx="11">
                  <c:v>1.1559982685880539</c:v>
                </c:pt>
                <c:pt idx="12">
                  <c:v>0.80321515112890074</c:v>
                </c:pt>
                <c:pt idx="13">
                  <c:v>-0.13013243764279092</c:v>
                </c:pt>
                <c:pt idx="14">
                  <c:v>2.0974306226911601</c:v>
                </c:pt>
                <c:pt idx="15">
                  <c:v>-0.51628591895350928</c:v>
                </c:pt>
                <c:pt idx="16">
                  <c:v>1.2556536825234264</c:v>
                </c:pt>
                <c:pt idx="17">
                  <c:v>1.1176064588658834</c:v>
                </c:pt>
                <c:pt idx="18">
                  <c:v>0.18644532762281851</c:v>
                </c:pt>
                <c:pt idx="19">
                  <c:v>2.6012290519057331</c:v>
                </c:pt>
                <c:pt idx="20">
                  <c:v>0.18526014222227982</c:v>
                </c:pt>
                <c:pt idx="21">
                  <c:v>0.47095839751337309</c:v>
                </c:pt>
                <c:pt idx="22">
                  <c:v>-1.115829123117551E-2</c:v>
                </c:pt>
                <c:pt idx="23">
                  <c:v>0.52832661246418799</c:v>
                </c:pt>
                <c:pt idx="24">
                  <c:v>-1.664453378078723</c:v>
                </c:pt>
                <c:pt idx="25">
                  <c:v>1.4215320871040429</c:v>
                </c:pt>
                <c:pt idx="26">
                  <c:v>-1.4622602731261498</c:v>
                </c:pt>
                <c:pt idx="27">
                  <c:v>-0.98345563036128536</c:v>
                </c:pt>
                <c:pt idx="28">
                  <c:v>1.8927033157946584</c:v>
                </c:pt>
                <c:pt idx="29">
                  <c:v>0.28432199974762062</c:v>
                </c:pt>
                <c:pt idx="30">
                  <c:v>-1.0807065493709103</c:v>
                </c:pt>
                <c:pt idx="31">
                  <c:v>-0.25226523223050634</c:v>
                </c:pt>
                <c:pt idx="32">
                  <c:v>0.30171054060327573</c:v>
                </c:pt>
                <c:pt idx="33">
                  <c:v>3.1847017443753485</c:v>
                </c:pt>
                <c:pt idx="34">
                  <c:v>1.6929849798925436</c:v>
                </c:pt>
                <c:pt idx="35">
                  <c:v>0.90056457655397781</c:v>
                </c:pt>
                <c:pt idx="36">
                  <c:v>1.9077284620988033</c:v>
                </c:pt>
                <c:pt idx="37">
                  <c:v>3.218288586594146</c:v>
                </c:pt>
                <c:pt idx="38">
                  <c:v>2.4872285863877663</c:v>
                </c:pt>
                <c:pt idx="39">
                  <c:v>-6.5613758739434647E-2</c:v>
                </c:pt>
                <c:pt idx="40">
                  <c:v>-0.93398664124812036</c:v>
                </c:pt>
                <c:pt idx="41">
                  <c:v>-0.29462586754969022</c:v>
                </c:pt>
                <c:pt idx="42">
                  <c:v>2.3282372142198007</c:v>
                </c:pt>
                <c:pt idx="43">
                  <c:v>0.36849477640057582</c:v>
                </c:pt>
                <c:pt idx="44">
                  <c:v>1.893766558052502</c:v>
                </c:pt>
                <c:pt idx="45">
                  <c:v>0.39408206040778015</c:v>
                </c:pt>
                <c:pt idx="46">
                  <c:v>1.3142123538442463</c:v>
                </c:pt>
                <c:pt idx="47">
                  <c:v>1.4619147995668627</c:v>
                </c:pt>
                <c:pt idx="48">
                  <c:v>0.26088307012576445</c:v>
                </c:pt>
                <c:pt idx="49">
                  <c:v>1.3319681396512248</c:v>
                </c:pt>
                <c:pt idx="50">
                  <c:v>0.91885900293271527</c:v>
                </c:pt>
                <c:pt idx="51">
                  <c:v>0.2438579313755348</c:v>
                </c:pt>
                <c:pt idx="52">
                  <c:v>0.85913619293637467</c:v>
                </c:pt>
                <c:pt idx="53">
                  <c:v>0.38340588725556657</c:v>
                </c:pt>
                <c:pt idx="54">
                  <c:v>1.1716077325265006</c:v>
                </c:pt>
                <c:pt idx="55">
                  <c:v>0.28951350213670257</c:v>
                </c:pt>
                <c:pt idx="56">
                  <c:v>-0.48207326983630683</c:v>
                </c:pt>
                <c:pt idx="57">
                  <c:v>0.11544377967617003</c:v>
                </c:pt>
                <c:pt idx="58">
                  <c:v>0.69438656583317426</c:v>
                </c:pt>
                <c:pt idx="59">
                  <c:v>0.24674408392240199</c:v>
                </c:pt>
                <c:pt idx="60">
                  <c:v>9.4673371882931567E-2</c:v>
                </c:pt>
                <c:pt idx="61">
                  <c:v>1.271320647549113</c:v>
                </c:pt>
                <c:pt idx="62">
                  <c:v>0.79821689225570491</c:v>
                </c:pt>
                <c:pt idx="63">
                  <c:v>0.29580838067356585</c:v>
                </c:pt>
                <c:pt idx="64">
                  <c:v>-0.44455677990953113</c:v>
                </c:pt>
                <c:pt idx="65">
                  <c:v>-0.82016783969149798</c:v>
                </c:pt>
                <c:pt idx="66">
                  <c:v>-0.12681882160989311</c:v>
                </c:pt>
                <c:pt idx="67">
                  <c:v>0.8757013115496064</c:v>
                </c:pt>
                <c:pt idx="68">
                  <c:v>0.39427694596237239</c:v>
                </c:pt>
                <c:pt idx="69">
                  <c:v>0.50759549396668613</c:v>
                </c:pt>
                <c:pt idx="70">
                  <c:v>0.79304380170759903</c:v>
                </c:pt>
                <c:pt idx="71">
                  <c:v>1.0519394608287533</c:v>
                </c:pt>
                <c:pt idx="72">
                  <c:v>1.1389652270445532</c:v>
                </c:pt>
                <c:pt idx="73">
                  <c:v>-1.6554386868278419</c:v>
                </c:pt>
                <c:pt idx="74">
                  <c:v>-8.3833634175708003</c:v>
                </c:pt>
                <c:pt idx="75">
                  <c:v>4.3447632625770334</c:v>
                </c:pt>
                <c:pt idx="76">
                  <c:v>1.6850138640072894</c:v>
                </c:pt>
                <c:pt idx="77">
                  <c:v>0.60017317151365157</c:v>
                </c:pt>
                <c:pt idx="78">
                  <c:v>2.0054946395589739</c:v>
                </c:pt>
                <c:pt idx="79">
                  <c:v>0.10025303063197222</c:v>
                </c:pt>
                <c:pt idx="80">
                  <c:v>-0.4667058389176475</c:v>
                </c:pt>
                <c:pt idx="81">
                  <c:v>-0.38008322885200685</c:v>
                </c:pt>
                <c:pt idx="82">
                  <c:v>2.7501564590691459</c:v>
                </c:pt>
                <c:pt idx="83">
                  <c:v>1.1537529406397466</c:v>
                </c:pt>
                <c:pt idx="84">
                  <c:v>-0.76622526758666554</c:v>
                </c:pt>
                <c:pt idx="85">
                  <c:v>-1.1394159810101712</c:v>
                </c:pt>
                <c:pt idx="86">
                  <c:v>0.58528716542218939</c:v>
                </c:pt>
                <c:pt idx="87">
                  <c:v>0.70361369851531308</c:v>
                </c:pt>
                <c:pt idx="88">
                  <c:v>0.66374521870665415</c:v>
                </c:pt>
                <c:pt idx="89">
                  <c:v>1.0359132741527115</c:v>
                </c:pt>
                <c:pt idx="90">
                  <c:v>1.0357061307475206</c:v>
                </c:pt>
                <c:pt idx="91">
                  <c:v>0.5105839477175439</c:v>
                </c:pt>
                <c:pt idx="92">
                  <c:v>-0.92556736210399648</c:v>
                </c:pt>
                <c:pt idx="93">
                  <c:v>0.55022444481748845</c:v>
                </c:pt>
                <c:pt idx="94">
                  <c:v>-0.19921184837791872</c:v>
                </c:pt>
                <c:pt idx="95">
                  <c:v>0.76090917863547602</c:v>
                </c:pt>
                <c:pt idx="96">
                  <c:v>-2.2382007965860877</c:v>
                </c:pt>
                <c:pt idx="97">
                  <c:v>-1.6824419420941392</c:v>
                </c:pt>
                <c:pt idx="98">
                  <c:v>-1.4347738104187768E-2</c:v>
                </c:pt>
                <c:pt idx="99">
                  <c:v>-3.1566192701072548</c:v>
                </c:pt>
                <c:pt idx="100">
                  <c:v>-0.29977713758884184</c:v>
                </c:pt>
                <c:pt idx="101">
                  <c:v>-4.0257085443494081</c:v>
                </c:pt>
                <c:pt idx="102">
                  <c:v>4.2272332268991182</c:v>
                </c:pt>
                <c:pt idx="103">
                  <c:v>-4.2630458694906697</c:v>
                </c:pt>
                <c:pt idx="104">
                  <c:v>-4.2770729564518133</c:v>
                </c:pt>
                <c:pt idx="105">
                  <c:v>2.4097888698233016</c:v>
                </c:pt>
                <c:pt idx="106">
                  <c:v>2.2302326585813064</c:v>
                </c:pt>
                <c:pt idx="107">
                  <c:v>-0.616823679436318</c:v>
                </c:pt>
                <c:pt idx="108">
                  <c:v>2.4405453946520468</c:v>
                </c:pt>
                <c:pt idx="109">
                  <c:v>-1.2325885933529042</c:v>
                </c:pt>
                <c:pt idx="110">
                  <c:v>0.88169234071177349</c:v>
                </c:pt>
                <c:pt idx="111">
                  <c:v>0.41478426125004653</c:v>
                </c:pt>
                <c:pt idx="112">
                  <c:v>-1.0272355595593035</c:v>
                </c:pt>
                <c:pt idx="113">
                  <c:v>0.42168565719235174</c:v>
                </c:pt>
                <c:pt idx="114">
                  <c:v>1.5055546637020227</c:v>
                </c:pt>
                <c:pt idx="115">
                  <c:v>0.25362955209610061</c:v>
                </c:pt>
                <c:pt idx="116">
                  <c:v>-0.15728493480743844</c:v>
                </c:pt>
                <c:pt idx="117">
                  <c:v>-0.2547682520308413</c:v>
                </c:pt>
                <c:pt idx="118">
                  <c:v>3.1209323427779356</c:v>
                </c:pt>
                <c:pt idx="119">
                  <c:v>3.2353577778443157</c:v>
                </c:pt>
                <c:pt idx="120">
                  <c:v>-0.18084121923967833</c:v>
                </c:pt>
                <c:pt idx="121">
                  <c:v>0.12304905318808657</c:v>
                </c:pt>
                <c:pt idx="122">
                  <c:v>1.2185993994875297</c:v>
                </c:pt>
                <c:pt idx="123">
                  <c:v>-0.64778680402994682</c:v>
                </c:pt>
                <c:pt idx="124">
                  <c:v>1.0400670137027062</c:v>
                </c:pt>
                <c:pt idx="125">
                  <c:v>0.74050309654302937</c:v>
                </c:pt>
                <c:pt idx="126">
                  <c:v>1.2912168182930128</c:v>
                </c:pt>
                <c:pt idx="127">
                  <c:v>0.93443230013676526</c:v>
                </c:pt>
                <c:pt idx="128">
                  <c:v>0.85817512661728412</c:v>
                </c:pt>
                <c:pt idx="129">
                  <c:v>-0.75804795125804181</c:v>
                </c:pt>
                <c:pt idx="130">
                  <c:v>1.4287104584775721</c:v>
                </c:pt>
                <c:pt idx="131">
                  <c:v>2.3307877509628039E-2</c:v>
                </c:pt>
                <c:pt idx="132">
                  <c:v>0.90801452739560995</c:v>
                </c:pt>
                <c:pt idx="133">
                  <c:v>0.4666143409663408</c:v>
                </c:pt>
                <c:pt idx="134">
                  <c:v>-0.98495659028724614</c:v>
                </c:pt>
                <c:pt idx="135">
                  <c:v>0.65523321052447736</c:v>
                </c:pt>
                <c:pt idx="136">
                  <c:v>0.57496518892351056</c:v>
                </c:pt>
                <c:pt idx="137">
                  <c:v>1.1043994689671883</c:v>
                </c:pt>
                <c:pt idx="138">
                  <c:v>0.70367622462122814</c:v>
                </c:pt>
                <c:pt idx="139">
                  <c:v>0.27865137090851588</c:v>
                </c:pt>
                <c:pt idx="140">
                  <c:v>0.84815794364263519</c:v>
                </c:pt>
                <c:pt idx="141">
                  <c:v>1.028730347384974</c:v>
                </c:pt>
                <c:pt idx="142">
                  <c:v>0.23042492992136254</c:v>
                </c:pt>
                <c:pt idx="143">
                  <c:v>0.67667332147056281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76-C24D-BB2F-161116A8BD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9031968"/>
        <c:axId val="1162409344"/>
      </c:scatterChart>
      <c:valAx>
        <c:axId val="1379031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IG Credit Spread (%)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1162409344"/>
        <c:crosses val="autoZero"/>
        <c:crossBetween val="midCat"/>
      </c:valAx>
      <c:valAx>
        <c:axId val="11624093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Asset Returns (%)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137903196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'Credit, VIX'!$F$27:$F$170</c:f>
              <c:numCache>
                <c:formatCode>General</c:formatCode>
                <c:ptCount val="144"/>
                <c:pt idx="0">
                  <c:v>0.34722222222222221</c:v>
                </c:pt>
                <c:pt idx="1">
                  <c:v>1.0416666666666665</c:v>
                </c:pt>
                <c:pt idx="2">
                  <c:v>1.7361111111111112</c:v>
                </c:pt>
                <c:pt idx="3">
                  <c:v>2.4305555555555554</c:v>
                </c:pt>
                <c:pt idx="4">
                  <c:v>3.125</c:v>
                </c:pt>
                <c:pt idx="5">
                  <c:v>3.8194444444444446</c:v>
                </c:pt>
                <c:pt idx="6">
                  <c:v>4.5138888888888884</c:v>
                </c:pt>
                <c:pt idx="7">
                  <c:v>5.208333333333333</c:v>
                </c:pt>
                <c:pt idx="8">
                  <c:v>5.9027777777777777</c:v>
                </c:pt>
                <c:pt idx="9">
                  <c:v>6.5972222222222223</c:v>
                </c:pt>
                <c:pt idx="10">
                  <c:v>7.291666666666667</c:v>
                </c:pt>
                <c:pt idx="11">
                  <c:v>7.9861111111111107</c:v>
                </c:pt>
                <c:pt idx="12">
                  <c:v>8.6805555555555536</c:v>
                </c:pt>
                <c:pt idx="13">
                  <c:v>9.3749999999999982</c:v>
                </c:pt>
                <c:pt idx="14">
                  <c:v>10.069444444444443</c:v>
                </c:pt>
                <c:pt idx="15">
                  <c:v>10.763888888888888</c:v>
                </c:pt>
                <c:pt idx="16">
                  <c:v>11.458333333333332</c:v>
                </c:pt>
                <c:pt idx="17">
                  <c:v>12.152777777777777</c:v>
                </c:pt>
                <c:pt idx="18">
                  <c:v>12.847222222222221</c:v>
                </c:pt>
                <c:pt idx="19">
                  <c:v>13.541666666666666</c:v>
                </c:pt>
                <c:pt idx="20">
                  <c:v>14.236111111111111</c:v>
                </c:pt>
                <c:pt idx="21">
                  <c:v>14.930555555555554</c:v>
                </c:pt>
                <c:pt idx="22">
                  <c:v>15.624999999999998</c:v>
                </c:pt>
                <c:pt idx="23">
                  <c:v>16.319444444444443</c:v>
                </c:pt>
                <c:pt idx="24">
                  <c:v>17.013888888888886</c:v>
                </c:pt>
                <c:pt idx="25">
                  <c:v>17.708333333333332</c:v>
                </c:pt>
                <c:pt idx="26">
                  <c:v>18.402777777777775</c:v>
                </c:pt>
                <c:pt idx="27">
                  <c:v>19.097222222222221</c:v>
                </c:pt>
                <c:pt idx="28">
                  <c:v>19.791666666666664</c:v>
                </c:pt>
                <c:pt idx="29">
                  <c:v>20.486111111111111</c:v>
                </c:pt>
                <c:pt idx="30">
                  <c:v>21.180555555555554</c:v>
                </c:pt>
                <c:pt idx="31">
                  <c:v>21.875</c:v>
                </c:pt>
                <c:pt idx="32">
                  <c:v>22.569444444444443</c:v>
                </c:pt>
                <c:pt idx="33">
                  <c:v>23.263888888888886</c:v>
                </c:pt>
                <c:pt idx="34">
                  <c:v>23.958333333333332</c:v>
                </c:pt>
                <c:pt idx="35">
                  <c:v>24.652777777777775</c:v>
                </c:pt>
                <c:pt idx="36">
                  <c:v>25.347222222222221</c:v>
                </c:pt>
                <c:pt idx="37">
                  <c:v>26.041666666666664</c:v>
                </c:pt>
                <c:pt idx="38">
                  <c:v>26.736111111111111</c:v>
                </c:pt>
                <c:pt idx="39">
                  <c:v>27.430555555555554</c:v>
                </c:pt>
                <c:pt idx="40">
                  <c:v>28.125</c:v>
                </c:pt>
                <c:pt idx="41">
                  <c:v>28.819444444444443</c:v>
                </c:pt>
                <c:pt idx="42">
                  <c:v>29.513888888888886</c:v>
                </c:pt>
                <c:pt idx="43">
                  <c:v>30.208333333333332</c:v>
                </c:pt>
                <c:pt idx="44">
                  <c:v>30.902777777777775</c:v>
                </c:pt>
                <c:pt idx="45">
                  <c:v>31.597222222222221</c:v>
                </c:pt>
                <c:pt idx="46">
                  <c:v>32.291666666666664</c:v>
                </c:pt>
                <c:pt idx="47">
                  <c:v>32.986111111111107</c:v>
                </c:pt>
                <c:pt idx="48">
                  <c:v>33.68055555555555</c:v>
                </c:pt>
                <c:pt idx="49">
                  <c:v>34.375</c:v>
                </c:pt>
                <c:pt idx="50">
                  <c:v>35.069444444444443</c:v>
                </c:pt>
                <c:pt idx="51">
                  <c:v>35.763888888888886</c:v>
                </c:pt>
                <c:pt idx="52">
                  <c:v>36.458333333333329</c:v>
                </c:pt>
                <c:pt idx="53">
                  <c:v>37.152777777777779</c:v>
                </c:pt>
                <c:pt idx="54">
                  <c:v>37.847222222222221</c:v>
                </c:pt>
                <c:pt idx="55">
                  <c:v>38.541666666666664</c:v>
                </c:pt>
                <c:pt idx="56">
                  <c:v>39.236111111111107</c:v>
                </c:pt>
                <c:pt idx="57">
                  <c:v>39.93055555555555</c:v>
                </c:pt>
                <c:pt idx="58">
                  <c:v>40.625</c:v>
                </c:pt>
                <c:pt idx="59">
                  <c:v>41.319444444444443</c:v>
                </c:pt>
                <c:pt idx="60">
                  <c:v>42.013888888888886</c:v>
                </c:pt>
                <c:pt idx="61">
                  <c:v>42.708333333333329</c:v>
                </c:pt>
                <c:pt idx="62">
                  <c:v>43.402777777777779</c:v>
                </c:pt>
                <c:pt idx="63">
                  <c:v>44.097222222222221</c:v>
                </c:pt>
                <c:pt idx="64">
                  <c:v>44.791666666666664</c:v>
                </c:pt>
                <c:pt idx="65">
                  <c:v>45.486111111111107</c:v>
                </c:pt>
                <c:pt idx="66">
                  <c:v>46.18055555555555</c:v>
                </c:pt>
                <c:pt idx="67">
                  <c:v>46.875</c:v>
                </c:pt>
                <c:pt idx="68">
                  <c:v>47.569444444444443</c:v>
                </c:pt>
                <c:pt idx="69">
                  <c:v>48.263888888888886</c:v>
                </c:pt>
                <c:pt idx="70">
                  <c:v>48.958333333333329</c:v>
                </c:pt>
                <c:pt idx="71">
                  <c:v>49.652777777777779</c:v>
                </c:pt>
                <c:pt idx="72">
                  <c:v>50.347222222222221</c:v>
                </c:pt>
                <c:pt idx="73">
                  <c:v>51.041666666666664</c:v>
                </c:pt>
                <c:pt idx="74">
                  <c:v>51.736111111111107</c:v>
                </c:pt>
                <c:pt idx="75">
                  <c:v>52.43055555555555</c:v>
                </c:pt>
                <c:pt idx="76">
                  <c:v>53.125</c:v>
                </c:pt>
                <c:pt idx="77">
                  <c:v>53.819444444444443</c:v>
                </c:pt>
                <c:pt idx="78">
                  <c:v>54.513888888888886</c:v>
                </c:pt>
                <c:pt idx="79">
                  <c:v>55.208333333333329</c:v>
                </c:pt>
                <c:pt idx="80">
                  <c:v>55.902777777777779</c:v>
                </c:pt>
                <c:pt idx="81">
                  <c:v>56.597222222222221</c:v>
                </c:pt>
                <c:pt idx="82">
                  <c:v>57.291666666666664</c:v>
                </c:pt>
                <c:pt idx="83">
                  <c:v>57.986111111111107</c:v>
                </c:pt>
                <c:pt idx="84">
                  <c:v>58.68055555555555</c:v>
                </c:pt>
                <c:pt idx="85">
                  <c:v>59.375</c:v>
                </c:pt>
                <c:pt idx="86">
                  <c:v>60.069444444444443</c:v>
                </c:pt>
                <c:pt idx="87">
                  <c:v>60.763888888888886</c:v>
                </c:pt>
                <c:pt idx="88">
                  <c:v>61.458333333333329</c:v>
                </c:pt>
                <c:pt idx="89">
                  <c:v>62.152777777777771</c:v>
                </c:pt>
                <c:pt idx="90">
                  <c:v>62.847222222222221</c:v>
                </c:pt>
                <c:pt idx="91">
                  <c:v>63.541666666666664</c:v>
                </c:pt>
                <c:pt idx="92">
                  <c:v>64.236111111111114</c:v>
                </c:pt>
                <c:pt idx="93">
                  <c:v>64.930555555555557</c:v>
                </c:pt>
                <c:pt idx="94">
                  <c:v>65.625</c:v>
                </c:pt>
                <c:pt idx="95">
                  <c:v>66.319444444444443</c:v>
                </c:pt>
                <c:pt idx="96">
                  <c:v>67.013888888888886</c:v>
                </c:pt>
                <c:pt idx="97">
                  <c:v>67.708333333333343</c:v>
                </c:pt>
                <c:pt idx="98">
                  <c:v>68.402777777777786</c:v>
                </c:pt>
                <c:pt idx="99">
                  <c:v>69.097222222222229</c:v>
                </c:pt>
                <c:pt idx="100">
                  <c:v>69.791666666666671</c:v>
                </c:pt>
                <c:pt idx="101">
                  <c:v>70.486111111111114</c:v>
                </c:pt>
                <c:pt idx="102">
                  <c:v>71.180555555555557</c:v>
                </c:pt>
                <c:pt idx="103">
                  <c:v>71.875</c:v>
                </c:pt>
                <c:pt idx="104">
                  <c:v>72.569444444444443</c:v>
                </c:pt>
                <c:pt idx="105">
                  <c:v>73.263888888888886</c:v>
                </c:pt>
                <c:pt idx="106">
                  <c:v>73.958333333333343</c:v>
                </c:pt>
                <c:pt idx="107">
                  <c:v>74.652777777777786</c:v>
                </c:pt>
                <c:pt idx="108">
                  <c:v>75.347222222222229</c:v>
                </c:pt>
                <c:pt idx="109">
                  <c:v>76.041666666666671</c:v>
                </c:pt>
                <c:pt idx="110">
                  <c:v>76.736111111111114</c:v>
                </c:pt>
                <c:pt idx="111">
                  <c:v>77.430555555555557</c:v>
                </c:pt>
                <c:pt idx="112">
                  <c:v>78.125</c:v>
                </c:pt>
                <c:pt idx="113">
                  <c:v>78.819444444444443</c:v>
                </c:pt>
                <c:pt idx="114">
                  <c:v>79.513888888888886</c:v>
                </c:pt>
                <c:pt idx="115">
                  <c:v>80.208333333333343</c:v>
                </c:pt>
                <c:pt idx="116">
                  <c:v>80.902777777777786</c:v>
                </c:pt>
                <c:pt idx="117">
                  <c:v>81.597222222222229</c:v>
                </c:pt>
                <c:pt idx="118">
                  <c:v>82.291666666666671</c:v>
                </c:pt>
                <c:pt idx="119">
                  <c:v>82.986111111111114</c:v>
                </c:pt>
                <c:pt idx="120">
                  <c:v>83.680555555555557</c:v>
                </c:pt>
                <c:pt idx="121">
                  <c:v>84.375</c:v>
                </c:pt>
                <c:pt idx="122">
                  <c:v>85.069444444444443</c:v>
                </c:pt>
                <c:pt idx="123">
                  <c:v>85.763888888888886</c:v>
                </c:pt>
                <c:pt idx="124">
                  <c:v>86.458333333333343</c:v>
                </c:pt>
                <c:pt idx="125">
                  <c:v>87.152777777777786</c:v>
                </c:pt>
                <c:pt idx="126">
                  <c:v>87.847222222222229</c:v>
                </c:pt>
                <c:pt idx="127">
                  <c:v>88.541666666666671</c:v>
                </c:pt>
                <c:pt idx="128">
                  <c:v>89.236111111111114</c:v>
                </c:pt>
                <c:pt idx="129">
                  <c:v>89.930555555555557</c:v>
                </c:pt>
                <c:pt idx="130">
                  <c:v>90.625</c:v>
                </c:pt>
                <c:pt idx="131">
                  <c:v>91.319444444444443</c:v>
                </c:pt>
                <c:pt idx="132">
                  <c:v>92.013888888888886</c:v>
                </c:pt>
                <c:pt idx="133">
                  <c:v>92.708333333333343</c:v>
                </c:pt>
                <c:pt idx="134">
                  <c:v>93.402777777777786</c:v>
                </c:pt>
                <c:pt idx="135">
                  <c:v>94.097222222222229</c:v>
                </c:pt>
                <c:pt idx="136">
                  <c:v>94.791666666666671</c:v>
                </c:pt>
                <c:pt idx="137">
                  <c:v>95.486111111111114</c:v>
                </c:pt>
                <c:pt idx="138">
                  <c:v>96.180555555555557</c:v>
                </c:pt>
                <c:pt idx="139">
                  <c:v>96.875</c:v>
                </c:pt>
                <c:pt idx="140">
                  <c:v>97.569444444444443</c:v>
                </c:pt>
                <c:pt idx="141">
                  <c:v>98.263888888888886</c:v>
                </c:pt>
                <c:pt idx="142">
                  <c:v>98.958333333333343</c:v>
                </c:pt>
                <c:pt idx="143">
                  <c:v>99.652777777777786</c:v>
                </c:pt>
              </c:numCache>
            </c:numRef>
          </c:xVal>
          <c:yVal>
            <c:numRef>
              <c:f>'Credit, VIX'!$G$27:$G$170</c:f>
              <c:numCache>
                <c:formatCode>General</c:formatCode>
                <c:ptCount val="144"/>
                <c:pt idx="0">
                  <c:v>-7.0047284893671877</c:v>
                </c:pt>
                <c:pt idx="1">
                  <c:v>-4.6868598995851904</c:v>
                </c:pt>
                <c:pt idx="2">
                  <c:v>-4.1526948243374111</c:v>
                </c:pt>
                <c:pt idx="3">
                  <c:v>-3.6875242113072275</c:v>
                </c:pt>
                <c:pt idx="4">
                  <c:v>-3.3442885744124804</c:v>
                </c:pt>
                <c:pt idx="5">
                  <c:v>-3.1231512210139143</c:v>
                </c:pt>
                <c:pt idx="6">
                  <c:v>-2.9682787226250409</c:v>
                </c:pt>
                <c:pt idx="7">
                  <c:v>-2.5680570998352561</c:v>
                </c:pt>
                <c:pt idx="8">
                  <c:v>-2.5280472836281653</c:v>
                </c:pt>
                <c:pt idx="9">
                  <c:v>-2.5046976641667626</c:v>
                </c:pt>
                <c:pt idx="10">
                  <c:v>-2.2568118607420633</c:v>
                </c:pt>
                <c:pt idx="11">
                  <c:v>-1.9001782009329338</c:v>
                </c:pt>
                <c:pt idx="12">
                  <c:v>-1.8423176925388944</c:v>
                </c:pt>
                <c:pt idx="13">
                  <c:v>-1.8267949190726551</c:v>
                </c:pt>
                <c:pt idx="14">
                  <c:v>-1.7163787658669345</c:v>
                </c:pt>
                <c:pt idx="15">
                  <c:v>-1.7024670003016547</c:v>
                </c:pt>
                <c:pt idx="16">
                  <c:v>-1.4912303020014905</c:v>
                </c:pt>
                <c:pt idx="17">
                  <c:v>-1.4816122688402813</c:v>
                </c:pt>
                <c:pt idx="18">
                  <c:v>-1.3850399013585131</c:v>
                </c:pt>
                <c:pt idx="19">
                  <c:v>-1.3845334693391671</c:v>
                </c:pt>
                <c:pt idx="20">
                  <c:v>-1.3312319193447704</c:v>
                </c:pt>
                <c:pt idx="21">
                  <c:v>-1.2793531068196276</c:v>
                </c:pt>
                <c:pt idx="22">
                  <c:v>-1.1425691586862545</c:v>
                </c:pt>
                <c:pt idx="23">
                  <c:v>-1.1072210028407516</c:v>
                </c:pt>
                <c:pt idx="24">
                  <c:v>-1.0801430002995103</c:v>
                </c:pt>
                <c:pt idx="25">
                  <c:v>-0.94912629185626851</c:v>
                </c:pt>
                <c:pt idx="26">
                  <c:v>-0.93339874585644023</c:v>
                </c:pt>
                <c:pt idx="27">
                  <c:v>-0.8739297602339734</c:v>
                </c:pt>
                <c:pt idx="28">
                  <c:v>-0.85098504001589137</c:v>
                </c:pt>
                <c:pt idx="29">
                  <c:v>-0.84486748191592764</c:v>
                </c:pt>
                <c:pt idx="30">
                  <c:v>-0.83998798555617005</c:v>
                </c:pt>
                <c:pt idx="31">
                  <c:v>-0.82038765576752415</c:v>
                </c:pt>
                <c:pt idx="32">
                  <c:v>-0.73047275946122014</c:v>
                </c:pt>
                <c:pt idx="33">
                  <c:v>-0.72114034769675106</c:v>
                </c:pt>
                <c:pt idx="34">
                  <c:v>-0.70844610563042631</c:v>
                </c:pt>
                <c:pt idx="35">
                  <c:v>-0.63980558944311527</c:v>
                </c:pt>
                <c:pt idx="36">
                  <c:v>-0.63321922178810008</c:v>
                </c:pt>
                <c:pt idx="37">
                  <c:v>-0.62523746935851443</c:v>
                </c:pt>
                <c:pt idx="38">
                  <c:v>-0.60205936122706527</c:v>
                </c:pt>
                <c:pt idx="39">
                  <c:v>-0.49649597275839152</c:v>
                </c:pt>
                <c:pt idx="40">
                  <c:v>-0.45287219230992509</c:v>
                </c:pt>
                <c:pt idx="41">
                  <c:v>-0.44945692130845749</c:v>
                </c:pt>
                <c:pt idx="42">
                  <c:v>-0.42414010254649709</c:v>
                </c:pt>
                <c:pt idx="43">
                  <c:v>-0.40587403799491967</c:v>
                </c:pt>
                <c:pt idx="44">
                  <c:v>-0.38364685529762182</c:v>
                </c:pt>
                <c:pt idx="45">
                  <c:v>-0.34952011853591453</c:v>
                </c:pt>
                <c:pt idx="46">
                  <c:v>-0.32059917407416511</c:v>
                </c:pt>
                <c:pt idx="47">
                  <c:v>-0.25809067214290327</c:v>
                </c:pt>
                <c:pt idx="48">
                  <c:v>-0.23417506109101072</c:v>
                </c:pt>
                <c:pt idx="49">
                  <c:v>-0.18651939975316809</c:v>
                </c:pt>
                <c:pt idx="50">
                  <c:v>-0.16023377056929605</c:v>
                </c:pt>
                <c:pt idx="51">
                  <c:v>-0.15960421366991845</c:v>
                </c:pt>
                <c:pt idx="52">
                  <c:v>-0.12574664360828455</c:v>
                </c:pt>
                <c:pt idx="53">
                  <c:v>-3.7635693365227305E-2</c:v>
                </c:pt>
                <c:pt idx="54">
                  <c:v>-2.8872892422191813E-2</c:v>
                </c:pt>
                <c:pt idx="55">
                  <c:v>-2.1093949631446327E-2</c:v>
                </c:pt>
                <c:pt idx="56">
                  <c:v>2.1744398396726858E-3</c:v>
                </c:pt>
                <c:pt idx="57">
                  <c:v>1.3361896540353232E-2</c:v>
                </c:pt>
                <c:pt idx="58">
                  <c:v>1.5244628300109645E-2</c:v>
                </c:pt>
                <c:pt idx="59">
                  <c:v>4.5162099813618559E-2</c:v>
                </c:pt>
                <c:pt idx="60">
                  <c:v>5.5182858323510636E-2</c:v>
                </c:pt>
                <c:pt idx="61">
                  <c:v>6.2862567183433013E-2</c:v>
                </c:pt>
                <c:pt idx="62">
                  <c:v>6.4450144874432388E-2</c:v>
                </c:pt>
                <c:pt idx="63">
                  <c:v>0.17050584189129772</c:v>
                </c:pt>
                <c:pt idx="64">
                  <c:v>0.20128346879376346</c:v>
                </c:pt>
                <c:pt idx="65">
                  <c:v>0.25176219913533959</c:v>
                </c:pt>
                <c:pt idx="66">
                  <c:v>0.27937046819359035</c:v>
                </c:pt>
                <c:pt idx="67">
                  <c:v>0.29248739326307094</c:v>
                </c:pt>
                <c:pt idx="68">
                  <c:v>0.32195109833132546</c:v>
                </c:pt>
                <c:pt idx="69">
                  <c:v>0.3416951439283733</c:v>
                </c:pt>
                <c:pt idx="70">
                  <c:v>0.3941440510082177</c:v>
                </c:pt>
                <c:pt idx="71">
                  <c:v>0.39463790345239053</c:v>
                </c:pt>
                <c:pt idx="72">
                  <c:v>0.44664249623499269</c:v>
                </c:pt>
                <c:pt idx="73">
                  <c:v>0.44906329589973976</c:v>
                </c:pt>
                <c:pt idx="74">
                  <c:v>0.51269214936388086</c:v>
                </c:pt>
                <c:pt idx="75">
                  <c:v>0.54311279831289316</c:v>
                </c:pt>
                <c:pt idx="76">
                  <c:v>0.64991632276644051</c:v>
                </c:pt>
                <c:pt idx="77">
                  <c:v>0.74520035393408268</c:v>
                </c:pt>
                <c:pt idx="78">
                  <c:v>0.76476526172699799</c:v>
                </c:pt>
                <c:pt idx="79">
                  <c:v>0.76715041455256716</c:v>
                </c:pt>
                <c:pt idx="80">
                  <c:v>0.77913542886387466</c:v>
                </c:pt>
                <c:pt idx="81">
                  <c:v>0.79790760681101336</c:v>
                </c:pt>
                <c:pt idx="82">
                  <c:v>0.79930043255834871</c:v>
                </c:pt>
                <c:pt idx="83">
                  <c:v>0.80909571022157933</c:v>
                </c:pt>
                <c:pt idx="84">
                  <c:v>0.8173714702258239</c:v>
                </c:pt>
                <c:pt idx="85">
                  <c:v>0.8220675256694463</c:v>
                </c:pt>
                <c:pt idx="86">
                  <c:v>0.94080499762717185</c:v>
                </c:pt>
                <c:pt idx="87">
                  <c:v>0.98384974618307341</c:v>
                </c:pt>
                <c:pt idx="88">
                  <c:v>1.084910181769061</c:v>
                </c:pt>
                <c:pt idx="89">
                  <c:v>1.088562294937061</c:v>
                </c:pt>
                <c:pt idx="90">
                  <c:v>1.1252408849651883</c:v>
                </c:pt>
                <c:pt idx="91">
                  <c:v>1.1573512190828252</c:v>
                </c:pt>
                <c:pt idx="92">
                  <c:v>1.1607317321410837</c:v>
                </c:pt>
                <c:pt idx="93">
                  <c:v>1.1935119946777377</c:v>
                </c:pt>
                <c:pt idx="94">
                  <c:v>1.2933080083597004</c:v>
                </c:pt>
                <c:pt idx="95">
                  <c:v>1.3006576888791135</c:v>
                </c:pt>
                <c:pt idx="96">
                  <c:v>1.3072997744824202</c:v>
                </c:pt>
                <c:pt idx="97">
                  <c:v>1.3201728926043841</c:v>
                </c:pt>
                <c:pt idx="98">
                  <c:v>1.3282751471537555</c:v>
                </c:pt>
                <c:pt idx="99">
                  <c:v>1.3592930931331151</c:v>
                </c:pt>
                <c:pt idx="100">
                  <c:v>1.3893836371301047</c:v>
                </c:pt>
                <c:pt idx="101">
                  <c:v>1.4570599695124704</c:v>
                </c:pt>
                <c:pt idx="102">
                  <c:v>1.4746501612318974</c:v>
                </c:pt>
                <c:pt idx="103">
                  <c:v>1.4799167353491935</c:v>
                </c:pt>
                <c:pt idx="104">
                  <c:v>1.5120608050198472</c:v>
                </c:pt>
                <c:pt idx="105">
                  <c:v>1.5632378548125487</c:v>
                </c:pt>
                <c:pt idx="106">
                  <c:v>1.5752476292840976</c:v>
                </c:pt>
                <c:pt idx="107">
                  <c:v>1.7130121087748451</c:v>
                </c:pt>
                <c:pt idx="108">
                  <c:v>1.8101887790863302</c:v>
                </c:pt>
                <c:pt idx="109">
                  <c:v>1.8519535193189707</c:v>
                </c:pt>
                <c:pt idx="110">
                  <c:v>1.9551601207275044</c:v>
                </c:pt>
                <c:pt idx="111">
                  <c:v>1.9636320377819911</c:v>
                </c:pt>
                <c:pt idx="112">
                  <c:v>1.9965489332311821</c:v>
                </c:pt>
                <c:pt idx="113">
                  <c:v>2.1127325139720563</c:v>
                </c:pt>
                <c:pt idx="114">
                  <c:v>2.1320616401803507</c:v>
                </c:pt>
                <c:pt idx="115">
                  <c:v>2.1528110708148573</c:v>
                </c:pt>
                <c:pt idx="116">
                  <c:v>2.1554149374730458</c:v>
                </c:pt>
                <c:pt idx="117">
                  <c:v>2.1937669383125291</c:v>
                </c:pt>
                <c:pt idx="118">
                  <c:v>2.2441569439350513</c:v>
                </c:pt>
                <c:pt idx="119">
                  <c:v>2.3109716137805942</c:v>
                </c:pt>
                <c:pt idx="120">
                  <c:v>2.3644571963769208</c:v>
                </c:pt>
                <c:pt idx="121">
                  <c:v>2.3878145236429944</c:v>
                </c:pt>
                <c:pt idx="122">
                  <c:v>2.4047017706743326</c:v>
                </c:pt>
                <c:pt idx="123">
                  <c:v>2.4711222871909655</c:v>
                </c:pt>
                <c:pt idx="124">
                  <c:v>2.5118747000438195</c:v>
                </c:pt>
                <c:pt idx="125">
                  <c:v>2.5198681337412903</c:v>
                </c:pt>
                <c:pt idx="126">
                  <c:v>2.5257042870557784</c:v>
                </c:pt>
                <c:pt idx="127">
                  <c:v>2.5343167951715437</c:v>
                </c:pt>
                <c:pt idx="128">
                  <c:v>2.6303236664701828</c:v>
                </c:pt>
                <c:pt idx="129">
                  <c:v>2.6535892327475388</c:v>
                </c:pt>
                <c:pt idx="130">
                  <c:v>2.664630651168546</c:v>
                </c:pt>
                <c:pt idx="131">
                  <c:v>2.683391280512204</c:v>
                </c:pt>
                <c:pt idx="132">
                  <c:v>2.7070180675265525</c:v>
                </c:pt>
                <c:pt idx="133">
                  <c:v>2.8438546235537174</c:v>
                </c:pt>
                <c:pt idx="134">
                  <c:v>2.8609360739223297</c:v>
                </c:pt>
                <c:pt idx="135">
                  <c:v>3.0698713827378343</c:v>
                </c:pt>
                <c:pt idx="136">
                  <c:v>3.1095108983661892</c:v>
                </c:pt>
                <c:pt idx="137">
                  <c:v>3.1666873562985165</c:v>
                </c:pt>
                <c:pt idx="138">
                  <c:v>3.3950819422879635</c:v>
                </c:pt>
                <c:pt idx="139">
                  <c:v>3.4388141552305238</c:v>
                </c:pt>
                <c:pt idx="140">
                  <c:v>3.580071379617352</c:v>
                </c:pt>
                <c:pt idx="141">
                  <c:v>3.8214888861569447</c:v>
                </c:pt>
                <c:pt idx="142">
                  <c:v>4.5018822436456931</c:v>
                </c:pt>
                <c:pt idx="143">
                  <c:v>5.5867022964527608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B9-5D4F-B332-D6D5A7851C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269920"/>
        <c:axId val="1171530384"/>
      </c:scatterChart>
      <c:valAx>
        <c:axId val="1146269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1530384"/>
        <c:crosses val="autoZero"/>
        <c:crossBetween val="midCat"/>
      </c:valAx>
      <c:valAx>
        <c:axId val="11715303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Asset Returns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46269920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Slope Change (%)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Data!$U$2:$U$145</c:f>
              <c:numCache>
                <c:formatCode>0.0000</c:formatCode>
                <c:ptCount val="144"/>
                <c:pt idx="0">
                  <c:v>-7.4009324009324047E-4</c:v>
                </c:pt>
                <c:pt idx="1">
                  <c:v>1.1666666666666686E-2</c:v>
                </c:pt>
                <c:pt idx="2">
                  <c:v>-1.0833333333333306E-2</c:v>
                </c:pt>
                <c:pt idx="3">
                  <c:v>-1.0833333333333361E-2</c:v>
                </c:pt>
                <c:pt idx="4">
                  <c:v>-1.6666666666666496E-3</c:v>
                </c:pt>
                <c:pt idx="5">
                  <c:v>7.4999999999999512E-3</c:v>
                </c:pt>
                <c:pt idx="6">
                  <c:v>-1.6666666666666607E-2</c:v>
                </c:pt>
                <c:pt idx="7">
                  <c:v>-4.1666666666667074E-3</c:v>
                </c:pt>
                <c:pt idx="8">
                  <c:v>-1.6666666666666496E-3</c:v>
                </c:pt>
                <c:pt idx="9">
                  <c:v>-1.0000000000000009E-2</c:v>
                </c:pt>
                <c:pt idx="10">
                  <c:v>-4.9999999999999489E-3</c:v>
                </c:pt>
                <c:pt idx="11">
                  <c:v>-5.833333333333357E-3</c:v>
                </c:pt>
                <c:pt idx="12">
                  <c:v>-1.6666666666666663E-2</c:v>
                </c:pt>
                <c:pt idx="13">
                  <c:v>-1.1666666666666659E-2</c:v>
                </c:pt>
                <c:pt idx="14">
                  <c:v>-1.1666666666666659E-2</c:v>
                </c:pt>
                <c:pt idx="15">
                  <c:v>3.3333333333332993E-3</c:v>
                </c:pt>
                <c:pt idx="16">
                  <c:v>1.0833333333333306E-2</c:v>
                </c:pt>
                <c:pt idx="17">
                  <c:v>-9.1666666666666285E-3</c:v>
                </c:pt>
                <c:pt idx="18">
                  <c:v>-8.3333333333333315E-3</c:v>
                </c:pt>
                <c:pt idx="19">
                  <c:v>-2.5000000000000022E-2</c:v>
                </c:pt>
                <c:pt idx="20">
                  <c:v>1.583333333333331E-2</c:v>
                </c:pt>
                <c:pt idx="21">
                  <c:v>1.6666666666666774E-3</c:v>
                </c:pt>
                <c:pt idx="22">
                  <c:v>5.8333333333333293E-3</c:v>
                </c:pt>
                <c:pt idx="23">
                  <c:v>2.5000000000000022E-3</c:v>
                </c:pt>
                <c:pt idx="24">
                  <c:v>5.833333333333357E-3</c:v>
                </c:pt>
                <c:pt idx="25">
                  <c:v>-1.2500000000000011E-2</c:v>
                </c:pt>
                <c:pt idx="26">
                  <c:v>5.0000000000000044E-3</c:v>
                </c:pt>
                <c:pt idx="27">
                  <c:v>3.3333333333332993E-3</c:v>
                </c:pt>
                <c:pt idx="28">
                  <c:v>5.0000000000000322E-3</c:v>
                </c:pt>
                <c:pt idx="29">
                  <c:v>-3.333333333333327E-3</c:v>
                </c:pt>
                <c:pt idx="30">
                  <c:v>0</c:v>
                </c:pt>
                <c:pt idx="31">
                  <c:v>5.833333333333357E-3</c:v>
                </c:pt>
                <c:pt idx="32">
                  <c:v>8.3333333333333037E-3</c:v>
                </c:pt>
                <c:pt idx="33">
                  <c:v>-7.5000000000000067E-3</c:v>
                </c:pt>
                <c:pt idx="34">
                  <c:v>0</c:v>
                </c:pt>
                <c:pt idx="35">
                  <c:v>-1.0000000000000037E-2</c:v>
                </c:pt>
                <c:pt idx="36">
                  <c:v>-6.6666666666666541E-3</c:v>
                </c:pt>
                <c:pt idx="37">
                  <c:v>-1.3333333333333336E-2</c:v>
                </c:pt>
                <c:pt idx="38">
                  <c:v>-2.4999999999999981E-2</c:v>
                </c:pt>
                <c:pt idx="39">
                  <c:v>2.0000000000000004E-2</c:v>
                </c:pt>
                <c:pt idx="40">
                  <c:v>1.2499999999999983E-2</c:v>
                </c:pt>
                <c:pt idx="41">
                  <c:v>2.0000000000000018E-2</c:v>
                </c:pt>
                <c:pt idx="42">
                  <c:v>-5.833333333333357E-3</c:v>
                </c:pt>
                <c:pt idx="43">
                  <c:v>2.4999999999999745E-3</c:v>
                </c:pt>
                <c:pt idx="44">
                  <c:v>-4.9999999999999489E-3</c:v>
                </c:pt>
                <c:pt idx="45">
                  <c:v>-4.1666666666666796E-3</c:v>
                </c:pt>
                <c:pt idx="46">
                  <c:v>3.333333333333327E-3</c:v>
                </c:pt>
                <c:pt idx="47">
                  <c:v>-4.1666666666666519E-3</c:v>
                </c:pt>
                <c:pt idx="48">
                  <c:v>-5.833333333333357E-3</c:v>
                </c:pt>
                <c:pt idx="49">
                  <c:v>6.6666666666666818E-3</c:v>
                </c:pt>
                <c:pt idx="50">
                  <c:v>-5.0000000000000044E-3</c:v>
                </c:pt>
                <c:pt idx="51">
                  <c:v>-1.0833333333333334E-2</c:v>
                </c:pt>
                <c:pt idx="52">
                  <c:v>-8.3333333333335258E-4</c:v>
                </c:pt>
                <c:pt idx="53">
                  <c:v>-8.3333333333333037E-3</c:v>
                </c:pt>
                <c:pt idx="54">
                  <c:v>-4.1666666666666796E-3</c:v>
                </c:pt>
                <c:pt idx="55">
                  <c:v>-1.0833333333333334E-2</c:v>
                </c:pt>
                <c:pt idx="56">
                  <c:v>-3.3333333333333132E-3</c:v>
                </c:pt>
                <c:pt idx="57">
                  <c:v>-2.0000000000000018E-2</c:v>
                </c:pt>
                <c:pt idx="58">
                  <c:v>1.2499999999999983E-2</c:v>
                </c:pt>
                <c:pt idx="59">
                  <c:v>4.1666666666666935E-3</c:v>
                </c:pt>
                <c:pt idx="60">
                  <c:v>-6.666666666666668E-3</c:v>
                </c:pt>
                <c:pt idx="61">
                  <c:v>-1.6666666666666774E-3</c:v>
                </c:pt>
                <c:pt idx="62">
                  <c:v>8.333333333333387E-4</c:v>
                </c:pt>
                <c:pt idx="63">
                  <c:v>1.6666666666666635E-3</c:v>
                </c:pt>
                <c:pt idx="64">
                  <c:v>4.9999999999999906E-3</c:v>
                </c:pt>
                <c:pt idx="65">
                  <c:v>1.7500000000000002E-2</c:v>
                </c:pt>
                <c:pt idx="66">
                  <c:v>-1.6666666666666635E-2</c:v>
                </c:pt>
                <c:pt idx="67">
                  <c:v>-3.5833333333333356E-2</c:v>
                </c:pt>
                <c:pt idx="68">
                  <c:v>2.5000000000000022E-3</c:v>
                </c:pt>
                <c:pt idx="69">
                  <c:v>1.6666666666666566E-3</c:v>
                </c:pt>
                <c:pt idx="70">
                  <c:v>-8.3333333333332482E-4</c:v>
                </c:pt>
                <c:pt idx="71">
                  <c:v>8.3333333333333384E-3</c:v>
                </c:pt>
                <c:pt idx="72">
                  <c:v>-1.5833333333333338E-2</c:v>
                </c:pt>
                <c:pt idx="73">
                  <c:v>1.6666666666666635E-3</c:v>
                </c:pt>
                <c:pt idx="74">
                  <c:v>5.8333333333333431E-3</c:v>
                </c:pt>
                <c:pt idx="75">
                  <c:v>-1.1666666666666672E-2</c:v>
                </c:pt>
                <c:pt idx="76">
                  <c:v>6.666666666666661E-3</c:v>
                </c:pt>
                <c:pt idx="77">
                  <c:v>8.3333333333333384E-3</c:v>
                </c:pt>
                <c:pt idx="78">
                  <c:v>0</c:v>
                </c:pt>
                <c:pt idx="79">
                  <c:v>1.7500000000000002E-2</c:v>
                </c:pt>
                <c:pt idx="80">
                  <c:v>-9.1666666666666702E-3</c:v>
                </c:pt>
                <c:pt idx="81">
                  <c:v>3.333333333333327E-3</c:v>
                </c:pt>
                <c:pt idx="82">
                  <c:v>-1.6666666666666635E-3</c:v>
                </c:pt>
                <c:pt idx="83">
                  <c:v>-2.5000000000000022E-3</c:v>
                </c:pt>
                <c:pt idx="84">
                  <c:v>1.0000000000000009E-2</c:v>
                </c:pt>
                <c:pt idx="85">
                  <c:v>1.999999999999999E-2</c:v>
                </c:pt>
                <c:pt idx="86">
                  <c:v>4.1666666666666657E-3</c:v>
                </c:pt>
                <c:pt idx="87">
                  <c:v>-5.8333333333333293E-3</c:v>
                </c:pt>
                <c:pt idx="88">
                  <c:v>8.333333333333387E-4</c:v>
                </c:pt>
                <c:pt idx="89">
                  <c:v>-8.3333333333333454E-3</c:v>
                </c:pt>
                <c:pt idx="90">
                  <c:v>-1.7499999999999988E-2</c:v>
                </c:pt>
                <c:pt idx="91">
                  <c:v>8.333333333333387E-4</c:v>
                </c:pt>
                <c:pt idx="92">
                  <c:v>8.3333333333333176E-3</c:v>
                </c:pt>
                <c:pt idx="93">
                  <c:v>-4.2499999999999989E-2</c:v>
                </c:pt>
                <c:pt idx="94">
                  <c:v>1.6666666666666635E-3</c:v>
                </c:pt>
                <c:pt idx="95">
                  <c:v>2.5000000000000092E-3</c:v>
                </c:pt>
                <c:pt idx="96">
                  <c:v>-3.3333333333333409E-3</c:v>
                </c:pt>
                <c:pt idx="97">
                  <c:v>1.1666666666666672E-2</c:v>
                </c:pt>
                <c:pt idx="98">
                  <c:v>-1.4999999999999999E-2</c:v>
                </c:pt>
                <c:pt idx="99">
                  <c:v>4.1666666666666796E-3</c:v>
                </c:pt>
                <c:pt idx="100">
                  <c:v>0.03</c:v>
                </c:pt>
                <c:pt idx="101">
                  <c:v>-3.333333333333327E-3</c:v>
                </c:pt>
                <c:pt idx="102">
                  <c:v>6.6666666666666541E-3</c:v>
                </c:pt>
                <c:pt idx="103">
                  <c:v>-4.3333333333333363E-2</c:v>
                </c:pt>
                <c:pt idx="104">
                  <c:v>-6.8333333333333329E-2</c:v>
                </c:pt>
                <c:pt idx="105">
                  <c:v>7.0833333333333304E-2</c:v>
                </c:pt>
                <c:pt idx="106">
                  <c:v>-6.6666666666665986E-3</c:v>
                </c:pt>
                <c:pt idx="107">
                  <c:v>1.4166666666666661E-2</c:v>
                </c:pt>
                <c:pt idx="108">
                  <c:v>9.1666666666666563E-3</c:v>
                </c:pt>
                <c:pt idx="109">
                  <c:v>-1.4166666666666661E-2</c:v>
                </c:pt>
                <c:pt idx="110">
                  <c:v>-6.6666666666667096E-3</c:v>
                </c:pt>
                <c:pt idx="111">
                  <c:v>-1.6666666666666496E-3</c:v>
                </c:pt>
                <c:pt idx="112">
                  <c:v>-1.1666666666666714E-2</c:v>
                </c:pt>
                <c:pt idx="113">
                  <c:v>-6.7499999999999949E-2</c:v>
                </c:pt>
                <c:pt idx="114">
                  <c:v>3.2500000000000029E-2</c:v>
                </c:pt>
                <c:pt idx="115">
                  <c:v>1.8333333333333313E-2</c:v>
                </c:pt>
                <c:pt idx="116">
                  <c:v>3.9166666666666627E-2</c:v>
                </c:pt>
                <c:pt idx="117">
                  <c:v>1.2500000000000067E-2</c:v>
                </c:pt>
                <c:pt idx="118">
                  <c:v>-7.5000000000000067E-3</c:v>
                </c:pt>
                <c:pt idx="119">
                  <c:v>1.6666666666666663E-2</c:v>
                </c:pt>
                <c:pt idx="120">
                  <c:v>5.5511151231257827E-17</c:v>
                </c:pt>
                <c:pt idx="121">
                  <c:v>-2.583333333333343E-2</c:v>
                </c:pt>
                <c:pt idx="122">
                  <c:v>5.0000000000000044E-3</c:v>
                </c:pt>
                <c:pt idx="123">
                  <c:v>-3.3333333333333548E-3</c:v>
                </c:pt>
                <c:pt idx="124">
                  <c:v>-8.3333333333324155E-4</c:v>
                </c:pt>
                <c:pt idx="125">
                  <c:v>6.6666666666665986E-3</c:v>
                </c:pt>
                <c:pt idx="126">
                  <c:v>1.4166666666666661E-2</c:v>
                </c:pt>
                <c:pt idx="127">
                  <c:v>-1.6666666666665941E-3</c:v>
                </c:pt>
                <c:pt idx="128">
                  <c:v>1.4166666666666605E-2</c:v>
                </c:pt>
                <c:pt idx="129">
                  <c:v>-1.1666666666666659E-2</c:v>
                </c:pt>
                <c:pt idx="130">
                  <c:v>5.0000000000000044E-3</c:v>
                </c:pt>
                <c:pt idx="131">
                  <c:v>1.6666666666666663E-2</c:v>
                </c:pt>
                <c:pt idx="132">
                  <c:v>1.0833333333333306E-2</c:v>
                </c:pt>
                <c:pt idx="133">
                  <c:v>8.3333333333329707E-4</c:v>
                </c:pt>
                <c:pt idx="134">
                  <c:v>1.4166666666666716E-2</c:v>
                </c:pt>
                <c:pt idx="135">
                  <c:v>2.6666666666666727E-2</c:v>
                </c:pt>
                <c:pt idx="136">
                  <c:v>-7.5000000000000622E-3</c:v>
                </c:pt>
                <c:pt idx="137">
                  <c:v>9.1666666666666563E-3</c:v>
                </c:pt>
                <c:pt idx="138">
                  <c:v>6.6666666666667096E-3</c:v>
                </c:pt>
                <c:pt idx="139">
                  <c:v>9.1666666666666563E-3</c:v>
                </c:pt>
                <c:pt idx="140">
                  <c:v>-1.1666666666666659E-2</c:v>
                </c:pt>
                <c:pt idx="141">
                  <c:v>-9.1666666666667118E-3</c:v>
                </c:pt>
                <c:pt idx="142">
                  <c:v>1.6666666666667052E-3</c:v>
                </c:pt>
                <c:pt idx="143">
                  <c:v>-2.4999999999999467E-3</c:v>
                </c:pt>
              </c:numCache>
            </c:numRef>
          </c:xVal>
          <c:yVal>
            <c:numRef>
              <c:f>'DSlope, DButterfly, Credit, VIX'!$C$29:$C$172</c:f>
              <c:numCache>
                <c:formatCode>General</c:formatCode>
                <c:ptCount val="144"/>
                <c:pt idx="0">
                  <c:v>-2.1483746563552648</c:v>
                </c:pt>
                <c:pt idx="1">
                  <c:v>1.1662622761701362</c:v>
                </c:pt>
                <c:pt idx="2">
                  <c:v>-1.6898636382640531</c:v>
                </c:pt>
                <c:pt idx="3">
                  <c:v>-0.3698286221073932</c:v>
                </c:pt>
                <c:pt idx="4">
                  <c:v>0.67508690380020209</c:v>
                </c:pt>
                <c:pt idx="5">
                  <c:v>-0.49344780251377557</c:v>
                </c:pt>
                <c:pt idx="6">
                  <c:v>-0.1977355440611232</c:v>
                </c:pt>
                <c:pt idx="7">
                  <c:v>-1.8914516560969847</c:v>
                </c:pt>
                <c:pt idx="8">
                  <c:v>0.79049003309043364</c:v>
                </c:pt>
                <c:pt idx="9">
                  <c:v>-0.77244700896576868</c:v>
                </c:pt>
                <c:pt idx="10">
                  <c:v>-0.39407047735038525</c:v>
                </c:pt>
                <c:pt idx="11">
                  <c:v>0.26135690313880833</c:v>
                </c:pt>
                <c:pt idx="12">
                  <c:v>-0.9470057251436792</c:v>
                </c:pt>
                <c:pt idx="13">
                  <c:v>9.4805091107711181E-2</c:v>
                </c:pt>
                <c:pt idx="14">
                  <c:v>8.9647842761764629E-2</c:v>
                </c:pt>
                <c:pt idx="15">
                  <c:v>-0.13055828059722574</c:v>
                </c:pt>
                <c:pt idx="16">
                  <c:v>-0.68457671155749944</c:v>
                </c:pt>
                <c:pt idx="17">
                  <c:v>1.5366069235334168</c:v>
                </c:pt>
                <c:pt idx="18">
                  <c:v>-0.37527403767031164</c:v>
                </c:pt>
                <c:pt idx="19">
                  <c:v>-0.19474034504515725</c:v>
                </c:pt>
                <c:pt idx="20">
                  <c:v>0.60879464212988355</c:v>
                </c:pt>
                <c:pt idx="21">
                  <c:v>0.32356887699458781</c:v>
                </c:pt>
                <c:pt idx="22">
                  <c:v>-0.25373468897228302</c:v>
                </c:pt>
                <c:pt idx="23">
                  <c:v>-8.0500737866077754E-2</c:v>
                </c:pt>
                <c:pt idx="24">
                  <c:v>-1.6902011666408427</c:v>
                </c:pt>
                <c:pt idx="25">
                  <c:v>0.54443484301988221</c:v>
                </c:pt>
                <c:pt idx="26">
                  <c:v>-1.4658369062931951</c:v>
                </c:pt>
                <c:pt idx="27">
                  <c:v>7.3240113781466776E-2</c:v>
                </c:pt>
                <c:pt idx="28">
                  <c:v>0.77121176884899545</c:v>
                </c:pt>
                <c:pt idx="29">
                  <c:v>0.78963252687188767</c:v>
                </c:pt>
                <c:pt idx="30">
                  <c:v>0.46014529022200756</c:v>
                </c:pt>
                <c:pt idx="31">
                  <c:v>-1.1353778359224458</c:v>
                </c:pt>
                <c:pt idx="32">
                  <c:v>0.3248066921719146</c:v>
                </c:pt>
                <c:pt idx="33">
                  <c:v>-1.1366219290900705</c:v>
                </c:pt>
                <c:pt idx="34">
                  <c:v>-1.2996477540778375</c:v>
                </c:pt>
                <c:pt idx="35">
                  <c:v>-8.7495659054875219E-2</c:v>
                </c:pt>
                <c:pt idx="36">
                  <c:v>1.4994904393899167</c:v>
                </c:pt>
                <c:pt idx="37">
                  <c:v>-9.4332485992949966E-2</c:v>
                </c:pt>
                <c:pt idx="38">
                  <c:v>-0.97267305952113792</c:v>
                </c:pt>
                <c:pt idx="39">
                  <c:v>0.48429557223254383</c:v>
                </c:pt>
                <c:pt idx="40">
                  <c:v>1.1472418667559605</c:v>
                </c:pt>
                <c:pt idx="41">
                  <c:v>-0.72256346418868378</c:v>
                </c:pt>
                <c:pt idx="42">
                  <c:v>0.54003791429187498</c:v>
                </c:pt>
                <c:pt idx="43">
                  <c:v>-0.81770176254589255</c:v>
                </c:pt>
                <c:pt idx="44">
                  <c:v>0.71482770579122512</c:v>
                </c:pt>
                <c:pt idx="45">
                  <c:v>-7.5883745799450952E-2</c:v>
                </c:pt>
                <c:pt idx="46">
                  <c:v>-1.7006431424916777</c:v>
                </c:pt>
                <c:pt idx="47">
                  <c:v>0.34698008008987191</c:v>
                </c:pt>
                <c:pt idx="48">
                  <c:v>-1.1499158722605212</c:v>
                </c:pt>
                <c:pt idx="49">
                  <c:v>-0.55777014579154283</c:v>
                </c:pt>
                <c:pt idx="50">
                  <c:v>0.2212715971263115</c:v>
                </c:pt>
                <c:pt idx="51">
                  <c:v>-1.3508221481470322</c:v>
                </c:pt>
                <c:pt idx="52">
                  <c:v>0.43927178187851068</c:v>
                </c:pt>
                <c:pt idx="53">
                  <c:v>-0.7344718956374634</c:v>
                </c:pt>
                <c:pt idx="54">
                  <c:v>1.0109070922577021</c:v>
                </c:pt>
                <c:pt idx="55">
                  <c:v>-1.0598907451494974</c:v>
                </c:pt>
                <c:pt idx="56">
                  <c:v>-0.66253287511877568</c:v>
                </c:pt>
                <c:pt idx="57">
                  <c:v>-1.5910200614248806</c:v>
                </c:pt>
                <c:pt idx="58">
                  <c:v>1.7482750564847205</c:v>
                </c:pt>
                <c:pt idx="59">
                  <c:v>1.35297066049612</c:v>
                </c:pt>
                <c:pt idx="60">
                  <c:v>7.6798502317359435E-2</c:v>
                </c:pt>
                <c:pt idx="61">
                  <c:v>5.869081234237683E-2</c:v>
                </c:pt>
                <c:pt idx="62">
                  <c:v>-0.77107540725944823</c:v>
                </c:pt>
                <c:pt idx="63">
                  <c:v>-0.26289065830550956</c:v>
                </c:pt>
                <c:pt idx="64">
                  <c:v>-2.0493843852438447</c:v>
                </c:pt>
                <c:pt idx="65">
                  <c:v>0.1288828285429604</c:v>
                </c:pt>
                <c:pt idx="66">
                  <c:v>-2.478979002572077</c:v>
                </c:pt>
                <c:pt idx="67">
                  <c:v>-2.0014372764830384</c:v>
                </c:pt>
                <c:pt idx="68">
                  <c:v>0.86618280468395781</c:v>
                </c:pt>
                <c:pt idx="69">
                  <c:v>-1.3363476767982159</c:v>
                </c:pt>
                <c:pt idx="70">
                  <c:v>0.51253360486470301</c:v>
                </c:pt>
                <c:pt idx="71">
                  <c:v>-0.29154743657362359</c:v>
                </c:pt>
                <c:pt idx="72">
                  <c:v>-1.1545719168499078</c:v>
                </c:pt>
                <c:pt idx="73">
                  <c:v>-2.4819886742928605</c:v>
                </c:pt>
                <c:pt idx="74">
                  <c:v>1.3489091013256287</c:v>
                </c:pt>
                <c:pt idx="75">
                  <c:v>3.4165730477841549E-2</c:v>
                </c:pt>
                <c:pt idx="76">
                  <c:v>1.0470997786730452</c:v>
                </c:pt>
                <c:pt idx="77">
                  <c:v>0.86044614222698423</c:v>
                </c:pt>
                <c:pt idx="78">
                  <c:v>-2.4482314334258066</c:v>
                </c:pt>
                <c:pt idx="79">
                  <c:v>1.3666476624082915</c:v>
                </c:pt>
                <c:pt idx="80">
                  <c:v>0.1505759509457118</c:v>
                </c:pt>
                <c:pt idx="81">
                  <c:v>-1.5270034485580952</c:v>
                </c:pt>
                <c:pt idx="82">
                  <c:v>2.8134258429674013</c:v>
                </c:pt>
                <c:pt idx="83">
                  <c:v>0.69607722890684443</c:v>
                </c:pt>
                <c:pt idx="84">
                  <c:v>4.2730016718433128E-2</c:v>
                </c:pt>
                <c:pt idx="85">
                  <c:v>1.0507772409940346</c:v>
                </c:pt>
                <c:pt idx="86">
                  <c:v>1.5452758114197123</c:v>
                </c:pt>
                <c:pt idx="87">
                  <c:v>1.5754156937961774</c:v>
                </c:pt>
                <c:pt idx="88">
                  <c:v>-0.40154583588947901</c:v>
                </c:pt>
                <c:pt idx="89">
                  <c:v>0.18536077217613789</c:v>
                </c:pt>
                <c:pt idx="90">
                  <c:v>4.5399479769861362E-2</c:v>
                </c:pt>
                <c:pt idx="91">
                  <c:v>0.98687896825571486</c:v>
                </c:pt>
                <c:pt idx="92">
                  <c:v>-0.40947193968593343</c:v>
                </c:pt>
                <c:pt idx="93">
                  <c:v>1.1172238712063853</c:v>
                </c:pt>
                <c:pt idx="94">
                  <c:v>0.53929319059095704</c:v>
                </c:pt>
                <c:pt idx="95">
                  <c:v>0.66646783087098749</c:v>
                </c:pt>
                <c:pt idx="96">
                  <c:v>3.4529845340771637E-3</c:v>
                </c:pt>
                <c:pt idx="97">
                  <c:v>0.60261387969363933</c:v>
                </c:pt>
                <c:pt idx="98">
                  <c:v>2.0406127904559117</c:v>
                </c:pt>
                <c:pt idx="99">
                  <c:v>1.4460925846409984</c:v>
                </c:pt>
                <c:pt idx="100">
                  <c:v>-0.50180981472391784</c:v>
                </c:pt>
                <c:pt idx="101">
                  <c:v>0.40471318658406474</c:v>
                </c:pt>
                <c:pt idx="102">
                  <c:v>-0.27689636315284982</c:v>
                </c:pt>
                <c:pt idx="103">
                  <c:v>2.494451908154649</c:v>
                </c:pt>
                <c:pt idx="104">
                  <c:v>-0.50917663118318579</c:v>
                </c:pt>
                <c:pt idx="105">
                  <c:v>-0.16509644411285418</c:v>
                </c:pt>
                <c:pt idx="106">
                  <c:v>0.36335739913249165</c:v>
                </c:pt>
                <c:pt idx="107">
                  <c:v>-0.79619609645305567</c:v>
                </c:pt>
                <c:pt idx="108">
                  <c:v>0.63561018335803698</c:v>
                </c:pt>
                <c:pt idx="109">
                  <c:v>1.170628285844757</c:v>
                </c:pt>
                <c:pt idx="110">
                  <c:v>-1.115103820118595</c:v>
                </c:pt>
                <c:pt idx="111">
                  <c:v>0.53975565437596262</c:v>
                </c:pt>
                <c:pt idx="112">
                  <c:v>-0.41500358449685804</c:v>
                </c:pt>
                <c:pt idx="113">
                  <c:v>0.46410561923693783</c:v>
                </c:pt>
                <c:pt idx="114">
                  <c:v>0.37306103224597442</c:v>
                </c:pt>
                <c:pt idx="115">
                  <c:v>-0.89025540343282694</c:v>
                </c:pt>
                <c:pt idx="116">
                  <c:v>0.40658822026792729</c:v>
                </c:pt>
                <c:pt idx="117">
                  <c:v>-1.506430662704656</c:v>
                </c:pt>
                <c:pt idx="118">
                  <c:v>7.3280396027449957E-2</c:v>
                </c:pt>
                <c:pt idx="119">
                  <c:v>0.31321834474480781</c:v>
                </c:pt>
                <c:pt idx="120">
                  <c:v>0.28556288363581284</c:v>
                </c:pt>
                <c:pt idx="121">
                  <c:v>0.67107059385360801</c:v>
                </c:pt>
                <c:pt idx="122">
                  <c:v>1.3194354560674695</c:v>
                </c:pt>
                <c:pt idx="123">
                  <c:v>0.13375847250252981</c:v>
                </c:pt>
                <c:pt idx="124">
                  <c:v>0.1074138744928772</c:v>
                </c:pt>
                <c:pt idx="125">
                  <c:v>0.41801739769637725</c:v>
                </c:pt>
                <c:pt idx="126">
                  <c:v>-0.33727243769672322</c:v>
                </c:pt>
                <c:pt idx="127">
                  <c:v>-0.75747280395505245</c:v>
                </c:pt>
                <c:pt idx="128">
                  <c:v>-0.7955312338128363</c:v>
                </c:pt>
                <c:pt idx="129">
                  <c:v>0.72983004875516155</c:v>
                </c:pt>
                <c:pt idx="130">
                  <c:v>1.1004495683527247</c:v>
                </c:pt>
                <c:pt idx="131">
                  <c:v>-0.78462429943900847</c:v>
                </c:pt>
                <c:pt idx="132">
                  <c:v>1.7172684414986126</c:v>
                </c:pt>
                <c:pt idx="133">
                  <c:v>-1.1024776157484639</c:v>
                </c:pt>
                <c:pt idx="134">
                  <c:v>-1.5861777037969897</c:v>
                </c:pt>
                <c:pt idx="135">
                  <c:v>-0.7759270012058157</c:v>
                </c:pt>
                <c:pt idx="136">
                  <c:v>1.8098887100752328</c:v>
                </c:pt>
                <c:pt idx="137">
                  <c:v>0.19370827411241542</c:v>
                </c:pt>
                <c:pt idx="138">
                  <c:v>1.6524812387597896</c:v>
                </c:pt>
                <c:pt idx="139">
                  <c:v>-0.30878758044923471</c:v>
                </c:pt>
                <c:pt idx="140">
                  <c:v>0.64211350339800199</c:v>
                </c:pt>
                <c:pt idx="141">
                  <c:v>1.5731157501608679</c:v>
                </c:pt>
                <c:pt idx="142">
                  <c:v>-0.20173411461359908</c:v>
                </c:pt>
                <c:pt idx="143">
                  <c:v>-4.7114752828417816E-2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89D-2D47-BC41-31B8FCED91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6877376"/>
        <c:axId val="1382373504"/>
      </c:scatterChart>
      <c:valAx>
        <c:axId val="12168773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Slope Change (%)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1382373504"/>
        <c:crosses val="autoZero"/>
        <c:crossBetween val="midCat"/>
      </c:valAx>
      <c:valAx>
        <c:axId val="13823735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16877376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Slope Change (%)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Asset Returns (%)</c:v>
          </c:tx>
          <c:spPr>
            <a:ln w="19050">
              <a:noFill/>
            </a:ln>
          </c:spPr>
          <c:xVal>
            <c:numRef>
              <c:f>Data!$U$2:$U$145</c:f>
              <c:numCache>
                <c:formatCode>0.0000</c:formatCode>
                <c:ptCount val="144"/>
                <c:pt idx="0">
                  <c:v>-7.4009324009324047E-4</c:v>
                </c:pt>
                <c:pt idx="1">
                  <c:v>1.1666666666666686E-2</c:v>
                </c:pt>
                <c:pt idx="2">
                  <c:v>-1.0833333333333306E-2</c:v>
                </c:pt>
                <c:pt idx="3">
                  <c:v>-1.0833333333333361E-2</c:v>
                </c:pt>
                <c:pt idx="4">
                  <c:v>-1.6666666666666496E-3</c:v>
                </c:pt>
                <c:pt idx="5">
                  <c:v>7.4999999999999512E-3</c:v>
                </c:pt>
                <c:pt idx="6">
                  <c:v>-1.6666666666666607E-2</c:v>
                </c:pt>
                <c:pt idx="7">
                  <c:v>-4.1666666666667074E-3</c:v>
                </c:pt>
                <c:pt idx="8">
                  <c:v>-1.6666666666666496E-3</c:v>
                </c:pt>
                <c:pt idx="9">
                  <c:v>-1.0000000000000009E-2</c:v>
                </c:pt>
                <c:pt idx="10">
                  <c:v>-4.9999999999999489E-3</c:v>
                </c:pt>
                <c:pt idx="11">
                  <c:v>-5.833333333333357E-3</c:v>
                </c:pt>
                <c:pt idx="12">
                  <c:v>-1.6666666666666663E-2</c:v>
                </c:pt>
                <c:pt idx="13">
                  <c:v>-1.1666666666666659E-2</c:v>
                </c:pt>
                <c:pt idx="14">
                  <c:v>-1.1666666666666659E-2</c:v>
                </c:pt>
                <c:pt idx="15">
                  <c:v>3.3333333333332993E-3</c:v>
                </c:pt>
                <c:pt idx="16">
                  <c:v>1.0833333333333306E-2</c:v>
                </c:pt>
                <c:pt idx="17">
                  <c:v>-9.1666666666666285E-3</c:v>
                </c:pt>
                <c:pt idx="18">
                  <c:v>-8.3333333333333315E-3</c:v>
                </c:pt>
                <c:pt idx="19">
                  <c:v>-2.5000000000000022E-2</c:v>
                </c:pt>
                <c:pt idx="20">
                  <c:v>1.583333333333331E-2</c:v>
                </c:pt>
                <c:pt idx="21">
                  <c:v>1.6666666666666774E-3</c:v>
                </c:pt>
                <c:pt idx="22">
                  <c:v>5.8333333333333293E-3</c:v>
                </c:pt>
                <c:pt idx="23">
                  <c:v>2.5000000000000022E-3</c:v>
                </c:pt>
                <c:pt idx="24">
                  <c:v>5.833333333333357E-3</c:v>
                </c:pt>
                <c:pt idx="25">
                  <c:v>-1.2500000000000011E-2</c:v>
                </c:pt>
                <c:pt idx="26">
                  <c:v>5.0000000000000044E-3</c:v>
                </c:pt>
                <c:pt idx="27">
                  <c:v>3.3333333333332993E-3</c:v>
                </c:pt>
                <c:pt idx="28">
                  <c:v>5.0000000000000322E-3</c:v>
                </c:pt>
                <c:pt idx="29">
                  <c:v>-3.333333333333327E-3</c:v>
                </c:pt>
                <c:pt idx="30">
                  <c:v>0</c:v>
                </c:pt>
                <c:pt idx="31">
                  <c:v>5.833333333333357E-3</c:v>
                </c:pt>
                <c:pt idx="32">
                  <c:v>8.3333333333333037E-3</c:v>
                </c:pt>
                <c:pt idx="33">
                  <c:v>-7.5000000000000067E-3</c:v>
                </c:pt>
                <c:pt idx="34">
                  <c:v>0</c:v>
                </c:pt>
                <c:pt idx="35">
                  <c:v>-1.0000000000000037E-2</c:v>
                </c:pt>
                <c:pt idx="36">
                  <c:v>-6.6666666666666541E-3</c:v>
                </c:pt>
                <c:pt idx="37">
                  <c:v>-1.3333333333333336E-2</c:v>
                </c:pt>
                <c:pt idx="38">
                  <c:v>-2.4999999999999981E-2</c:v>
                </c:pt>
                <c:pt idx="39">
                  <c:v>2.0000000000000004E-2</c:v>
                </c:pt>
                <c:pt idx="40">
                  <c:v>1.2499999999999983E-2</c:v>
                </c:pt>
                <c:pt idx="41">
                  <c:v>2.0000000000000018E-2</c:v>
                </c:pt>
                <c:pt idx="42">
                  <c:v>-5.833333333333357E-3</c:v>
                </c:pt>
                <c:pt idx="43">
                  <c:v>2.4999999999999745E-3</c:v>
                </c:pt>
                <c:pt idx="44">
                  <c:v>-4.9999999999999489E-3</c:v>
                </c:pt>
                <c:pt idx="45">
                  <c:v>-4.1666666666666796E-3</c:v>
                </c:pt>
                <c:pt idx="46">
                  <c:v>3.333333333333327E-3</c:v>
                </c:pt>
                <c:pt idx="47">
                  <c:v>-4.1666666666666519E-3</c:v>
                </c:pt>
                <c:pt idx="48">
                  <c:v>-5.833333333333357E-3</c:v>
                </c:pt>
                <c:pt idx="49">
                  <c:v>6.6666666666666818E-3</c:v>
                </c:pt>
                <c:pt idx="50">
                  <c:v>-5.0000000000000044E-3</c:v>
                </c:pt>
                <c:pt idx="51">
                  <c:v>-1.0833333333333334E-2</c:v>
                </c:pt>
                <c:pt idx="52">
                  <c:v>-8.3333333333335258E-4</c:v>
                </c:pt>
                <c:pt idx="53">
                  <c:v>-8.3333333333333037E-3</c:v>
                </c:pt>
                <c:pt idx="54">
                  <c:v>-4.1666666666666796E-3</c:v>
                </c:pt>
                <c:pt idx="55">
                  <c:v>-1.0833333333333334E-2</c:v>
                </c:pt>
                <c:pt idx="56">
                  <c:v>-3.3333333333333132E-3</c:v>
                </c:pt>
                <c:pt idx="57">
                  <c:v>-2.0000000000000018E-2</c:v>
                </c:pt>
                <c:pt idx="58">
                  <c:v>1.2499999999999983E-2</c:v>
                </c:pt>
                <c:pt idx="59">
                  <c:v>4.1666666666666935E-3</c:v>
                </c:pt>
                <c:pt idx="60">
                  <c:v>-6.666666666666668E-3</c:v>
                </c:pt>
                <c:pt idx="61">
                  <c:v>-1.6666666666666774E-3</c:v>
                </c:pt>
                <c:pt idx="62">
                  <c:v>8.333333333333387E-4</c:v>
                </c:pt>
                <c:pt idx="63">
                  <c:v>1.6666666666666635E-3</c:v>
                </c:pt>
                <c:pt idx="64">
                  <c:v>4.9999999999999906E-3</c:v>
                </c:pt>
                <c:pt idx="65">
                  <c:v>1.7500000000000002E-2</c:v>
                </c:pt>
                <c:pt idx="66">
                  <c:v>-1.6666666666666635E-2</c:v>
                </c:pt>
                <c:pt idx="67">
                  <c:v>-3.5833333333333356E-2</c:v>
                </c:pt>
                <c:pt idx="68">
                  <c:v>2.5000000000000022E-3</c:v>
                </c:pt>
                <c:pt idx="69">
                  <c:v>1.6666666666666566E-3</c:v>
                </c:pt>
                <c:pt idx="70">
                  <c:v>-8.3333333333332482E-4</c:v>
                </c:pt>
                <c:pt idx="71">
                  <c:v>8.3333333333333384E-3</c:v>
                </c:pt>
                <c:pt idx="72">
                  <c:v>-1.5833333333333338E-2</c:v>
                </c:pt>
                <c:pt idx="73">
                  <c:v>1.6666666666666635E-3</c:v>
                </c:pt>
                <c:pt idx="74">
                  <c:v>5.8333333333333431E-3</c:v>
                </c:pt>
                <c:pt idx="75">
                  <c:v>-1.1666666666666672E-2</c:v>
                </c:pt>
                <c:pt idx="76">
                  <c:v>6.666666666666661E-3</c:v>
                </c:pt>
                <c:pt idx="77">
                  <c:v>8.3333333333333384E-3</c:v>
                </c:pt>
                <c:pt idx="78">
                  <c:v>0</c:v>
                </c:pt>
                <c:pt idx="79">
                  <c:v>1.7500000000000002E-2</c:v>
                </c:pt>
                <c:pt idx="80">
                  <c:v>-9.1666666666666702E-3</c:v>
                </c:pt>
                <c:pt idx="81">
                  <c:v>3.333333333333327E-3</c:v>
                </c:pt>
                <c:pt idx="82">
                  <c:v>-1.6666666666666635E-3</c:v>
                </c:pt>
                <c:pt idx="83">
                  <c:v>-2.5000000000000022E-3</c:v>
                </c:pt>
                <c:pt idx="84">
                  <c:v>1.0000000000000009E-2</c:v>
                </c:pt>
                <c:pt idx="85">
                  <c:v>1.999999999999999E-2</c:v>
                </c:pt>
                <c:pt idx="86">
                  <c:v>4.1666666666666657E-3</c:v>
                </c:pt>
                <c:pt idx="87">
                  <c:v>-5.8333333333333293E-3</c:v>
                </c:pt>
                <c:pt idx="88">
                  <c:v>8.333333333333387E-4</c:v>
                </c:pt>
                <c:pt idx="89">
                  <c:v>-8.3333333333333454E-3</c:v>
                </c:pt>
                <c:pt idx="90">
                  <c:v>-1.7499999999999988E-2</c:v>
                </c:pt>
                <c:pt idx="91">
                  <c:v>8.333333333333387E-4</c:v>
                </c:pt>
                <c:pt idx="92">
                  <c:v>8.3333333333333176E-3</c:v>
                </c:pt>
                <c:pt idx="93">
                  <c:v>-4.2499999999999989E-2</c:v>
                </c:pt>
                <c:pt idx="94">
                  <c:v>1.6666666666666635E-3</c:v>
                </c:pt>
                <c:pt idx="95">
                  <c:v>2.5000000000000092E-3</c:v>
                </c:pt>
                <c:pt idx="96">
                  <c:v>-3.3333333333333409E-3</c:v>
                </c:pt>
                <c:pt idx="97">
                  <c:v>1.1666666666666672E-2</c:v>
                </c:pt>
                <c:pt idx="98">
                  <c:v>-1.4999999999999999E-2</c:v>
                </c:pt>
                <c:pt idx="99">
                  <c:v>4.1666666666666796E-3</c:v>
                </c:pt>
                <c:pt idx="100">
                  <c:v>0.03</c:v>
                </c:pt>
                <c:pt idx="101">
                  <c:v>-3.333333333333327E-3</c:v>
                </c:pt>
                <c:pt idx="102">
                  <c:v>6.6666666666666541E-3</c:v>
                </c:pt>
                <c:pt idx="103">
                  <c:v>-4.3333333333333363E-2</c:v>
                </c:pt>
                <c:pt idx="104">
                  <c:v>-6.8333333333333329E-2</c:v>
                </c:pt>
                <c:pt idx="105">
                  <c:v>7.0833333333333304E-2</c:v>
                </c:pt>
                <c:pt idx="106">
                  <c:v>-6.6666666666665986E-3</c:v>
                </c:pt>
                <c:pt idx="107">
                  <c:v>1.4166666666666661E-2</c:v>
                </c:pt>
                <c:pt idx="108">
                  <c:v>9.1666666666666563E-3</c:v>
                </c:pt>
                <c:pt idx="109">
                  <c:v>-1.4166666666666661E-2</c:v>
                </c:pt>
                <c:pt idx="110">
                  <c:v>-6.6666666666667096E-3</c:v>
                </c:pt>
                <c:pt idx="111">
                  <c:v>-1.6666666666666496E-3</c:v>
                </c:pt>
                <c:pt idx="112">
                  <c:v>-1.1666666666666714E-2</c:v>
                </c:pt>
                <c:pt idx="113">
                  <c:v>-6.7499999999999949E-2</c:v>
                </c:pt>
                <c:pt idx="114">
                  <c:v>3.2500000000000029E-2</c:v>
                </c:pt>
                <c:pt idx="115">
                  <c:v>1.8333333333333313E-2</c:v>
                </c:pt>
                <c:pt idx="116">
                  <c:v>3.9166666666666627E-2</c:v>
                </c:pt>
                <c:pt idx="117">
                  <c:v>1.2500000000000067E-2</c:v>
                </c:pt>
                <c:pt idx="118">
                  <c:v>-7.5000000000000067E-3</c:v>
                </c:pt>
                <c:pt idx="119">
                  <c:v>1.6666666666666663E-2</c:v>
                </c:pt>
                <c:pt idx="120">
                  <c:v>5.5511151231257827E-17</c:v>
                </c:pt>
                <c:pt idx="121">
                  <c:v>-2.583333333333343E-2</c:v>
                </c:pt>
                <c:pt idx="122">
                  <c:v>5.0000000000000044E-3</c:v>
                </c:pt>
                <c:pt idx="123">
                  <c:v>-3.3333333333333548E-3</c:v>
                </c:pt>
                <c:pt idx="124">
                  <c:v>-8.3333333333324155E-4</c:v>
                </c:pt>
                <c:pt idx="125">
                  <c:v>6.6666666666665986E-3</c:v>
                </c:pt>
                <c:pt idx="126">
                  <c:v>1.4166666666666661E-2</c:v>
                </c:pt>
                <c:pt idx="127">
                  <c:v>-1.6666666666665941E-3</c:v>
                </c:pt>
                <c:pt idx="128">
                  <c:v>1.4166666666666605E-2</c:v>
                </c:pt>
                <c:pt idx="129">
                  <c:v>-1.1666666666666659E-2</c:v>
                </c:pt>
                <c:pt idx="130">
                  <c:v>5.0000000000000044E-3</c:v>
                </c:pt>
                <c:pt idx="131">
                  <c:v>1.6666666666666663E-2</c:v>
                </c:pt>
                <c:pt idx="132">
                  <c:v>1.0833333333333306E-2</c:v>
                </c:pt>
                <c:pt idx="133">
                  <c:v>8.3333333333329707E-4</c:v>
                </c:pt>
                <c:pt idx="134">
                  <c:v>1.4166666666666716E-2</c:v>
                </c:pt>
                <c:pt idx="135">
                  <c:v>2.6666666666666727E-2</c:v>
                </c:pt>
                <c:pt idx="136">
                  <c:v>-7.5000000000000622E-3</c:v>
                </c:pt>
                <c:pt idx="137">
                  <c:v>9.1666666666666563E-3</c:v>
                </c:pt>
                <c:pt idx="138">
                  <c:v>6.6666666666667096E-3</c:v>
                </c:pt>
                <c:pt idx="139">
                  <c:v>9.1666666666666563E-3</c:v>
                </c:pt>
                <c:pt idx="140">
                  <c:v>-1.1666666666666659E-2</c:v>
                </c:pt>
                <c:pt idx="141">
                  <c:v>-9.1666666666667118E-3</c:v>
                </c:pt>
                <c:pt idx="142">
                  <c:v>1.6666666666667052E-3</c:v>
                </c:pt>
                <c:pt idx="143">
                  <c:v>-2.4999999999999467E-3</c:v>
                </c:pt>
              </c:numCache>
            </c:numRef>
          </c:xVal>
          <c:yVal>
            <c:numRef>
              <c:f>Data!$O$2:$O$145</c:f>
              <c:numCache>
                <c:formatCode>0.0000</c:formatCode>
                <c:ptCount val="144"/>
                <c:pt idx="0">
                  <c:v>-3.1231512210139143</c:v>
                </c:pt>
                <c:pt idx="1">
                  <c:v>3.4388141552305238</c:v>
                </c:pt>
                <c:pt idx="2">
                  <c:v>-1.8423176925388944</c:v>
                </c:pt>
                <c:pt idx="3">
                  <c:v>0.76476526172699799</c:v>
                </c:pt>
                <c:pt idx="4">
                  <c:v>2.8438546235537174</c:v>
                </c:pt>
                <c:pt idx="5">
                  <c:v>-0.40587403799491967</c:v>
                </c:pt>
                <c:pt idx="6">
                  <c:v>0.39463790345239053</c:v>
                </c:pt>
                <c:pt idx="7">
                  <c:v>-0.84486748191592764</c:v>
                </c:pt>
                <c:pt idx="8">
                  <c:v>2.1320616401803507</c:v>
                </c:pt>
                <c:pt idx="9">
                  <c:v>-0.42414010254649709</c:v>
                </c:pt>
                <c:pt idx="10">
                  <c:v>0.74520035393408268</c:v>
                </c:pt>
                <c:pt idx="11">
                  <c:v>1.3893836371301047</c:v>
                </c:pt>
                <c:pt idx="12">
                  <c:v>-0.15960421366991845</c:v>
                </c:pt>
                <c:pt idx="13">
                  <c:v>2.1744398396726858E-3</c:v>
                </c:pt>
                <c:pt idx="14">
                  <c:v>2.1528110708148573</c:v>
                </c:pt>
                <c:pt idx="15">
                  <c:v>-0.63321922178810008</c:v>
                </c:pt>
                <c:pt idx="16">
                  <c:v>0.54311279831289316</c:v>
                </c:pt>
                <c:pt idx="17">
                  <c:v>2.6535892327475388</c:v>
                </c:pt>
                <c:pt idx="18">
                  <c:v>-0.18651939975316809</c:v>
                </c:pt>
                <c:pt idx="19">
                  <c:v>2.4047017706743326</c:v>
                </c:pt>
                <c:pt idx="20">
                  <c:v>0.8220675256694463</c:v>
                </c:pt>
                <c:pt idx="21">
                  <c:v>0.79790760681101336</c:v>
                </c:pt>
                <c:pt idx="22">
                  <c:v>-0.23417506109101072</c:v>
                </c:pt>
                <c:pt idx="23">
                  <c:v>0.44906329589973976</c:v>
                </c:pt>
                <c:pt idx="24">
                  <c:v>-3.3442885744124804</c:v>
                </c:pt>
                <c:pt idx="25">
                  <c:v>1.9551601207275044</c:v>
                </c:pt>
                <c:pt idx="26">
                  <c:v>-2.9682787226250409</c:v>
                </c:pt>
                <c:pt idx="27">
                  <c:v>-0.94912629185626851</c:v>
                </c:pt>
                <c:pt idx="28">
                  <c:v>2.683391280512204</c:v>
                </c:pt>
                <c:pt idx="29">
                  <c:v>1.084910181769061</c:v>
                </c:pt>
                <c:pt idx="30">
                  <c:v>-0.60205936122706527</c:v>
                </c:pt>
                <c:pt idx="31">
                  <c:v>-1.3845334693391671</c:v>
                </c:pt>
                <c:pt idx="32">
                  <c:v>0.51269214936388086</c:v>
                </c:pt>
                <c:pt idx="33">
                  <c:v>2.1127325139720563</c:v>
                </c:pt>
                <c:pt idx="34">
                  <c:v>0.44664249623499269</c:v>
                </c:pt>
                <c:pt idx="35">
                  <c:v>0.80909571022157933</c:v>
                </c:pt>
                <c:pt idx="36">
                  <c:v>3.3950819422879635</c:v>
                </c:pt>
                <c:pt idx="37">
                  <c:v>3.1095108983661892</c:v>
                </c:pt>
                <c:pt idx="38">
                  <c:v>1.5752476292840976</c:v>
                </c:pt>
                <c:pt idx="39">
                  <c:v>0.3941440510082177</c:v>
                </c:pt>
                <c:pt idx="40">
                  <c:v>0.29248739326307094</c:v>
                </c:pt>
                <c:pt idx="41">
                  <c:v>-0.93339874585644023</c:v>
                </c:pt>
                <c:pt idx="42">
                  <c:v>2.8609360739223297</c:v>
                </c:pt>
                <c:pt idx="43">
                  <c:v>-0.44945692130845749</c:v>
                </c:pt>
                <c:pt idx="44">
                  <c:v>2.5257042870557784</c:v>
                </c:pt>
                <c:pt idx="45">
                  <c:v>0.32195109833132546</c:v>
                </c:pt>
                <c:pt idx="46">
                  <c:v>-0.38364685529762182</c:v>
                </c:pt>
                <c:pt idx="47">
                  <c:v>1.8101887790863302</c:v>
                </c:pt>
                <c:pt idx="48">
                  <c:v>-0.8739297602339734</c:v>
                </c:pt>
                <c:pt idx="49">
                  <c:v>0.77913542886387466</c:v>
                </c:pt>
                <c:pt idx="50">
                  <c:v>1.1252408849651883</c:v>
                </c:pt>
                <c:pt idx="51">
                  <c:v>-1.0801430002995103</c:v>
                </c:pt>
                <c:pt idx="52">
                  <c:v>1.2933080083597004</c:v>
                </c:pt>
                <c:pt idx="53">
                  <c:v>-0.34952011853591453</c:v>
                </c:pt>
                <c:pt idx="54">
                  <c:v>2.1937669383125291</c:v>
                </c:pt>
                <c:pt idx="55">
                  <c:v>-0.70844610563042631</c:v>
                </c:pt>
                <c:pt idx="56">
                  <c:v>-1.1425691586862545</c:v>
                </c:pt>
                <c:pt idx="57">
                  <c:v>-1.4912303020014905</c:v>
                </c:pt>
                <c:pt idx="58">
                  <c:v>2.4711222871909655</c:v>
                </c:pt>
                <c:pt idx="59">
                  <c:v>1.5632378548125487</c:v>
                </c:pt>
                <c:pt idx="60">
                  <c:v>0.17050584189129772</c:v>
                </c:pt>
                <c:pt idx="61">
                  <c:v>1.3282751471537555</c:v>
                </c:pt>
                <c:pt idx="62">
                  <c:v>1.3361896540353232E-2</c:v>
                </c:pt>
                <c:pt idx="63">
                  <c:v>4.5162099813618559E-2</c:v>
                </c:pt>
                <c:pt idx="64">
                  <c:v>-2.5280472836281653</c:v>
                </c:pt>
                <c:pt idx="65">
                  <c:v>-0.85098504001589137</c:v>
                </c:pt>
                <c:pt idx="66">
                  <c:v>-2.5046976641667626</c:v>
                </c:pt>
                <c:pt idx="67">
                  <c:v>-1.2793531068196276</c:v>
                </c:pt>
                <c:pt idx="68">
                  <c:v>1.3201728926043841</c:v>
                </c:pt>
                <c:pt idx="69">
                  <c:v>-0.83998798555617005</c:v>
                </c:pt>
                <c:pt idx="70">
                  <c:v>1.3072997744824202</c:v>
                </c:pt>
                <c:pt idx="71">
                  <c:v>0.79930043255834871</c:v>
                </c:pt>
                <c:pt idx="72">
                  <c:v>-2.1093949631446327E-2</c:v>
                </c:pt>
                <c:pt idx="73">
                  <c:v>-4.1526948243374111</c:v>
                </c:pt>
                <c:pt idx="74">
                  <c:v>-7.0047284893671877</c:v>
                </c:pt>
                <c:pt idx="75">
                  <c:v>4.5018822436456931</c:v>
                </c:pt>
                <c:pt idx="76">
                  <c:v>2.7070180675265525</c:v>
                </c:pt>
                <c:pt idx="77">
                  <c:v>1.4570599695124704</c:v>
                </c:pt>
                <c:pt idx="78">
                  <c:v>-0.45287219230992509</c:v>
                </c:pt>
                <c:pt idx="79">
                  <c:v>1.4746501612318974</c:v>
                </c:pt>
                <c:pt idx="80">
                  <c:v>-0.32059917407416511</c:v>
                </c:pt>
                <c:pt idx="81">
                  <c:v>-1.9001782009329338</c:v>
                </c:pt>
                <c:pt idx="82">
                  <c:v>5.5867022964527608</c:v>
                </c:pt>
                <c:pt idx="83">
                  <c:v>1.8519535193189707</c:v>
                </c:pt>
                <c:pt idx="84">
                  <c:v>-0.72114034769675106</c:v>
                </c:pt>
                <c:pt idx="85">
                  <c:v>-2.8872892422191813E-2</c:v>
                </c:pt>
                <c:pt idx="86">
                  <c:v>2.1554149374730458</c:v>
                </c:pt>
                <c:pt idx="87">
                  <c:v>2.3109716137805942</c:v>
                </c:pt>
                <c:pt idx="88">
                  <c:v>0.25176219913533959</c:v>
                </c:pt>
                <c:pt idx="89">
                  <c:v>1.1935119946777377</c:v>
                </c:pt>
                <c:pt idx="90">
                  <c:v>1.088562294937061</c:v>
                </c:pt>
                <c:pt idx="91">
                  <c:v>1.4799167353491935</c:v>
                </c:pt>
                <c:pt idx="92">
                  <c:v>-1.3312319193447704</c:v>
                </c:pt>
                <c:pt idx="93">
                  <c:v>1.7130121087748451</c:v>
                </c:pt>
                <c:pt idx="94">
                  <c:v>0.3416951439283733</c:v>
                </c:pt>
                <c:pt idx="95">
                  <c:v>1.3592930931331151</c:v>
                </c:pt>
                <c:pt idx="96">
                  <c:v>-2.2568118607420633</c:v>
                </c:pt>
                <c:pt idx="97">
                  <c:v>-1.1072210028407516</c:v>
                </c:pt>
                <c:pt idx="98">
                  <c:v>1.9965489332311821</c:v>
                </c:pt>
                <c:pt idx="99">
                  <c:v>-1.7163787658669345</c:v>
                </c:pt>
                <c:pt idx="100">
                  <c:v>-0.82038765576752415</c:v>
                </c:pt>
                <c:pt idx="101">
                  <c:v>-3.6875242113072275</c:v>
                </c:pt>
                <c:pt idx="102">
                  <c:v>3.8214888861569447</c:v>
                </c:pt>
                <c:pt idx="103">
                  <c:v>-1.8267949190726551</c:v>
                </c:pt>
                <c:pt idx="104">
                  <c:v>-4.6868598995851904</c:v>
                </c:pt>
                <c:pt idx="105">
                  <c:v>2.2441569439350513</c:v>
                </c:pt>
                <c:pt idx="106">
                  <c:v>2.5198681337412903</c:v>
                </c:pt>
                <c:pt idx="107">
                  <c:v>-1.3850399013585131</c:v>
                </c:pt>
                <c:pt idx="108">
                  <c:v>3.0698713827378343</c:v>
                </c:pt>
                <c:pt idx="109">
                  <c:v>-0.16023377056929605</c:v>
                </c:pt>
                <c:pt idx="110">
                  <c:v>-0.25809067214290327</c:v>
                </c:pt>
                <c:pt idx="111">
                  <c:v>0.94080499762717185</c:v>
                </c:pt>
                <c:pt idx="112">
                  <c:v>-1.4816122688402813</c:v>
                </c:pt>
                <c:pt idx="113">
                  <c:v>0.76715041455256716</c:v>
                </c:pt>
                <c:pt idx="114">
                  <c:v>1.9636320377819911</c:v>
                </c:pt>
                <c:pt idx="115">
                  <c:v>-0.62523746935851443</c:v>
                </c:pt>
                <c:pt idx="116">
                  <c:v>0.27937046819359035</c:v>
                </c:pt>
                <c:pt idx="117">
                  <c:v>-1.7024670003016547</c:v>
                </c:pt>
                <c:pt idx="118">
                  <c:v>3.1666873562985165</c:v>
                </c:pt>
                <c:pt idx="119">
                  <c:v>3.580071379617352</c:v>
                </c:pt>
                <c:pt idx="120">
                  <c:v>5.5182858323510636E-2</c:v>
                </c:pt>
                <c:pt idx="121">
                  <c:v>0.8173714702258239</c:v>
                </c:pt>
                <c:pt idx="122">
                  <c:v>2.5343167951715437</c:v>
                </c:pt>
                <c:pt idx="123">
                  <c:v>-0.49649597275839152</c:v>
                </c:pt>
                <c:pt idx="124">
                  <c:v>1.1573512190828252</c:v>
                </c:pt>
                <c:pt idx="125">
                  <c:v>1.1607317321410837</c:v>
                </c:pt>
                <c:pt idx="126">
                  <c:v>0.98384974618307341</c:v>
                </c:pt>
                <c:pt idx="127">
                  <c:v>0.20128346879376346</c:v>
                </c:pt>
                <c:pt idx="128">
                  <c:v>6.2862567183433013E-2</c:v>
                </c:pt>
                <c:pt idx="129">
                  <c:v>1.5244628300109645E-2</c:v>
                </c:pt>
                <c:pt idx="130">
                  <c:v>2.5118747000438195</c:v>
                </c:pt>
                <c:pt idx="131">
                  <c:v>-0.73047275946122014</c:v>
                </c:pt>
                <c:pt idx="132">
                  <c:v>2.664630651168546</c:v>
                </c:pt>
                <c:pt idx="133">
                  <c:v>-0.63980558944311527</c:v>
                </c:pt>
                <c:pt idx="134">
                  <c:v>-2.5680570998352561</c:v>
                </c:pt>
                <c:pt idx="135">
                  <c:v>-0.12574664360828455</c:v>
                </c:pt>
                <c:pt idx="136">
                  <c:v>2.3878145236429944</c:v>
                </c:pt>
                <c:pt idx="137">
                  <c:v>1.3006576888791135</c:v>
                </c:pt>
                <c:pt idx="138">
                  <c:v>2.3644571963769208</c:v>
                </c:pt>
                <c:pt idx="139">
                  <c:v>-3.7635693365227305E-2</c:v>
                </c:pt>
                <c:pt idx="140">
                  <c:v>1.5120608050198472</c:v>
                </c:pt>
                <c:pt idx="141">
                  <c:v>2.6303236664701828</c:v>
                </c:pt>
                <c:pt idx="142">
                  <c:v>6.4450144874432388E-2</c:v>
                </c:pt>
                <c:pt idx="143">
                  <c:v>0.64991632276644051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2B-B547-BEF5-18EBDE6C95E5}"/>
            </c:ext>
          </c:extLst>
        </c:ser>
        <c:ser>
          <c:idx val="1"/>
          <c:order val="1"/>
          <c:tx>
            <c:v>Predicted Asset Returns (%)</c:v>
          </c:tx>
          <c:spPr>
            <a:ln w="19050">
              <a:noFill/>
            </a:ln>
          </c:spPr>
          <c:xVal>
            <c:numRef>
              <c:f>Data!$U$2:$U$145</c:f>
              <c:numCache>
                <c:formatCode>0.0000</c:formatCode>
                <c:ptCount val="144"/>
                <c:pt idx="0">
                  <c:v>-7.4009324009324047E-4</c:v>
                </c:pt>
                <c:pt idx="1">
                  <c:v>1.1666666666666686E-2</c:v>
                </c:pt>
                <c:pt idx="2">
                  <c:v>-1.0833333333333306E-2</c:v>
                </c:pt>
                <c:pt idx="3">
                  <c:v>-1.0833333333333361E-2</c:v>
                </c:pt>
                <c:pt idx="4">
                  <c:v>-1.6666666666666496E-3</c:v>
                </c:pt>
                <c:pt idx="5">
                  <c:v>7.4999999999999512E-3</c:v>
                </c:pt>
                <c:pt idx="6">
                  <c:v>-1.6666666666666607E-2</c:v>
                </c:pt>
                <c:pt idx="7">
                  <c:v>-4.1666666666667074E-3</c:v>
                </c:pt>
                <c:pt idx="8">
                  <c:v>-1.6666666666666496E-3</c:v>
                </c:pt>
                <c:pt idx="9">
                  <c:v>-1.0000000000000009E-2</c:v>
                </c:pt>
                <c:pt idx="10">
                  <c:v>-4.9999999999999489E-3</c:v>
                </c:pt>
                <c:pt idx="11">
                  <c:v>-5.833333333333357E-3</c:v>
                </c:pt>
                <c:pt idx="12">
                  <c:v>-1.6666666666666663E-2</c:v>
                </c:pt>
                <c:pt idx="13">
                  <c:v>-1.1666666666666659E-2</c:v>
                </c:pt>
                <c:pt idx="14">
                  <c:v>-1.1666666666666659E-2</c:v>
                </c:pt>
                <c:pt idx="15">
                  <c:v>3.3333333333332993E-3</c:v>
                </c:pt>
                <c:pt idx="16">
                  <c:v>1.0833333333333306E-2</c:v>
                </c:pt>
                <c:pt idx="17">
                  <c:v>-9.1666666666666285E-3</c:v>
                </c:pt>
                <c:pt idx="18">
                  <c:v>-8.3333333333333315E-3</c:v>
                </c:pt>
                <c:pt idx="19">
                  <c:v>-2.5000000000000022E-2</c:v>
                </c:pt>
                <c:pt idx="20">
                  <c:v>1.583333333333331E-2</c:v>
                </c:pt>
                <c:pt idx="21">
                  <c:v>1.6666666666666774E-3</c:v>
                </c:pt>
                <c:pt idx="22">
                  <c:v>5.8333333333333293E-3</c:v>
                </c:pt>
                <c:pt idx="23">
                  <c:v>2.5000000000000022E-3</c:v>
                </c:pt>
                <c:pt idx="24">
                  <c:v>5.833333333333357E-3</c:v>
                </c:pt>
                <c:pt idx="25">
                  <c:v>-1.2500000000000011E-2</c:v>
                </c:pt>
                <c:pt idx="26">
                  <c:v>5.0000000000000044E-3</c:v>
                </c:pt>
                <c:pt idx="27">
                  <c:v>3.3333333333332993E-3</c:v>
                </c:pt>
                <c:pt idx="28">
                  <c:v>5.0000000000000322E-3</c:v>
                </c:pt>
                <c:pt idx="29">
                  <c:v>-3.333333333333327E-3</c:v>
                </c:pt>
                <c:pt idx="30">
                  <c:v>0</c:v>
                </c:pt>
                <c:pt idx="31">
                  <c:v>5.833333333333357E-3</c:v>
                </c:pt>
                <c:pt idx="32">
                  <c:v>8.3333333333333037E-3</c:v>
                </c:pt>
                <c:pt idx="33">
                  <c:v>-7.5000000000000067E-3</c:v>
                </c:pt>
                <c:pt idx="34">
                  <c:v>0</c:v>
                </c:pt>
                <c:pt idx="35">
                  <c:v>-1.0000000000000037E-2</c:v>
                </c:pt>
                <c:pt idx="36">
                  <c:v>-6.6666666666666541E-3</c:v>
                </c:pt>
                <c:pt idx="37">
                  <c:v>-1.3333333333333336E-2</c:v>
                </c:pt>
                <c:pt idx="38">
                  <c:v>-2.4999999999999981E-2</c:v>
                </c:pt>
                <c:pt idx="39">
                  <c:v>2.0000000000000004E-2</c:v>
                </c:pt>
                <c:pt idx="40">
                  <c:v>1.2499999999999983E-2</c:v>
                </c:pt>
                <c:pt idx="41">
                  <c:v>2.0000000000000018E-2</c:v>
                </c:pt>
                <c:pt idx="42">
                  <c:v>-5.833333333333357E-3</c:v>
                </c:pt>
                <c:pt idx="43">
                  <c:v>2.4999999999999745E-3</c:v>
                </c:pt>
                <c:pt idx="44">
                  <c:v>-4.9999999999999489E-3</c:v>
                </c:pt>
                <c:pt idx="45">
                  <c:v>-4.1666666666666796E-3</c:v>
                </c:pt>
                <c:pt idx="46">
                  <c:v>3.333333333333327E-3</c:v>
                </c:pt>
                <c:pt idx="47">
                  <c:v>-4.1666666666666519E-3</c:v>
                </c:pt>
                <c:pt idx="48">
                  <c:v>-5.833333333333357E-3</c:v>
                </c:pt>
                <c:pt idx="49">
                  <c:v>6.6666666666666818E-3</c:v>
                </c:pt>
                <c:pt idx="50">
                  <c:v>-5.0000000000000044E-3</c:v>
                </c:pt>
                <c:pt idx="51">
                  <c:v>-1.0833333333333334E-2</c:v>
                </c:pt>
                <c:pt idx="52">
                  <c:v>-8.3333333333335258E-4</c:v>
                </c:pt>
                <c:pt idx="53">
                  <c:v>-8.3333333333333037E-3</c:v>
                </c:pt>
                <c:pt idx="54">
                  <c:v>-4.1666666666666796E-3</c:v>
                </c:pt>
                <c:pt idx="55">
                  <c:v>-1.0833333333333334E-2</c:v>
                </c:pt>
                <c:pt idx="56">
                  <c:v>-3.3333333333333132E-3</c:v>
                </c:pt>
                <c:pt idx="57">
                  <c:v>-2.0000000000000018E-2</c:v>
                </c:pt>
                <c:pt idx="58">
                  <c:v>1.2499999999999983E-2</c:v>
                </c:pt>
                <c:pt idx="59">
                  <c:v>4.1666666666666935E-3</c:v>
                </c:pt>
                <c:pt idx="60">
                  <c:v>-6.666666666666668E-3</c:v>
                </c:pt>
                <c:pt idx="61">
                  <c:v>-1.6666666666666774E-3</c:v>
                </c:pt>
                <c:pt idx="62">
                  <c:v>8.333333333333387E-4</c:v>
                </c:pt>
                <c:pt idx="63">
                  <c:v>1.6666666666666635E-3</c:v>
                </c:pt>
                <c:pt idx="64">
                  <c:v>4.9999999999999906E-3</c:v>
                </c:pt>
                <c:pt idx="65">
                  <c:v>1.7500000000000002E-2</c:v>
                </c:pt>
                <c:pt idx="66">
                  <c:v>-1.6666666666666635E-2</c:v>
                </c:pt>
                <c:pt idx="67">
                  <c:v>-3.5833333333333356E-2</c:v>
                </c:pt>
                <c:pt idx="68">
                  <c:v>2.5000000000000022E-3</c:v>
                </c:pt>
                <c:pt idx="69">
                  <c:v>1.6666666666666566E-3</c:v>
                </c:pt>
                <c:pt idx="70">
                  <c:v>-8.3333333333332482E-4</c:v>
                </c:pt>
                <c:pt idx="71">
                  <c:v>8.3333333333333384E-3</c:v>
                </c:pt>
                <c:pt idx="72">
                  <c:v>-1.5833333333333338E-2</c:v>
                </c:pt>
                <c:pt idx="73">
                  <c:v>1.6666666666666635E-3</c:v>
                </c:pt>
                <c:pt idx="74">
                  <c:v>5.8333333333333431E-3</c:v>
                </c:pt>
                <c:pt idx="75">
                  <c:v>-1.1666666666666672E-2</c:v>
                </c:pt>
                <c:pt idx="76">
                  <c:v>6.666666666666661E-3</c:v>
                </c:pt>
                <c:pt idx="77">
                  <c:v>8.3333333333333384E-3</c:v>
                </c:pt>
                <c:pt idx="78">
                  <c:v>0</c:v>
                </c:pt>
                <c:pt idx="79">
                  <c:v>1.7500000000000002E-2</c:v>
                </c:pt>
                <c:pt idx="80">
                  <c:v>-9.1666666666666702E-3</c:v>
                </c:pt>
                <c:pt idx="81">
                  <c:v>3.333333333333327E-3</c:v>
                </c:pt>
                <c:pt idx="82">
                  <c:v>-1.6666666666666635E-3</c:v>
                </c:pt>
                <c:pt idx="83">
                  <c:v>-2.5000000000000022E-3</c:v>
                </c:pt>
                <c:pt idx="84">
                  <c:v>1.0000000000000009E-2</c:v>
                </c:pt>
                <c:pt idx="85">
                  <c:v>1.999999999999999E-2</c:v>
                </c:pt>
                <c:pt idx="86">
                  <c:v>4.1666666666666657E-3</c:v>
                </c:pt>
                <c:pt idx="87">
                  <c:v>-5.8333333333333293E-3</c:v>
                </c:pt>
                <c:pt idx="88">
                  <c:v>8.333333333333387E-4</c:v>
                </c:pt>
                <c:pt idx="89">
                  <c:v>-8.3333333333333454E-3</c:v>
                </c:pt>
                <c:pt idx="90">
                  <c:v>-1.7499999999999988E-2</c:v>
                </c:pt>
                <c:pt idx="91">
                  <c:v>8.333333333333387E-4</c:v>
                </c:pt>
                <c:pt idx="92">
                  <c:v>8.3333333333333176E-3</c:v>
                </c:pt>
                <c:pt idx="93">
                  <c:v>-4.2499999999999989E-2</c:v>
                </c:pt>
                <c:pt idx="94">
                  <c:v>1.6666666666666635E-3</c:v>
                </c:pt>
                <c:pt idx="95">
                  <c:v>2.5000000000000092E-3</c:v>
                </c:pt>
                <c:pt idx="96">
                  <c:v>-3.3333333333333409E-3</c:v>
                </c:pt>
                <c:pt idx="97">
                  <c:v>1.1666666666666672E-2</c:v>
                </c:pt>
                <c:pt idx="98">
                  <c:v>-1.4999999999999999E-2</c:v>
                </c:pt>
                <c:pt idx="99">
                  <c:v>4.1666666666666796E-3</c:v>
                </c:pt>
                <c:pt idx="100">
                  <c:v>0.03</c:v>
                </c:pt>
                <c:pt idx="101">
                  <c:v>-3.333333333333327E-3</c:v>
                </c:pt>
                <c:pt idx="102">
                  <c:v>6.6666666666666541E-3</c:v>
                </c:pt>
                <c:pt idx="103">
                  <c:v>-4.3333333333333363E-2</c:v>
                </c:pt>
                <c:pt idx="104">
                  <c:v>-6.8333333333333329E-2</c:v>
                </c:pt>
                <c:pt idx="105">
                  <c:v>7.0833333333333304E-2</c:v>
                </c:pt>
                <c:pt idx="106">
                  <c:v>-6.6666666666665986E-3</c:v>
                </c:pt>
                <c:pt idx="107">
                  <c:v>1.4166666666666661E-2</c:v>
                </c:pt>
                <c:pt idx="108">
                  <c:v>9.1666666666666563E-3</c:v>
                </c:pt>
                <c:pt idx="109">
                  <c:v>-1.4166666666666661E-2</c:v>
                </c:pt>
                <c:pt idx="110">
                  <c:v>-6.6666666666667096E-3</c:v>
                </c:pt>
                <c:pt idx="111">
                  <c:v>-1.6666666666666496E-3</c:v>
                </c:pt>
                <c:pt idx="112">
                  <c:v>-1.1666666666666714E-2</c:v>
                </c:pt>
                <c:pt idx="113">
                  <c:v>-6.7499999999999949E-2</c:v>
                </c:pt>
                <c:pt idx="114">
                  <c:v>3.2500000000000029E-2</c:v>
                </c:pt>
                <c:pt idx="115">
                  <c:v>1.8333333333333313E-2</c:v>
                </c:pt>
                <c:pt idx="116">
                  <c:v>3.9166666666666627E-2</c:v>
                </c:pt>
                <c:pt idx="117">
                  <c:v>1.2500000000000067E-2</c:v>
                </c:pt>
                <c:pt idx="118">
                  <c:v>-7.5000000000000067E-3</c:v>
                </c:pt>
                <c:pt idx="119">
                  <c:v>1.6666666666666663E-2</c:v>
                </c:pt>
                <c:pt idx="120">
                  <c:v>5.5511151231257827E-17</c:v>
                </c:pt>
                <c:pt idx="121">
                  <c:v>-2.583333333333343E-2</c:v>
                </c:pt>
                <c:pt idx="122">
                  <c:v>5.0000000000000044E-3</c:v>
                </c:pt>
                <c:pt idx="123">
                  <c:v>-3.3333333333333548E-3</c:v>
                </c:pt>
                <c:pt idx="124">
                  <c:v>-8.3333333333324155E-4</c:v>
                </c:pt>
                <c:pt idx="125">
                  <c:v>6.6666666666665986E-3</c:v>
                </c:pt>
                <c:pt idx="126">
                  <c:v>1.4166666666666661E-2</c:v>
                </c:pt>
                <c:pt idx="127">
                  <c:v>-1.6666666666665941E-3</c:v>
                </c:pt>
                <c:pt idx="128">
                  <c:v>1.4166666666666605E-2</c:v>
                </c:pt>
                <c:pt idx="129">
                  <c:v>-1.1666666666666659E-2</c:v>
                </c:pt>
                <c:pt idx="130">
                  <c:v>5.0000000000000044E-3</c:v>
                </c:pt>
                <c:pt idx="131">
                  <c:v>1.6666666666666663E-2</c:v>
                </c:pt>
                <c:pt idx="132">
                  <c:v>1.0833333333333306E-2</c:v>
                </c:pt>
                <c:pt idx="133">
                  <c:v>8.3333333333329707E-4</c:v>
                </c:pt>
                <c:pt idx="134">
                  <c:v>1.4166666666666716E-2</c:v>
                </c:pt>
                <c:pt idx="135">
                  <c:v>2.6666666666666727E-2</c:v>
                </c:pt>
                <c:pt idx="136">
                  <c:v>-7.5000000000000622E-3</c:v>
                </c:pt>
                <c:pt idx="137">
                  <c:v>9.1666666666666563E-3</c:v>
                </c:pt>
                <c:pt idx="138">
                  <c:v>6.6666666666667096E-3</c:v>
                </c:pt>
                <c:pt idx="139">
                  <c:v>9.1666666666666563E-3</c:v>
                </c:pt>
                <c:pt idx="140">
                  <c:v>-1.1666666666666659E-2</c:v>
                </c:pt>
                <c:pt idx="141">
                  <c:v>-9.1666666666667118E-3</c:v>
                </c:pt>
                <c:pt idx="142">
                  <c:v>1.6666666666667052E-3</c:v>
                </c:pt>
                <c:pt idx="143">
                  <c:v>-2.4999999999999467E-3</c:v>
                </c:pt>
              </c:numCache>
            </c:numRef>
          </c:xVal>
          <c:yVal>
            <c:numRef>
              <c:f>'DSlope, DButterfly, Credit, VIX'!$B$29:$B$172</c:f>
              <c:numCache>
                <c:formatCode>General</c:formatCode>
                <c:ptCount val="144"/>
                <c:pt idx="0">
                  <c:v>-0.97477656465864948</c:v>
                </c:pt>
                <c:pt idx="1">
                  <c:v>2.2725518790603876</c:v>
                </c:pt>
                <c:pt idx="2">
                  <c:v>-0.15245405427484149</c:v>
                </c:pt>
                <c:pt idx="3">
                  <c:v>1.1345938838343912</c:v>
                </c:pt>
                <c:pt idx="4">
                  <c:v>2.1687677197535153</c:v>
                </c:pt>
                <c:pt idx="5">
                  <c:v>8.7573764518855901E-2</c:v>
                </c:pt>
                <c:pt idx="6">
                  <c:v>0.59237344751351373</c:v>
                </c:pt>
                <c:pt idx="7">
                  <c:v>1.0465841741810571</c:v>
                </c:pt>
                <c:pt idx="8">
                  <c:v>1.3415716070899171</c:v>
                </c:pt>
                <c:pt idx="9">
                  <c:v>0.34830690641927153</c:v>
                </c:pt>
                <c:pt idx="10">
                  <c:v>1.1392708312844679</c:v>
                </c:pt>
                <c:pt idx="11">
                  <c:v>1.1280267339912964</c:v>
                </c:pt>
                <c:pt idx="12">
                  <c:v>0.7874015114737607</c:v>
                </c:pt>
                <c:pt idx="13">
                  <c:v>-9.2630651268038489E-2</c:v>
                </c:pt>
                <c:pt idx="14">
                  <c:v>2.0631632280530927</c:v>
                </c:pt>
                <c:pt idx="15">
                  <c:v>-0.50266094119087434</c:v>
                </c:pt>
                <c:pt idx="16">
                  <c:v>1.2276895098703926</c:v>
                </c:pt>
                <c:pt idx="17">
                  <c:v>1.116982309214122</c:v>
                </c:pt>
                <c:pt idx="18">
                  <c:v>0.18875463791714353</c:v>
                </c:pt>
                <c:pt idx="19">
                  <c:v>2.5994421157194898</c:v>
                </c:pt>
                <c:pt idx="20">
                  <c:v>0.21327288353956275</c:v>
                </c:pt>
                <c:pt idx="21">
                  <c:v>0.47433872981642555</c:v>
                </c:pt>
                <c:pt idx="22">
                  <c:v>1.9559627881272301E-2</c:v>
                </c:pt>
                <c:pt idx="23">
                  <c:v>0.52956403376581751</c:v>
                </c:pt>
                <c:pt idx="24">
                  <c:v>-1.6540874077716377</c:v>
                </c:pt>
                <c:pt idx="25">
                  <c:v>1.4107252777076222</c:v>
                </c:pt>
                <c:pt idx="26">
                  <c:v>-1.5024418163318458</c:v>
                </c:pt>
                <c:pt idx="27">
                  <c:v>-1.0223664056377353</c:v>
                </c:pt>
                <c:pt idx="28">
                  <c:v>1.9121795116632085</c:v>
                </c:pt>
                <c:pt idx="29">
                  <c:v>0.29527765489717328</c:v>
                </c:pt>
                <c:pt idx="30">
                  <c:v>-1.0622046514490728</c:v>
                </c:pt>
                <c:pt idx="31">
                  <c:v>-0.24915563341672131</c:v>
                </c:pt>
                <c:pt idx="32">
                  <c:v>0.18788545719196625</c:v>
                </c:pt>
                <c:pt idx="33">
                  <c:v>3.2493544430621268</c:v>
                </c:pt>
                <c:pt idx="34">
                  <c:v>1.7462902503128301</c:v>
                </c:pt>
                <c:pt idx="35">
                  <c:v>0.89659136927645455</c:v>
                </c:pt>
                <c:pt idx="36">
                  <c:v>1.8955915028980468</c:v>
                </c:pt>
                <c:pt idx="37">
                  <c:v>3.2038433843591392</c:v>
                </c:pt>
                <c:pt idx="38">
                  <c:v>2.5479206888052355</c:v>
                </c:pt>
                <c:pt idx="39">
                  <c:v>-9.0151521224326125E-2</c:v>
                </c:pt>
                <c:pt idx="40">
                  <c:v>-0.85475447349288969</c:v>
                </c:pt>
                <c:pt idx="41">
                  <c:v>-0.21083528166775639</c:v>
                </c:pt>
                <c:pt idx="42">
                  <c:v>2.3208981596304548</c:v>
                </c:pt>
                <c:pt idx="43">
                  <c:v>0.36824484123743506</c:v>
                </c:pt>
                <c:pt idx="44">
                  <c:v>1.8108765812645533</c:v>
                </c:pt>
                <c:pt idx="45">
                  <c:v>0.39783484413077641</c:v>
                </c:pt>
                <c:pt idx="46">
                  <c:v>1.3169962871940559</c:v>
                </c:pt>
                <c:pt idx="47">
                  <c:v>1.4632086989964583</c:v>
                </c:pt>
                <c:pt idx="48">
                  <c:v>0.27598611202654777</c:v>
                </c:pt>
                <c:pt idx="49">
                  <c:v>1.3369055746554175</c:v>
                </c:pt>
                <c:pt idx="50">
                  <c:v>0.90396928783887676</c:v>
                </c:pt>
                <c:pt idx="51">
                  <c:v>0.27067914784752189</c:v>
                </c:pt>
                <c:pt idx="52">
                  <c:v>0.85403622648118971</c:v>
                </c:pt>
                <c:pt idx="53">
                  <c:v>0.38495177710154888</c:v>
                </c:pt>
                <c:pt idx="54">
                  <c:v>1.182859846054827</c:v>
                </c:pt>
                <c:pt idx="55">
                  <c:v>0.35144463951907112</c:v>
                </c:pt>
                <c:pt idx="56">
                  <c:v>-0.48003628356747885</c:v>
                </c:pt>
                <c:pt idx="57">
                  <c:v>9.9789759423390079E-2</c:v>
                </c:pt>
                <c:pt idx="58">
                  <c:v>0.7228472307062449</c:v>
                </c:pt>
                <c:pt idx="59">
                  <c:v>0.21026719431642882</c:v>
                </c:pt>
                <c:pt idx="60">
                  <c:v>9.3707339573938286E-2</c:v>
                </c:pt>
                <c:pt idx="61">
                  <c:v>1.2695843348113787</c:v>
                </c:pt>
                <c:pt idx="62">
                  <c:v>0.78443730379980148</c:v>
                </c:pt>
                <c:pt idx="63">
                  <c:v>0.30805275811912813</c:v>
                </c:pt>
                <c:pt idx="64">
                  <c:v>-0.47866289838432041</c:v>
                </c:pt>
                <c:pt idx="65">
                  <c:v>-0.97986786855885177</c:v>
                </c:pt>
                <c:pt idx="66">
                  <c:v>-2.571866159468561E-2</c:v>
                </c:pt>
                <c:pt idx="67">
                  <c:v>0.72208416966341082</c:v>
                </c:pt>
                <c:pt idx="68">
                  <c:v>0.45399008792042628</c:v>
                </c:pt>
                <c:pt idx="69">
                  <c:v>0.49635969124204582</c:v>
                </c:pt>
                <c:pt idx="70">
                  <c:v>0.79476616961771718</c:v>
                </c:pt>
                <c:pt idx="71">
                  <c:v>1.0908478691319723</c:v>
                </c:pt>
                <c:pt idx="72">
                  <c:v>1.1334779672184614</c:v>
                </c:pt>
                <c:pt idx="73">
                  <c:v>-1.6707061500445506</c:v>
                </c:pt>
                <c:pt idx="74">
                  <c:v>-8.3536375906928164</c:v>
                </c:pt>
                <c:pt idx="75">
                  <c:v>4.4677165131678516</c:v>
                </c:pt>
                <c:pt idx="76">
                  <c:v>1.6599182888535073</c:v>
                </c:pt>
                <c:pt idx="77">
                  <c:v>0.59661382728548618</c:v>
                </c:pt>
                <c:pt idx="78">
                  <c:v>1.9953592411158814</c:v>
                </c:pt>
                <c:pt idx="79">
                  <c:v>0.10800249882360591</c:v>
                </c:pt>
                <c:pt idx="80">
                  <c:v>-0.47117512501987691</c:v>
                </c:pt>
                <c:pt idx="81">
                  <c:v>-0.37317475237483855</c:v>
                </c:pt>
                <c:pt idx="82">
                  <c:v>2.7732764534853596</c:v>
                </c:pt>
                <c:pt idx="83">
                  <c:v>1.1558762904121263</c:v>
                </c:pt>
                <c:pt idx="84">
                  <c:v>-0.76387036441518419</c:v>
                </c:pt>
                <c:pt idx="85">
                  <c:v>-1.0796501334162263</c:v>
                </c:pt>
                <c:pt idx="86">
                  <c:v>0.61013912605333354</c:v>
                </c:pt>
                <c:pt idx="87">
                  <c:v>0.73555591998441672</c:v>
                </c:pt>
                <c:pt idx="88">
                  <c:v>0.6533080350248186</c:v>
                </c:pt>
                <c:pt idx="89">
                  <c:v>1.0081512225015998</c:v>
                </c:pt>
                <c:pt idx="90">
                  <c:v>1.0431628151671997</c:v>
                </c:pt>
                <c:pt idx="91">
                  <c:v>0.49303776709347868</c:v>
                </c:pt>
                <c:pt idx="92">
                  <c:v>-0.92175997965883694</c:v>
                </c:pt>
                <c:pt idx="93">
                  <c:v>0.59578823756845967</c:v>
                </c:pt>
                <c:pt idx="94">
                  <c:v>-0.19759804666258374</c:v>
                </c:pt>
                <c:pt idx="95">
                  <c:v>0.69282526226212759</c:v>
                </c:pt>
                <c:pt idx="96">
                  <c:v>-2.2602648452761405</c:v>
                </c:pt>
                <c:pt idx="97">
                  <c:v>-1.709834882534391</c:v>
                </c:pt>
                <c:pt idx="98">
                  <c:v>-4.4063857224729719E-2</c:v>
                </c:pt>
                <c:pt idx="99">
                  <c:v>-3.1624713505079329</c:v>
                </c:pt>
                <c:pt idx="100">
                  <c:v>-0.31857784104360631</c:v>
                </c:pt>
                <c:pt idx="101">
                  <c:v>-4.0922373978912923</c:v>
                </c:pt>
                <c:pt idx="102">
                  <c:v>4.0983852493097945</c:v>
                </c:pt>
                <c:pt idx="103">
                  <c:v>-4.3212468272273039</c:v>
                </c:pt>
                <c:pt idx="104">
                  <c:v>-4.1776832684020047</c:v>
                </c:pt>
                <c:pt idx="105">
                  <c:v>2.4092533880479055</c:v>
                </c:pt>
                <c:pt idx="106">
                  <c:v>2.1565107346087986</c:v>
                </c:pt>
                <c:pt idx="107">
                  <c:v>-0.5888438049054574</c:v>
                </c:pt>
                <c:pt idx="108">
                  <c:v>2.4342611993797973</c:v>
                </c:pt>
                <c:pt idx="109">
                  <c:v>-1.330862056414053</c:v>
                </c:pt>
                <c:pt idx="110">
                  <c:v>0.85701314797569172</c:v>
                </c:pt>
                <c:pt idx="111">
                  <c:v>0.40104934325120922</c:v>
                </c:pt>
                <c:pt idx="112">
                  <c:v>-1.0666086843434233</c:v>
                </c:pt>
                <c:pt idx="113">
                  <c:v>0.30304479531562933</c:v>
                </c:pt>
                <c:pt idx="114">
                  <c:v>1.5905710055360167</c:v>
                </c:pt>
                <c:pt idx="115">
                  <c:v>0.26501793407431251</c:v>
                </c:pt>
                <c:pt idx="116">
                  <c:v>-0.12721775207433694</c:v>
                </c:pt>
                <c:pt idx="117">
                  <c:v>-0.19603633759699868</c:v>
                </c:pt>
                <c:pt idx="118">
                  <c:v>3.0934069602710665</c:v>
                </c:pt>
                <c:pt idx="119">
                  <c:v>3.2668530348725442</c:v>
                </c:pt>
                <c:pt idx="120">
                  <c:v>-0.23038002531230223</c:v>
                </c:pt>
                <c:pt idx="121">
                  <c:v>0.14630087637221589</c:v>
                </c:pt>
                <c:pt idx="122">
                  <c:v>1.2148813391040743</c:v>
                </c:pt>
                <c:pt idx="123">
                  <c:v>-0.63025444526092134</c:v>
                </c:pt>
                <c:pt idx="124">
                  <c:v>1.049937344589948</c:v>
                </c:pt>
                <c:pt idx="125">
                  <c:v>0.74271433444470647</c:v>
                </c:pt>
                <c:pt idx="126">
                  <c:v>1.3211221838797966</c:v>
                </c:pt>
                <c:pt idx="127">
                  <c:v>0.95875627274881592</c:v>
                </c:pt>
                <c:pt idx="128">
                  <c:v>0.85839380099626927</c:v>
                </c:pt>
                <c:pt idx="129">
                  <c:v>-0.71458542045505191</c:v>
                </c:pt>
                <c:pt idx="130">
                  <c:v>1.4114251316910948</c:v>
                </c:pt>
                <c:pt idx="131">
                  <c:v>5.4151539977788321E-2</c:v>
                </c:pt>
                <c:pt idx="132">
                  <c:v>0.94736220966993334</c:v>
                </c:pt>
                <c:pt idx="133">
                  <c:v>0.46267202630534865</c:v>
                </c:pt>
                <c:pt idx="134">
                  <c:v>-0.98187939603826635</c:v>
                </c:pt>
                <c:pt idx="135">
                  <c:v>0.65018035759753112</c:v>
                </c:pt>
                <c:pt idx="136">
                  <c:v>0.57792581356776151</c:v>
                </c:pt>
                <c:pt idx="137">
                  <c:v>1.1069494147666981</c:v>
                </c:pt>
                <c:pt idx="138">
                  <c:v>0.71197595761713117</c:v>
                </c:pt>
                <c:pt idx="139">
                  <c:v>0.27115188708400739</c:v>
                </c:pt>
                <c:pt idx="140">
                  <c:v>0.86994730162184519</c:v>
                </c:pt>
                <c:pt idx="141">
                  <c:v>1.0572079163093149</c:v>
                </c:pt>
                <c:pt idx="142">
                  <c:v>0.26618425948803148</c:v>
                </c:pt>
                <c:pt idx="143">
                  <c:v>0.69703107559485833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2B-B547-BEF5-18EBDE6C95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6560960"/>
        <c:axId val="746570800"/>
      </c:scatterChart>
      <c:valAx>
        <c:axId val="7465609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Slope Change (%)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746570800"/>
        <c:crosses val="autoZero"/>
        <c:crossBetween val="midCat"/>
      </c:valAx>
      <c:valAx>
        <c:axId val="7465708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Asset Returns (%)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74656096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'DSlope, DButterfly, Credit, VIX'!$F$29:$F$172</c:f>
              <c:numCache>
                <c:formatCode>General</c:formatCode>
                <c:ptCount val="144"/>
                <c:pt idx="0">
                  <c:v>0.34722222222222221</c:v>
                </c:pt>
                <c:pt idx="1">
                  <c:v>1.0416666666666665</c:v>
                </c:pt>
                <c:pt idx="2">
                  <c:v>1.7361111111111112</c:v>
                </c:pt>
                <c:pt idx="3">
                  <c:v>2.4305555555555554</c:v>
                </c:pt>
                <c:pt idx="4">
                  <c:v>3.125</c:v>
                </c:pt>
                <c:pt idx="5">
                  <c:v>3.8194444444444446</c:v>
                </c:pt>
                <c:pt idx="6">
                  <c:v>4.5138888888888884</c:v>
                </c:pt>
                <c:pt idx="7">
                  <c:v>5.208333333333333</c:v>
                </c:pt>
                <c:pt idx="8">
                  <c:v>5.9027777777777777</c:v>
                </c:pt>
                <c:pt idx="9">
                  <c:v>6.5972222222222223</c:v>
                </c:pt>
                <c:pt idx="10">
                  <c:v>7.291666666666667</c:v>
                </c:pt>
                <c:pt idx="11">
                  <c:v>7.9861111111111107</c:v>
                </c:pt>
                <c:pt idx="12">
                  <c:v>8.6805555555555536</c:v>
                </c:pt>
                <c:pt idx="13">
                  <c:v>9.3749999999999982</c:v>
                </c:pt>
                <c:pt idx="14">
                  <c:v>10.069444444444443</c:v>
                </c:pt>
                <c:pt idx="15">
                  <c:v>10.763888888888888</c:v>
                </c:pt>
                <c:pt idx="16">
                  <c:v>11.458333333333332</c:v>
                </c:pt>
                <c:pt idx="17">
                  <c:v>12.152777777777777</c:v>
                </c:pt>
                <c:pt idx="18">
                  <c:v>12.847222222222221</c:v>
                </c:pt>
                <c:pt idx="19">
                  <c:v>13.541666666666666</c:v>
                </c:pt>
                <c:pt idx="20">
                  <c:v>14.236111111111111</c:v>
                </c:pt>
                <c:pt idx="21">
                  <c:v>14.930555555555554</c:v>
                </c:pt>
                <c:pt idx="22">
                  <c:v>15.624999999999998</c:v>
                </c:pt>
                <c:pt idx="23">
                  <c:v>16.319444444444443</c:v>
                </c:pt>
                <c:pt idx="24">
                  <c:v>17.013888888888886</c:v>
                </c:pt>
                <c:pt idx="25">
                  <c:v>17.708333333333332</c:v>
                </c:pt>
                <c:pt idx="26">
                  <c:v>18.402777777777775</c:v>
                </c:pt>
                <c:pt idx="27">
                  <c:v>19.097222222222221</c:v>
                </c:pt>
                <c:pt idx="28">
                  <c:v>19.791666666666664</c:v>
                </c:pt>
                <c:pt idx="29">
                  <c:v>20.486111111111111</c:v>
                </c:pt>
                <c:pt idx="30">
                  <c:v>21.180555555555554</c:v>
                </c:pt>
                <c:pt idx="31">
                  <c:v>21.875</c:v>
                </c:pt>
                <c:pt idx="32">
                  <c:v>22.569444444444443</c:v>
                </c:pt>
                <c:pt idx="33">
                  <c:v>23.263888888888886</c:v>
                </c:pt>
                <c:pt idx="34">
                  <c:v>23.958333333333332</c:v>
                </c:pt>
                <c:pt idx="35">
                  <c:v>24.652777777777775</c:v>
                </c:pt>
                <c:pt idx="36">
                  <c:v>25.347222222222221</c:v>
                </c:pt>
                <c:pt idx="37">
                  <c:v>26.041666666666664</c:v>
                </c:pt>
                <c:pt idx="38">
                  <c:v>26.736111111111111</c:v>
                </c:pt>
                <c:pt idx="39">
                  <c:v>27.430555555555554</c:v>
                </c:pt>
                <c:pt idx="40">
                  <c:v>28.125</c:v>
                </c:pt>
                <c:pt idx="41">
                  <c:v>28.819444444444443</c:v>
                </c:pt>
                <c:pt idx="42">
                  <c:v>29.513888888888886</c:v>
                </c:pt>
                <c:pt idx="43">
                  <c:v>30.208333333333332</c:v>
                </c:pt>
                <c:pt idx="44">
                  <c:v>30.902777777777775</c:v>
                </c:pt>
                <c:pt idx="45">
                  <c:v>31.597222222222221</c:v>
                </c:pt>
                <c:pt idx="46">
                  <c:v>32.291666666666664</c:v>
                </c:pt>
                <c:pt idx="47">
                  <c:v>32.986111111111107</c:v>
                </c:pt>
                <c:pt idx="48">
                  <c:v>33.68055555555555</c:v>
                </c:pt>
                <c:pt idx="49">
                  <c:v>34.375</c:v>
                </c:pt>
                <c:pt idx="50">
                  <c:v>35.069444444444443</c:v>
                </c:pt>
                <c:pt idx="51">
                  <c:v>35.763888888888886</c:v>
                </c:pt>
                <c:pt idx="52">
                  <c:v>36.458333333333329</c:v>
                </c:pt>
                <c:pt idx="53">
                  <c:v>37.152777777777779</c:v>
                </c:pt>
                <c:pt idx="54">
                  <c:v>37.847222222222221</c:v>
                </c:pt>
                <c:pt idx="55">
                  <c:v>38.541666666666664</c:v>
                </c:pt>
                <c:pt idx="56">
                  <c:v>39.236111111111107</c:v>
                </c:pt>
                <c:pt idx="57">
                  <c:v>39.93055555555555</c:v>
                </c:pt>
                <c:pt idx="58">
                  <c:v>40.625</c:v>
                </c:pt>
                <c:pt idx="59">
                  <c:v>41.319444444444443</c:v>
                </c:pt>
                <c:pt idx="60">
                  <c:v>42.013888888888886</c:v>
                </c:pt>
                <c:pt idx="61">
                  <c:v>42.708333333333329</c:v>
                </c:pt>
                <c:pt idx="62">
                  <c:v>43.402777777777779</c:v>
                </c:pt>
                <c:pt idx="63">
                  <c:v>44.097222222222221</c:v>
                </c:pt>
                <c:pt idx="64">
                  <c:v>44.791666666666664</c:v>
                </c:pt>
                <c:pt idx="65">
                  <c:v>45.486111111111107</c:v>
                </c:pt>
                <c:pt idx="66">
                  <c:v>46.18055555555555</c:v>
                </c:pt>
                <c:pt idx="67">
                  <c:v>46.875</c:v>
                </c:pt>
                <c:pt idx="68">
                  <c:v>47.569444444444443</c:v>
                </c:pt>
                <c:pt idx="69">
                  <c:v>48.263888888888886</c:v>
                </c:pt>
                <c:pt idx="70">
                  <c:v>48.958333333333329</c:v>
                </c:pt>
                <c:pt idx="71">
                  <c:v>49.652777777777779</c:v>
                </c:pt>
                <c:pt idx="72">
                  <c:v>50.347222222222221</c:v>
                </c:pt>
                <c:pt idx="73">
                  <c:v>51.041666666666664</c:v>
                </c:pt>
                <c:pt idx="74">
                  <c:v>51.736111111111107</c:v>
                </c:pt>
                <c:pt idx="75">
                  <c:v>52.43055555555555</c:v>
                </c:pt>
                <c:pt idx="76">
                  <c:v>53.125</c:v>
                </c:pt>
                <c:pt idx="77">
                  <c:v>53.819444444444443</c:v>
                </c:pt>
                <c:pt idx="78">
                  <c:v>54.513888888888886</c:v>
                </c:pt>
                <c:pt idx="79">
                  <c:v>55.208333333333329</c:v>
                </c:pt>
                <c:pt idx="80">
                  <c:v>55.902777777777779</c:v>
                </c:pt>
                <c:pt idx="81">
                  <c:v>56.597222222222221</c:v>
                </c:pt>
                <c:pt idx="82">
                  <c:v>57.291666666666664</c:v>
                </c:pt>
                <c:pt idx="83">
                  <c:v>57.986111111111107</c:v>
                </c:pt>
                <c:pt idx="84">
                  <c:v>58.68055555555555</c:v>
                </c:pt>
                <c:pt idx="85">
                  <c:v>59.375</c:v>
                </c:pt>
                <c:pt idx="86">
                  <c:v>60.069444444444443</c:v>
                </c:pt>
                <c:pt idx="87">
                  <c:v>60.763888888888886</c:v>
                </c:pt>
                <c:pt idx="88">
                  <c:v>61.458333333333329</c:v>
                </c:pt>
                <c:pt idx="89">
                  <c:v>62.152777777777771</c:v>
                </c:pt>
                <c:pt idx="90">
                  <c:v>62.847222222222221</c:v>
                </c:pt>
                <c:pt idx="91">
                  <c:v>63.541666666666664</c:v>
                </c:pt>
                <c:pt idx="92">
                  <c:v>64.236111111111114</c:v>
                </c:pt>
                <c:pt idx="93">
                  <c:v>64.930555555555557</c:v>
                </c:pt>
                <c:pt idx="94">
                  <c:v>65.625</c:v>
                </c:pt>
                <c:pt idx="95">
                  <c:v>66.319444444444443</c:v>
                </c:pt>
                <c:pt idx="96">
                  <c:v>67.013888888888886</c:v>
                </c:pt>
                <c:pt idx="97">
                  <c:v>67.708333333333343</c:v>
                </c:pt>
                <c:pt idx="98">
                  <c:v>68.402777777777786</c:v>
                </c:pt>
                <c:pt idx="99">
                  <c:v>69.097222222222229</c:v>
                </c:pt>
                <c:pt idx="100">
                  <c:v>69.791666666666671</c:v>
                </c:pt>
                <c:pt idx="101">
                  <c:v>70.486111111111114</c:v>
                </c:pt>
                <c:pt idx="102">
                  <c:v>71.180555555555557</c:v>
                </c:pt>
                <c:pt idx="103">
                  <c:v>71.875</c:v>
                </c:pt>
                <c:pt idx="104">
                  <c:v>72.569444444444443</c:v>
                </c:pt>
                <c:pt idx="105">
                  <c:v>73.263888888888886</c:v>
                </c:pt>
                <c:pt idx="106">
                  <c:v>73.958333333333343</c:v>
                </c:pt>
                <c:pt idx="107">
                  <c:v>74.652777777777786</c:v>
                </c:pt>
                <c:pt idx="108">
                  <c:v>75.347222222222229</c:v>
                </c:pt>
                <c:pt idx="109">
                  <c:v>76.041666666666671</c:v>
                </c:pt>
                <c:pt idx="110">
                  <c:v>76.736111111111114</c:v>
                </c:pt>
                <c:pt idx="111">
                  <c:v>77.430555555555557</c:v>
                </c:pt>
                <c:pt idx="112">
                  <c:v>78.125</c:v>
                </c:pt>
                <c:pt idx="113">
                  <c:v>78.819444444444443</c:v>
                </c:pt>
                <c:pt idx="114">
                  <c:v>79.513888888888886</c:v>
                </c:pt>
                <c:pt idx="115">
                  <c:v>80.208333333333343</c:v>
                </c:pt>
                <c:pt idx="116">
                  <c:v>80.902777777777786</c:v>
                </c:pt>
                <c:pt idx="117">
                  <c:v>81.597222222222229</c:v>
                </c:pt>
                <c:pt idx="118">
                  <c:v>82.291666666666671</c:v>
                </c:pt>
                <c:pt idx="119">
                  <c:v>82.986111111111114</c:v>
                </c:pt>
                <c:pt idx="120">
                  <c:v>83.680555555555557</c:v>
                </c:pt>
                <c:pt idx="121">
                  <c:v>84.375</c:v>
                </c:pt>
                <c:pt idx="122">
                  <c:v>85.069444444444443</c:v>
                </c:pt>
                <c:pt idx="123">
                  <c:v>85.763888888888886</c:v>
                </c:pt>
                <c:pt idx="124">
                  <c:v>86.458333333333343</c:v>
                </c:pt>
                <c:pt idx="125">
                  <c:v>87.152777777777786</c:v>
                </c:pt>
                <c:pt idx="126">
                  <c:v>87.847222222222229</c:v>
                </c:pt>
                <c:pt idx="127">
                  <c:v>88.541666666666671</c:v>
                </c:pt>
                <c:pt idx="128">
                  <c:v>89.236111111111114</c:v>
                </c:pt>
                <c:pt idx="129">
                  <c:v>89.930555555555557</c:v>
                </c:pt>
                <c:pt idx="130">
                  <c:v>90.625</c:v>
                </c:pt>
                <c:pt idx="131">
                  <c:v>91.319444444444443</c:v>
                </c:pt>
                <c:pt idx="132">
                  <c:v>92.013888888888886</c:v>
                </c:pt>
                <c:pt idx="133">
                  <c:v>92.708333333333343</c:v>
                </c:pt>
                <c:pt idx="134">
                  <c:v>93.402777777777786</c:v>
                </c:pt>
                <c:pt idx="135">
                  <c:v>94.097222222222229</c:v>
                </c:pt>
                <c:pt idx="136">
                  <c:v>94.791666666666671</c:v>
                </c:pt>
                <c:pt idx="137">
                  <c:v>95.486111111111114</c:v>
                </c:pt>
                <c:pt idx="138">
                  <c:v>96.180555555555557</c:v>
                </c:pt>
                <c:pt idx="139">
                  <c:v>96.875</c:v>
                </c:pt>
                <c:pt idx="140">
                  <c:v>97.569444444444443</c:v>
                </c:pt>
                <c:pt idx="141">
                  <c:v>98.263888888888886</c:v>
                </c:pt>
                <c:pt idx="142">
                  <c:v>98.958333333333343</c:v>
                </c:pt>
                <c:pt idx="143">
                  <c:v>99.652777777777786</c:v>
                </c:pt>
              </c:numCache>
            </c:numRef>
          </c:xVal>
          <c:yVal>
            <c:numRef>
              <c:f>'DSlope, DButterfly, Credit, VIX'!$G$29:$G$172</c:f>
              <c:numCache>
                <c:formatCode>General</c:formatCode>
                <c:ptCount val="144"/>
                <c:pt idx="0">
                  <c:v>-7.0047284893671877</c:v>
                </c:pt>
                <c:pt idx="1">
                  <c:v>-4.6868598995851904</c:v>
                </c:pt>
                <c:pt idx="2">
                  <c:v>-4.1526948243374111</c:v>
                </c:pt>
                <c:pt idx="3">
                  <c:v>-3.6875242113072275</c:v>
                </c:pt>
                <c:pt idx="4">
                  <c:v>-3.3442885744124804</c:v>
                </c:pt>
                <c:pt idx="5">
                  <c:v>-3.1231512210139143</c:v>
                </c:pt>
                <c:pt idx="6">
                  <c:v>-2.9682787226250409</c:v>
                </c:pt>
                <c:pt idx="7">
                  <c:v>-2.5680570998352561</c:v>
                </c:pt>
                <c:pt idx="8">
                  <c:v>-2.5280472836281653</c:v>
                </c:pt>
                <c:pt idx="9">
                  <c:v>-2.5046976641667626</c:v>
                </c:pt>
                <c:pt idx="10">
                  <c:v>-2.2568118607420633</c:v>
                </c:pt>
                <c:pt idx="11">
                  <c:v>-1.9001782009329338</c:v>
                </c:pt>
                <c:pt idx="12">
                  <c:v>-1.8423176925388944</c:v>
                </c:pt>
                <c:pt idx="13">
                  <c:v>-1.8267949190726551</c:v>
                </c:pt>
                <c:pt idx="14">
                  <c:v>-1.7163787658669345</c:v>
                </c:pt>
                <c:pt idx="15">
                  <c:v>-1.7024670003016547</c:v>
                </c:pt>
                <c:pt idx="16">
                  <c:v>-1.4912303020014905</c:v>
                </c:pt>
                <c:pt idx="17">
                  <c:v>-1.4816122688402813</c:v>
                </c:pt>
                <c:pt idx="18">
                  <c:v>-1.3850399013585131</c:v>
                </c:pt>
                <c:pt idx="19">
                  <c:v>-1.3845334693391671</c:v>
                </c:pt>
                <c:pt idx="20">
                  <c:v>-1.3312319193447704</c:v>
                </c:pt>
                <c:pt idx="21">
                  <c:v>-1.2793531068196276</c:v>
                </c:pt>
                <c:pt idx="22">
                  <c:v>-1.1425691586862545</c:v>
                </c:pt>
                <c:pt idx="23">
                  <c:v>-1.1072210028407516</c:v>
                </c:pt>
                <c:pt idx="24">
                  <c:v>-1.0801430002995103</c:v>
                </c:pt>
                <c:pt idx="25">
                  <c:v>-0.94912629185626851</c:v>
                </c:pt>
                <c:pt idx="26">
                  <c:v>-0.93339874585644023</c:v>
                </c:pt>
                <c:pt idx="27">
                  <c:v>-0.8739297602339734</c:v>
                </c:pt>
                <c:pt idx="28">
                  <c:v>-0.85098504001589137</c:v>
                </c:pt>
                <c:pt idx="29">
                  <c:v>-0.84486748191592764</c:v>
                </c:pt>
                <c:pt idx="30">
                  <c:v>-0.83998798555617005</c:v>
                </c:pt>
                <c:pt idx="31">
                  <c:v>-0.82038765576752415</c:v>
                </c:pt>
                <c:pt idx="32">
                  <c:v>-0.73047275946122014</c:v>
                </c:pt>
                <c:pt idx="33">
                  <c:v>-0.72114034769675106</c:v>
                </c:pt>
                <c:pt idx="34">
                  <c:v>-0.70844610563042631</c:v>
                </c:pt>
                <c:pt idx="35">
                  <c:v>-0.63980558944311527</c:v>
                </c:pt>
                <c:pt idx="36">
                  <c:v>-0.63321922178810008</c:v>
                </c:pt>
                <c:pt idx="37">
                  <c:v>-0.62523746935851443</c:v>
                </c:pt>
                <c:pt idx="38">
                  <c:v>-0.60205936122706527</c:v>
                </c:pt>
                <c:pt idx="39">
                  <c:v>-0.49649597275839152</c:v>
                </c:pt>
                <c:pt idx="40">
                  <c:v>-0.45287219230992509</c:v>
                </c:pt>
                <c:pt idx="41">
                  <c:v>-0.44945692130845749</c:v>
                </c:pt>
                <c:pt idx="42">
                  <c:v>-0.42414010254649709</c:v>
                </c:pt>
                <c:pt idx="43">
                  <c:v>-0.40587403799491967</c:v>
                </c:pt>
                <c:pt idx="44">
                  <c:v>-0.38364685529762182</c:v>
                </c:pt>
                <c:pt idx="45">
                  <c:v>-0.34952011853591453</c:v>
                </c:pt>
                <c:pt idx="46">
                  <c:v>-0.32059917407416511</c:v>
                </c:pt>
                <c:pt idx="47">
                  <c:v>-0.25809067214290327</c:v>
                </c:pt>
                <c:pt idx="48">
                  <c:v>-0.23417506109101072</c:v>
                </c:pt>
                <c:pt idx="49">
                  <c:v>-0.18651939975316809</c:v>
                </c:pt>
                <c:pt idx="50">
                  <c:v>-0.16023377056929605</c:v>
                </c:pt>
                <c:pt idx="51">
                  <c:v>-0.15960421366991845</c:v>
                </c:pt>
                <c:pt idx="52">
                  <c:v>-0.12574664360828455</c:v>
                </c:pt>
                <c:pt idx="53">
                  <c:v>-3.7635693365227305E-2</c:v>
                </c:pt>
                <c:pt idx="54">
                  <c:v>-2.8872892422191813E-2</c:v>
                </c:pt>
                <c:pt idx="55">
                  <c:v>-2.1093949631446327E-2</c:v>
                </c:pt>
                <c:pt idx="56">
                  <c:v>2.1744398396726858E-3</c:v>
                </c:pt>
                <c:pt idx="57">
                  <c:v>1.3361896540353232E-2</c:v>
                </c:pt>
                <c:pt idx="58">
                  <c:v>1.5244628300109645E-2</c:v>
                </c:pt>
                <c:pt idx="59">
                  <c:v>4.5162099813618559E-2</c:v>
                </c:pt>
                <c:pt idx="60">
                  <c:v>5.5182858323510636E-2</c:v>
                </c:pt>
                <c:pt idx="61">
                  <c:v>6.2862567183433013E-2</c:v>
                </c:pt>
                <c:pt idx="62">
                  <c:v>6.4450144874432388E-2</c:v>
                </c:pt>
                <c:pt idx="63">
                  <c:v>0.17050584189129772</c:v>
                </c:pt>
                <c:pt idx="64">
                  <c:v>0.20128346879376346</c:v>
                </c:pt>
                <c:pt idx="65">
                  <c:v>0.25176219913533959</c:v>
                </c:pt>
                <c:pt idx="66">
                  <c:v>0.27937046819359035</c:v>
                </c:pt>
                <c:pt idx="67">
                  <c:v>0.29248739326307094</c:v>
                </c:pt>
                <c:pt idx="68">
                  <c:v>0.32195109833132546</c:v>
                </c:pt>
                <c:pt idx="69">
                  <c:v>0.3416951439283733</c:v>
                </c:pt>
                <c:pt idx="70">
                  <c:v>0.3941440510082177</c:v>
                </c:pt>
                <c:pt idx="71">
                  <c:v>0.39463790345239053</c:v>
                </c:pt>
                <c:pt idx="72">
                  <c:v>0.44664249623499269</c:v>
                </c:pt>
                <c:pt idx="73">
                  <c:v>0.44906329589973976</c:v>
                </c:pt>
                <c:pt idx="74">
                  <c:v>0.51269214936388086</c:v>
                </c:pt>
                <c:pt idx="75">
                  <c:v>0.54311279831289316</c:v>
                </c:pt>
                <c:pt idx="76">
                  <c:v>0.64991632276644051</c:v>
                </c:pt>
                <c:pt idx="77">
                  <c:v>0.74520035393408268</c:v>
                </c:pt>
                <c:pt idx="78">
                  <c:v>0.76476526172699799</c:v>
                </c:pt>
                <c:pt idx="79">
                  <c:v>0.76715041455256716</c:v>
                </c:pt>
                <c:pt idx="80">
                  <c:v>0.77913542886387466</c:v>
                </c:pt>
                <c:pt idx="81">
                  <c:v>0.79790760681101336</c:v>
                </c:pt>
                <c:pt idx="82">
                  <c:v>0.79930043255834871</c:v>
                </c:pt>
                <c:pt idx="83">
                  <c:v>0.80909571022157933</c:v>
                </c:pt>
                <c:pt idx="84">
                  <c:v>0.8173714702258239</c:v>
                </c:pt>
                <c:pt idx="85">
                  <c:v>0.8220675256694463</c:v>
                </c:pt>
                <c:pt idx="86">
                  <c:v>0.94080499762717185</c:v>
                </c:pt>
                <c:pt idx="87">
                  <c:v>0.98384974618307341</c:v>
                </c:pt>
                <c:pt idx="88">
                  <c:v>1.084910181769061</c:v>
                </c:pt>
                <c:pt idx="89">
                  <c:v>1.088562294937061</c:v>
                </c:pt>
                <c:pt idx="90">
                  <c:v>1.1252408849651883</c:v>
                </c:pt>
                <c:pt idx="91">
                  <c:v>1.1573512190828252</c:v>
                </c:pt>
                <c:pt idx="92">
                  <c:v>1.1607317321410837</c:v>
                </c:pt>
                <c:pt idx="93">
                  <c:v>1.1935119946777377</c:v>
                </c:pt>
                <c:pt idx="94">
                  <c:v>1.2933080083597004</c:v>
                </c:pt>
                <c:pt idx="95">
                  <c:v>1.3006576888791135</c:v>
                </c:pt>
                <c:pt idx="96">
                  <c:v>1.3072997744824202</c:v>
                </c:pt>
                <c:pt idx="97">
                  <c:v>1.3201728926043841</c:v>
                </c:pt>
                <c:pt idx="98">
                  <c:v>1.3282751471537555</c:v>
                </c:pt>
                <c:pt idx="99">
                  <c:v>1.3592930931331151</c:v>
                </c:pt>
                <c:pt idx="100">
                  <c:v>1.3893836371301047</c:v>
                </c:pt>
                <c:pt idx="101">
                  <c:v>1.4570599695124704</c:v>
                </c:pt>
                <c:pt idx="102">
                  <c:v>1.4746501612318974</c:v>
                </c:pt>
                <c:pt idx="103">
                  <c:v>1.4799167353491935</c:v>
                </c:pt>
                <c:pt idx="104">
                  <c:v>1.5120608050198472</c:v>
                </c:pt>
                <c:pt idx="105">
                  <c:v>1.5632378548125487</c:v>
                </c:pt>
                <c:pt idx="106">
                  <c:v>1.5752476292840976</c:v>
                </c:pt>
                <c:pt idx="107">
                  <c:v>1.7130121087748451</c:v>
                </c:pt>
                <c:pt idx="108">
                  <c:v>1.8101887790863302</c:v>
                </c:pt>
                <c:pt idx="109">
                  <c:v>1.8519535193189707</c:v>
                </c:pt>
                <c:pt idx="110">
                  <c:v>1.9551601207275044</c:v>
                </c:pt>
                <c:pt idx="111">
                  <c:v>1.9636320377819911</c:v>
                </c:pt>
                <c:pt idx="112">
                  <c:v>1.9965489332311821</c:v>
                </c:pt>
                <c:pt idx="113">
                  <c:v>2.1127325139720563</c:v>
                </c:pt>
                <c:pt idx="114">
                  <c:v>2.1320616401803507</c:v>
                </c:pt>
                <c:pt idx="115">
                  <c:v>2.1528110708148573</c:v>
                </c:pt>
                <c:pt idx="116">
                  <c:v>2.1554149374730458</c:v>
                </c:pt>
                <c:pt idx="117">
                  <c:v>2.1937669383125291</c:v>
                </c:pt>
                <c:pt idx="118">
                  <c:v>2.2441569439350513</c:v>
                </c:pt>
                <c:pt idx="119">
                  <c:v>2.3109716137805942</c:v>
                </c:pt>
                <c:pt idx="120">
                  <c:v>2.3644571963769208</c:v>
                </c:pt>
                <c:pt idx="121">
                  <c:v>2.3878145236429944</c:v>
                </c:pt>
                <c:pt idx="122">
                  <c:v>2.4047017706743326</c:v>
                </c:pt>
                <c:pt idx="123">
                  <c:v>2.4711222871909655</c:v>
                </c:pt>
                <c:pt idx="124">
                  <c:v>2.5118747000438195</c:v>
                </c:pt>
                <c:pt idx="125">
                  <c:v>2.5198681337412903</c:v>
                </c:pt>
                <c:pt idx="126">
                  <c:v>2.5257042870557784</c:v>
                </c:pt>
                <c:pt idx="127">
                  <c:v>2.5343167951715437</c:v>
                </c:pt>
                <c:pt idx="128">
                  <c:v>2.6303236664701828</c:v>
                </c:pt>
                <c:pt idx="129">
                  <c:v>2.6535892327475388</c:v>
                </c:pt>
                <c:pt idx="130">
                  <c:v>2.664630651168546</c:v>
                </c:pt>
                <c:pt idx="131">
                  <c:v>2.683391280512204</c:v>
                </c:pt>
                <c:pt idx="132">
                  <c:v>2.7070180675265525</c:v>
                </c:pt>
                <c:pt idx="133">
                  <c:v>2.8438546235537174</c:v>
                </c:pt>
                <c:pt idx="134">
                  <c:v>2.8609360739223297</c:v>
                </c:pt>
                <c:pt idx="135">
                  <c:v>3.0698713827378343</c:v>
                </c:pt>
                <c:pt idx="136">
                  <c:v>3.1095108983661892</c:v>
                </c:pt>
                <c:pt idx="137">
                  <c:v>3.1666873562985165</c:v>
                </c:pt>
                <c:pt idx="138">
                  <c:v>3.3950819422879635</c:v>
                </c:pt>
                <c:pt idx="139">
                  <c:v>3.4388141552305238</c:v>
                </c:pt>
                <c:pt idx="140">
                  <c:v>3.580071379617352</c:v>
                </c:pt>
                <c:pt idx="141">
                  <c:v>3.8214888861569447</c:v>
                </c:pt>
                <c:pt idx="142">
                  <c:v>4.5018822436456931</c:v>
                </c:pt>
                <c:pt idx="143">
                  <c:v>5.5867022964527608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EB-DA4F-BA6F-366570CB92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6800256"/>
        <c:axId val="696802528"/>
      </c:scatterChart>
      <c:valAx>
        <c:axId val="696800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96802528"/>
        <c:crosses val="autoZero"/>
        <c:crossBetween val="midCat"/>
      </c:valAx>
      <c:valAx>
        <c:axId val="696802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Asset Returns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96800256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IG Credit Spread (%)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Data!$W$2:$W$145</c:f>
              <c:numCache>
                <c:formatCode>0.0000</c:formatCode>
                <c:ptCount val="144"/>
                <c:pt idx="0">
                  <c:v>-5.1387194346069833</c:v>
                </c:pt>
                <c:pt idx="1">
                  <c:v>2.3484491421995508</c:v>
                </c:pt>
                <c:pt idx="2">
                  <c:v>-0.92319478819390199</c:v>
                </c:pt>
                <c:pt idx="3">
                  <c:v>0.82434767702086331</c:v>
                </c:pt>
                <c:pt idx="4">
                  <c:v>2.0252115715454142</c:v>
                </c:pt>
                <c:pt idx="5">
                  <c:v>-1.4083021680096535</c:v>
                </c:pt>
                <c:pt idx="6">
                  <c:v>-0.89531690384682072</c:v>
                </c:pt>
                <c:pt idx="7">
                  <c:v>2.0846292055168538</c:v>
                </c:pt>
                <c:pt idx="8">
                  <c:v>0.18815829103602541</c:v>
                </c:pt>
                <c:pt idx="9">
                  <c:v>-0.30403984882426438</c:v>
                </c:pt>
                <c:pt idx="10">
                  <c:v>1.2224064307019109</c:v>
                </c:pt>
                <c:pt idx="11">
                  <c:v>1.1188106566869516</c:v>
                </c:pt>
                <c:pt idx="12">
                  <c:v>-0.39386738542473537</c:v>
                </c:pt>
                <c:pt idx="13">
                  <c:v>0.23199314515441699</c:v>
                </c:pt>
                <c:pt idx="14">
                  <c:v>3.0510319131719719</c:v>
                </c:pt>
                <c:pt idx="15">
                  <c:v>-0.57569475557887417</c:v>
                </c:pt>
                <c:pt idx="16">
                  <c:v>0.34508593485068878</c:v>
                </c:pt>
                <c:pt idx="17">
                  <c:v>2.4668637873530348</c:v>
                </c:pt>
                <c:pt idx="18">
                  <c:v>1.3828982966028573</c:v>
                </c:pt>
                <c:pt idx="19">
                  <c:v>5.9348906527047323</c:v>
                </c:pt>
                <c:pt idx="20">
                  <c:v>-3.7396932352934624</c:v>
                </c:pt>
                <c:pt idx="21">
                  <c:v>1.0994857308880885</c:v>
                </c:pt>
                <c:pt idx="22">
                  <c:v>-2.3264834455409638</c:v>
                </c:pt>
                <c:pt idx="23">
                  <c:v>0.27399978476401698</c:v>
                </c:pt>
                <c:pt idx="24">
                  <c:v>-3.7708043023703515</c:v>
                </c:pt>
                <c:pt idx="25">
                  <c:v>2.4312561086316236</c:v>
                </c:pt>
                <c:pt idx="26">
                  <c:v>-2.163876747359093</c:v>
                </c:pt>
                <c:pt idx="27">
                  <c:v>0.5025858772171532</c:v>
                </c:pt>
                <c:pt idx="28">
                  <c:v>1.5012701524955124E-2</c:v>
                </c:pt>
                <c:pt idx="29">
                  <c:v>2.0734306549589543</c:v>
                </c:pt>
                <c:pt idx="30">
                  <c:v>-1.4165022256805997</c:v>
                </c:pt>
                <c:pt idx="31">
                  <c:v>0.66815720708482551</c:v>
                </c:pt>
                <c:pt idx="32">
                  <c:v>-0.80775400785913054</c:v>
                </c:pt>
                <c:pt idx="33">
                  <c:v>3.5954167685518694</c:v>
                </c:pt>
                <c:pt idx="34">
                  <c:v>0.91190414214845739</c:v>
                </c:pt>
                <c:pt idx="35">
                  <c:v>0.85468808124803441</c:v>
                </c:pt>
                <c:pt idx="36">
                  <c:v>3.5664770305249829</c:v>
                </c:pt>
                <c:pt idx="37">
                  <c:v>5.0465169683722939</c:v>
                </c:pt>
                <c:pt idx="38">
                  <c:v>3.4210472846484357</c:v>
                </c:pt>
                <c:pt idx="39">
                  <c:v>-1.9050206096671818</c:v>
                </c:pt>
                <c:pt idx="40">
                  <c:v>-4.4556526959210885</c:v>
                </c:pt>
                <c:pt idx="41">
                  <c:v>-1.6600067055434231</c:v>
                </c:pt>
                <c:pt idx="42">
                  <c:v>2.9503559863160107</c:v>
                </c:pt>
                <c:pt idx="43">
                  <c:v>-1.5202579266307075</c:v>
                </c:pt>
                <c:pt idx="44">
                  <c:v>2.6350509941130018</c:v>
                </c:pt>
                <c:pt idx="45">
                  <c:v>-0.17390455263532517</c:v>
                </c:pt>
                <c:pt idx="46">
                  <c:v>0.72625925846252182</c:v>
                </c:pt>
                <c:pt idx="47">
                  <c:v>1.5534992085354618</c:v>
                </c:pt>
                <c:pt idx="48">
                  <c:v>-1.3128763768352263</c:v>
                </c:pt>
                <c:pt idx="49">
                  <c:v>1.0235515044919676</c:v>
                </c:pt>
                <c:pt idx="50">
                  <c:v>0.87915557139737288</c:v>
                </c:pt>
                <c:pt idx="51">
                  <c:v>-2.0519560737810645</c:v>
                </c:pt>
                <c:pt idx="52">
                  <c:v>0.34628136161819018</c:v>
                </c:pt>
                <c:pt idx="53">
                  <c:v>-0.35419358995709715</c:v>
                </c:pt>
                <c:pt idx="54">
                  <c:v>1.858001601839639</c:v>
                </c:pt>
                <c:pt idx="55">
                  <c:v>-0.8877688063153264</c:v>
                </c:pt>
                <c:pt idx="56">
                  <c:v>-1.3769514272096248</c:v>
                </c:pt>
                <c:pt idx="57">
                  <c:v>0.20136749777207796</c:v>
                </c:pt>
                <c:pt idx="58">
                  <c:v>0.12731740286215751</c:v>
                </c:pt>
                <c:pt idx="59">
                  <c:v>-0.371473926792939</c:v>
                </c:pt>
                <c:pt idx="60">
                  <c:v>-0.41320150136606915</c:v>
                </c:pt>
                <c:pt idx="61">
                  <c:v>0.2551971584802315</c:v>
                </c:pt>
                <c:pt idx="62">
                  <c:v>0.54532839444733927</c:v>
                </c:pt>
                <c:pt idx="63">
                  <c:v>-1.1987084485525838</c:v>
                </c:pt>
                <c:pt idx="64">
                  <c:v>0.20365796077345244</c:v>
                </c:pt>
                <c:pt idx="65">
                  <c:v>-2.1905269483508447</c:v>
                </c:pt>
                <c:pt idx="66">
                  <c:v>1.357859374712971</c:v>
                </c:pt>
                <c:pt idx="67">
                  <c:v>1.0678641457547986</c:v>
                </c:pt>
                <c:pt idx="68">
                  <c:v>-4.062169850005945E-3</c:v>
                </c:pt>
                <c:pt idx="69">
                  <c:v>-0.25340601070870289</c:v>
                </c:pt>
                <c:pt idx="70">
                  <c:v>-0.20371933742089599</c:v>
                </c:pt>
                <c:pt idx="71">
                  <c:v>-6.8036926882462212E-2</c:v>
                </c:pt>
                <c:pt idx="72">
                  <c:v>3.0998066900760599</c:v>
                </c:pt>
                <c:pt idx="73">
                  <c:v>-1.5756409548922983</c:v>
                </c:pt>
                <c:pt idx="74">
                  <c:v>-6.5893968100260576</c:v>
                </c:pt>
                <c:pt idx="75">
                  <c:v>7.3665586735762902</c:v>
                </c:pt>
                <c:pt idx="76">
                  <c:v>1.0916617932992878</c:v>
                </c:pt>
                <c:pt idx="77">
                  <c:v>1.0163751457846373</c:v>
                </c:pt>
                <c:pt idx="78">
                  <c:v>2.1435700279400138</c:v>
                </c:pt>
                <c:pt idx="79">
                  <c:v>-1.204767361587278</c:v>
                </c:pt>
                <c:pt idx="80">
                  <c:v>-1.9469169716171044E-3</c:v>
                </c:pt>
                <c:pt idx="81">
                  <c:v>0.28979934223811843</c:v>
                </c:pt>
                <c:pt idx="82">
                  <c:v>2.3639052440224098</c:v>
                </c:pt>
                <c:pt idx="83">
                  <c:v>1.5490140567033936</c:v>
                </c:pt>
                <c:pt idx="84">
                  <c:v>-1.6477775578392471</c:v>
                </c:pt>
                <c:pt idx="85">
                  <c:v>-3.4798493915758022</c:v>
                </c:pt>
                <c:pt idx="86">
                  <c:v>1.7190145145590065E-2</c:v>
                </c:pt>
                <c:pt idx="87">
                  <c:v>0.3804319559628988</c:v>
                </c:pt>
                <c:pt idx="88">
                  <c:v>0.31001431749484604</c:v>
                </c:pt>
                <c:pt idx="89">
                  <c:v>0.85502216530240871</c:v>
                </c:pt>
                <c:pt idx="90">
                  <c:v>1.6132309956574875</c:v>
                </c:pt>
                <c:pt idx="91">
                  <c:v>-0.22870458134476115</c:v>
                </c:pt>
                <c:pt idx="92">
                  <c:v>-2.8087660797989829</c:v>
                </c:pt>
                <c:pt idx="93">
                  <c:v>0.69722145982741013</c:v>
                </c:pt>
                <c:pt idx="94">
                  <c:v>0.99547551042253035</c:v>
                </c:pt>
                <c:pt idx="95">
                  <c:v>-1.12353903746557</c:v>
                </c:pt>
                <c:pt idx="96">
                  <c:v>-4.0342794589013895</c:v>
                </c:pt>
                <c:pt idx="97">
                  <c:v>-3.1651689144312303</c:v>
                </c:pt>
                <c:pt idx="98">
                  <c:v>0.13326767049501004</c:v>
                </c:pt>
                <c:pt idx="99">
                  <c:v>-3.8653528730622675</c:v>
                </c:pt>
                <c:pt idx="100">
                  <c:v>-1.556403524525015</c:v>
                </c:pt>
                <c:pt idx="101">
                  <c:v>-3.4565692008015478</c:v>
                </c:pt>
                <c:pt idx="102">
                  <c:v>4.373127894277208</c:v>
                </c:pt>
                <c:pt idx="103">
                  <c:v>-8.1411935429504894</c:v>
                </c:pt>
                <c:pt idx="104">
                  <c:v>-9.1415438687040886</c:v>
                </c:pt>
                <c:pt idx="105">
                  <c:v>4.9981561061963475</c:v>
                </c:pt>
                <c:pt idx="106">
                  <c:v>3.7315693621188237</c:v>
                </c:pt>
                <c:pt idx="107">
                  <c:v>-1.6930601373866518</c:v>
                </c:pt>
                <c:pt idx="108">
                  <c:v>3.2693974797429637</c:v>
                </c:pt>
                <c:pt idx="109">
                  <c:v>-3.4044713219137206</c:v>
                </c:pt>
                <c:pt idx="110">
                  <c:v>1.1229372544900045</c:v>
                </c:pt>
                <c:pt idx="111">
                  <c:v>-4.5251950847142508E-2</c:v>
                </c:pt>
                <c:pt idx="112">
                  <c:v>-3.2207902839867755</c:v>
                </c:pt>
                <c:pt idx="113">
                  <c:v>-1.5304704600210068</c:v>
                </c:pt>
                <c:pt idx="114">
                  <c:v>2.0217015238879137</c:v>
                </c:pt>
                <c:pt idx="115">
                  <c:v>-0.73548575994241516</c:v>
                </c:pt>
                <c:pt idx="116">
                  <c:v>-0.41335762746622851</c:v>
                </c:pt>
                <c:pt idx="117">
                  <c:v>-0.46656124638286833</c:v>
                </c:pt>
                <c:pt idx="118">
                  <c:v>3.4138089910941942</c:v>
                </c:pt>
                <c:pt idx="119">
                  <c:v>4.4012225363925044</c:v>
                </c:pt>
                <c:pt idx="120">
                  <c:v>-1.5196917747234271</c:v>
                </c:pt>
                <c:pt idx="121">
                  <c:v>-1.062073375074631</c:v>
                </c:pt>
                <c:pt idx="122">
                  <c:v>1.477489362217179</c:v>
                </c:pt>
                <c:pt idx="123">
                  <c:v>-2.3781283099238917</c:v>
                </c:pt>
                <c:pt idx="124">
                  <c:v>0.47811004572060589</c:v>
                </c:pt>
                <c:pt idx="125">
                  <c:v>0.44551959930867541</c:v>
                </c:pt>
                <c:pt idx="126">
                  <c:v>1.3614075313738643</c:v>
                </c:pt>
                <c:pt idx="127">
                  <c:v>-7.7650136808625758E-3</c:v>
                </c:pt>
                <c:pt idx="128">
                  <c:v>-0.12972116439056908</c:v>
                </c:pt>
                <c:pt idx="129">
                  <c:v>-1.6695833580904584</c:v>
                </c:pt>
                <c:pt idx="130">
                  <c:v>1.4530967525660716</c:v>
                </c:pt>
                <c:pt idx="131">
                  <c:v>-0.78143310266141697</c:v>
                </c:pt>
                <c:pt idx="132">
                  <c:v>0.34908255979636738</c:v>
                </c:pt>
                <c:pt idx="133">
                  <c:v>0.13535969057984193</c:v>
                </c:pt>
                <c:pt idx="134">
                  <c:v>-1.8716624465378884</c:v>
                </c:pt>
                <c:pt idx="135">
                  <c:v>1.2656565827966442</c:v>
                </c:pt>
                <c:pt idx="136">
                  <c:v>-0.42014204580768427</c:v>
                </c:pt>
                <c:pt idx="137">
                  <c:v>1.4055246320234833</c:v>
                </c:pt>
                <c:pt idx="138">
                  <c:v>-2.3798636141916241E-2</c:v>
                </c:pt>
                <c:pt idx="139">
                  <c:v>-0.94564972218921284</c:v>
                </c:pt>
                <c:pt idx="140">
                  <c:v>0.73546966098117694</c:v>
                </c:pt>
                <c:pt idx="141">
                  <c:v>1.7116922764778253</c:v>
                </c:pt>
                <c:pt idx="142">
                  <c:v>-0.26362362275971585</c:v>
                </c:pt>
                <c:pt idx="143">
                  <c:v>0.22777557059858333</c:v>
                </c:pt>
              </c:numCache>
            </c:numRef>
          </c:xVal>
          <c:yVal>
            <c:numRef>
              <c:f>'Credit, VIX, DInflation'!$C$28:$C$171</c:f>
              <c:numCache>
                <c:formatCode>General</c:formatCode>
                <c:ptCount val="144"/>
                <c:pt idx="0">
                  <c:v>-2.1020837918421043</c:v>
                </c:pt>
                <c:pt idx="1">
                  <c:v>1.0338531687318566</c:v>
                </c:pt>
                <c:pt idx="2">
                  <c:v>-1.6582998567213014</c:v>
                </c:pt>
                <c:pt idx="3">
                  <c:v>-0.38169638953638985</c:v>
                </c:pt>
                <c:pt idx="4">
                  <c:v>0.63164669684614294</c:v>
                </c:pt>
                <c:pt idx="5">
                  <c:v>-0.37380040046398488</c:v>
                </c:pt>
                <c:pt idx="6">
                  <c:v>-0.1521951243861695</c:v>
                </c:pt>
                <c:pt idx="7">
                  <c:v>-1.9385727253503287</c:v>
                </c:pt>
                <c:pt idx="8">
                  <c:v>0.77516609960637362</c:v>
                </c:pt>
                <c:pt idx="9">
                  <c:v>-0.83098796626059968</c:v>
                </c:pt>
                <c:pt idx="10">
                  <c:v>-0.4737181815947541</c:v>
                </c:pt>
                <c:pt idx="11">
                  <c:v>0.30801108999452054</c:v>
                </c:pt>
                <c:pt idx="12">
                  <c:v>-0.93494636548346488</c:v>
                </c:pt>
                <c:pt idx="13">
                  <c:v>0.10240158333846208</c:v>
                </c:pt>
                <c:pt idx="14">
                  <c:v>-5.0318103533188996E-3</c:v>
                </c:pt>
                <c:pt idx="15">
                  <c:v>-4.2175797400706871E-2</c:v>
                </c:pt>
                <c:pt idx="16">
                  <c:v>-0.55219353246986524</c:v>
                </c:pt>
                <c:pt idx="17">
                  <c:v>1.51987496490928</c:v>
                </c:pt>
                <c:pt idx="18">
                  <c:v>-0.44323325251988066</c:v>
                </c:pt>
                <c:pt idx="19">
                  <c:v>-7.6583131662181003E-2</c:v>
                </c:pt>
                <c:pt idx="20">
                  <c:v>0.63177859650420098</c:v>
                </c:pt>
                <c:pt idx="21">
                  <c:v>0.19797075570855138</c:v>
                </c:pt>
                <c:pt idx="22">
                  <c:v>-0.28245914131360461</c:v>
                </c:pt>
                <c:pt idx="23">
                  <c:v>-2.6818287638962213E-2</c:v>
                </c:pt>
                <c:pt idx="24">
                  <c:v>-1.6951143428857265</c:v>
                </c:pt>
                <c:pt idx="25">
                  <c:v>0.61706930928419612</c:v>
                </c:pt>
                <c:pt idx="26">
                  <c:v>-1.3740794589137064</c:v>
                </c:pt>
                <c:pt idx="27">
                  <c:v>-9.2925587664110076E-2</c:v>
                </c:pt>
                <c:pt idx="28">
                  <c:v>0.85988208084723117</c:v>
                </c:pt>
                <c:pt idx="29">
                  <c:v>0.68739281940067487</c:v>
                </c:pt>
                <c:pt idx="30">
                  <c:v>0.53958561824374773</c:v>
                </c:pt>
                <c:pt idx="31">
                  <c:v>-1.1736918374431455</c:v>
                </c:pt>
                <c:pt idx="32">
                  <c:v>0.42166251765443763</c:v>
                </c:pt>
                <c:pt idx="33">
                  <c:v>-1.3388784824272397</c:v>
                </c:pt>
                <c:pt idx="34">
                  <c:v>-1.2556986069895291</c:v>
                </c:pt>
                <c:pt idx="35">
                  <c:v>-4.0343441448629558E-2</c:v>
                </c:pt>
                <c:pt idx="36">
                  <c:v>1.3073976027143748</c:v>
                </c:pt>
                <c:pt idx="37">
                  <c:v>-0.23809278463146377</c:v>
                </c:pt>
                <c:pt idx="38">
                  <c:v>-1.053554959660753</c:v>
                </c:pt>
                <c:pt idx="39">
                  <c:v>0.54835090541709275</c:v>
                </c:pt>
                <c:pt idx="40">
                  <c:v>1.0264590340120165</c:v>
                </c:pt>
                <c:pt idx="41">
                  <c:v>-0.52304433852848475</c:v>
                </c:pt>
                <c:pt idx="42">
                  <c:v>0.46714979418684965</c:v>
                </c:pt>
                <c:pt idx="43">
                  <c:v>-0.92707253369565734</c:v>
                </c:pt>
                <c:pt idx="44">
                  <c:v>0.78792739358635266</c:v>
                </c:pt>
                <c:pt idx="45">
                  <c:v>-0.2408597789328783</c:v>
                </c:pt>
                <c:pt idx="46">
                  <c:v>-1.5533049818166895</c:v>
                </c:pt>
                <c:pt idx="47">
                  <c:v>0.37937856038590256</c:v>
                </c:pt>
                <c:pt idx="48">
                  <c:v>-1.0600813388250674</c:v>
                </c:pt>
                <c:pt idx="49">
                  <c:v>-0.49124728640029047</c:v>
                </c:pt>
                <c:pt idx="50">
                  <c:v>0.14995676945542469</c:v>
                </c:pt>
                <c:pt idx="51">
                  <c:v>-1.3036419991172969</c:v>
                </c:pt>
                <c:pt idx="52">
                  <c:v>0.49576521507657145</c:v>
                </c:pt>
                <c:pt idx="53">
                  <c:v>-0.70490322910774728</c:v>
                </c:pt>
                <c:pt idx="54">
                  <c:v>1.0338196847064534</c:v>
                </c:pt>
                <c:pt idx="55">
                  <c:v>-1.0359088555449369</c:v>
                </c:pt>
                <c:pt idx="56">
                  <c:v>-0.57919244774473777</c:v>
                </c:pt>
                <c:pt idx="57">
                  <c:v>-1.8103554194432898</c:v>
                </c:pt>
                <c:pt idx="58">
                  <c:v>1.8764807735651321</c:v>
                </c:pt>
                <c:pt idx="59">
                  <c:v>1.2781448219096949</c:v>
                </c:pt>
                <c:pt idx="60">
                  <c:v>0.11619033671648446</c:v>
                </c:pt>
                <c:pt idx="61">
                  <c:v>9.941098048315844E-2</c:v>
                </c:pt>
                <c:pt idx="62">
                  <c:v>-0.82588940753705775</c:v>
                </c:pt>
                <c:pt idx="63">
                  <c:v>-0.38121178603005684</c:v>
                </c:pt>
                <c:pt idx="64">
                  <c:v>-1.9660990413592903</c:v>
                </c:pt>
                <c:pt idx="65">
                  <c:v>-7.8237329922469123E-2</c:v>
                </c:pt>
                <c:pt idx="66">
                  <c:v>-2.5143508836750472</c:v>
                </c:pt>
                <c:pt idx="67">
                  <c:v>-2.3161962605208366</c:v>
                </c:pt>
                <c:pt idx="68">
                  <c:v>0.88299073702962749</c:v>
                </c:pt>
                <c:pt idx="69">
                  <c:v>-1.0253390511317617</c:v>
                </c:pt>
                <c:pt idx="70">
                  <c:v>0.60230282575266025</c:v>
                </c:pt>
                <c:pt idx="71">
                  <c:v>-0.23840886426547059</c:v>
                </c:pt>
                <c:pt idx="72">
                  <c:v>-1.2260621013085238</c:v>
                </c:pt>
                <c:pt idx="73">
                  <c:v>-2.4215034004142866</c:v>
                </c:pt>
                <c:pt idx="74">
                  <c:v>1.3065165952361601</c:v>
                </c:pt>
                <c:pt idx="75">
                  <c:v>0.24551721673141902</c:v>
                </c:pt>
                <c:pt idx="76">
                  <c:v>0.84915471907590057</c:v>
                </c:pt>
                <c:pt idx="77">
                  <c:v>0.9408994894040752</c:v>
                </c:pt>
                <c:pt idx="78">
                  <c:v>-2.5495219241230744</c:v>
                </c:pt>
                <c:pt idx="79">
                  <c:v>1.25538371897844</c:v>
                </c:pt>
                <c:pt idx="80">
                  <c:v>0.15144237565765234</c:v>
                </c:pt>
                <c:pt idx="81">
                  <c:v>-1.5694713220554513</c:v>
                </c:pt>
                <c:pt idx="82">
                  <c:v>2.8726050802935226</c:v>
                </c:pt>
                <c:pt idx="83">
                  <c:v>0.7620068467785428</c:v>
                </c:pt>
                <c:pt idx="84">
                  <c:v>-6.8910412744949023E-2</c:v>
                </c:pt>
                <c:pt idx="85">
                  <c:v>1.0966980122589558</c:v>
                </c:pt>
                <c:pt idx="86">
                  <c:v>1.4390453399080665</c:v>
                </c:pt>
                <c:pt idx="87">
                  <c:v>1.7083365347036588</c:v>
                </c:pt>
                <c:pt idx="88">
                  <c:v>-0.55370706773386735</c:v>
                </c:pt>
                <c:pt idx="89">
                  <c:v>0.36252501134504866</c:v>
                </c:pt>
                <c:pt idx="90">
                  <c:v>-9.7030623362689861E-2</c:v>
                </c:pt>
                <c:pt idx="91">
                  <c:v>0.9291224930198605</c:v>
                </c:pt>
                <c:pt idx="92">
                  <c:v>-0.69267199372091059</c:v>
                </c:pt>
                <c:pt idx="93">
                  <c:v>0.97007334474104268</c:v>
                </c:pt>
                <c:pt idx="94">
                  <c:v>0.29042316967642767</c:v>
                </c:pt>
                <c:pt idx="95">
                  <c:v>0.98395205284563692</c:v>
                </c:pt>
                <c:pt idx="96">
                  <c:v>-0.21258502955189051</c:v>
                </c:pt>
                <c:pt idx="97">
                  <c:v>0.3624005613128547</c:v>
                </c:pt>
                <c:pt idx="98">
                  <c:v>1.7917894194360033</c:v>
                </c:pt>
                <c:pt idx="99">
                  <c:v>1.4332659607855676</c:v>
                </c:pt>
                <c:pt idx="100">
                  <c:v>-0.34747347901877423</c:v>
                </c:pt>
                <c:pt idx="101">
                  <c:v>1.0509078496275208</c:v>
                </c:pt>
                <c:pt idx="102">
                  <c:v>-0.5032599222096783</c:v>
                </c:pt>
                <c:pt idx="103">
                  <c:v>1.8500135690270099</c:v>
                </c:pt>
                <c:pt idx="104">
                  <c:v>0.13655673184840644</c:v>
                </c:pt>
                <c:pt idx="105">
                  <c:v>-6.795567402369862E-2</c:v>
                </c:pt>
                <c:pt idx="106">
                  <c:v>0.34434855708324141</c:v>
                </c:pt>
                <c:pt idx="107">
                  <c:v>-0.33701833882375887</c:v>
                </c:pt>
                <c:pt idx="108">
                  <c:v>1.0107813422056435</c:v>
                </c:pt>
                <c:pt idx="109">
                  <c:v>0.8415727174245784</c:v>
                </c:pt>
                <c:pt idx="110">
                  <c:v>-1.3331098322012747</c:v>
                </c:pt>
                <c:pt idx="111">
                  <c:v>0.67733774956529791</c:v>
                </c:pt>
                <c:pt idx="112">
                  <c:v>-0.52304377974267524</c:v>
                </c:pt>
                <c:pt idx="113">
                  <c:v>0.30202430755168852</c:v>
                </c:pt>
                <c:pt idx="114">
                  <c:v>0.59932023651369759</c:v>
                </c:pt>
                <c:pt idx="115">
                  <c:v>-0.9122899456934136</c:v>
                </c:pt>
                <c:pt idx="116">
                  <c:v>0.19551632966193824</c:v>
                </c:pt>
                <c:pt idx="117">
                  <c:v>-1.4025611489795691</c:v>
                </c:pt>
                <c:pt idx="118">
                  <c:v>0.11720066648003691</c:v>
                </c:pt>
                <c:pt idx="119">
                  <c:v>0.34306838636564541</c:v>
                </c:pt>
                <c:pt idx="120">
                  <c:v>0.14974665159032363</c:v>
                </c:pt>
                <c:pt idx="121">
                  <c:v>0.69586042270466053</c:v>
                </c:pt>
                <c:pt idx="122">
                  <c:v>1.1244254573903762</c:v>
                </c:pt>
                <c:pt idx="123">
                  <c:v>2.599231873448149E-2</c:v>
                </c:pt>
                <c:pt idx="124">
                  <c:v>0.13355456355694417</c:v>
                </c:pt>
                <c:pt idx="125">
                  <c:v>0.60158516574626419</c:v>
                </c:pt>
                <c:pt idx="126">
                  <c:v>-0.25112904057503671</c:v>
                </c:pt>
                <c:pt idx="127">
                  <c:v>-0.62327502316533434</c:v>
                </c:pt>
                <c:pt idx="128">
                  <c:v>-0.76047128586372326</c:v>
                </c:pt>
                <c:pt idx="129">
                  <c:v>0.63351472753035543</c:v>
                </c:pt>
                <c:pt idx="130">
                  <c:v>1.0367576065757529</c:v>
                </c:pt>
                <c:pt idx="131">
                  <c:v>-0.70172054031598774</c:v>
                </c:pt>
                <c:pt idx="132">
                  <c:v>1.6257551823792207</c:v>
                </c:pt>
                <c:pt idx="133">
                  <c:v>-0.95321535175221006</c:v>
                </c:pt>
                <c:pt idx="134">
                  <c:v>-1.6745730690717129</c:v>
                </c:pt>
                <c:pt idx="135">
                  <c:v>-0.5496223062162835</c:v>
                </c:pt>
                <c:pt idx="136">
                  <c:v>1.8402984139471232</c:v>
                </c:pt>
                <c:pt idx="137">
                  <c:v>0.40993194619116058</c:v>
                </c:pt>
                <c:pt idx="138">
                  <c:v>1.6114951969074314</c:v>
                </c:pt>
                <c:pt idx="139">
                  <c:v>-0.22978493640532899</c:v>
                </c:pt>
                <c:pt idx="140">
                  <c:v>0.64769844102283869</c:v>
                </c:pt>
                <c:pt idx="141">
                  <c:v>1.716974134245262</c:v>
                </c:pt>
                <c:pt idx="142">
                  <c:v>-0.21977557935061359</c:v>
                </c:pt>
                <c:pt idx="143">
                  <c:v>4.2845868952474331E-2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1DE-E748-9DBB-4172E02994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5683824"/>
        <c:axId val="702489792"/>
      </c:scatterChart>
      <c:valAx>
        <c:axId val="7456838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IG Credit Spread (%)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702489792"/>
        <c:crosses val="autoZero"/>
        <c:crossBetween val="midCat"/>
      </c:valAx>
      <c:valAx>
        <c:axId val="7024897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45683824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IG Credit Spread (%)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Asset Returns (%)</c:v>
          </c:tx>
          <c:spPr>
            <a:ln w="19050">
              <a:noFill/>
            </a:ln>
          </c:spPr>
          <c:xVal>
            <c:numRef>
              <c:f>Data!$W$2:$W$145</c:f>
              <c:numCache>
                <c:formatCode>0.0000</c:formatCode>
                <c:ptCount val="144"/>
                <c:pt idx="0">
                  <c:v>-5.1387194346069833</c:v>
                </c:pt>
                <c:pt idx="1">
                  <c:v>2.3484491421995508</c:v>
                </c:pt>
                <c:pt idx="2">
                  <c:v>-0.92319478819390199</c:v>
                </c:pt>
                <c:pt idx="3">
                  <c:v>0.82434767702086331</c:v>
                </c:pt>
                <c:pt idx="4">
                  <c:v>2.0252115715454142</c:v>
                </c:pt>
                <c:pt idx="5">
                  <c:v>-1.4083021680096535</c:v>
                </c:pt>
                <c:pt idx="6">
                  <c:v>-0.89531690384682072</c:v>
                </c:pt>
                <c:pt idx="7">
                  <c:v>2.0846292055168538</c:v>
                </c:pt>
                <c:pt idx="8">
                  <c:v>0.18815829103602541</c:v>
                </c:pt>
                <c:pt idx="9">
                  <c:v>-0.30403984882426438</c:v>
                </c:pt>
                <c:pt idx="10">
                  <c:v>1.2224064307019109</c:v>
                </c:pt>
                <c:pt idx="11">
                  <c:v>1.1188106566869516</c:v>
                </c:pt>
                <c:pt idx="12">
                  <c:v>-0.39386738542473537</c:v>
                </c:pt>
                <c:pt idx="13">
                  <c:v>0.23199314515441699</c:v>
                </c:pt>
                <c:pt idx="14">
                  <c:v>3.0510319131719719</c:v>
                </c:pt>
                <c:pt idx="15">
                  <c:v>-0.57569475557887417</c:v>
                </c:pt>
                <c:pt idx="16">
                  <c:v>0.34508593485068878</c:v>
                </c:pt>
                <c:pt idx="17">
                  <c:v>2.4668637873530348</c:v>
                </c:pt>
                <c:pt idx="18">
                  <c:v>1.3828982966028573</c:v>
                </c:pt>
                <c:pt idx="19">
                  <c:v>5.9348906527047323</c:v>
                </c:pt>
                <c:pt idx="20">
                  <c:v>-3.7396932352934624</c:v>
                </c:pt>
                <c:pt idx="21">
                  <c:v>1.0994857308880885</c:v>
                </c:pt>
                <c:pt idx="22">
                  <c:v>-2.3264834455409638</c:v>
                </c:pt>
                <c:pt idx="23">
                  <c:v>0.27399978476401698</c:v>
                </c:pt>
                <c:pt idx="24">
                  <c:v>-3.7708043023703515</c:v>
                </c:pt>
                <c:pt idx="25">
                  <c:v>2.4312561086316236</c:v>
                </c:pt>
                <c:pt idx="26">
                  <c:v>-2.163876747359093</c:v>
                </c:pt>
                <c:pt idx="27">
                  <c:v>0.5025858772171532</c:v>
                </c:pt>
                <c:pt idx="28">
                  <c:v>1.5012701524955124E-2</c:v>
                </c:pt>
                <c:pt idx="29">
                  <c:v>2.0734306549589543</c:v>
                </c:pt>
                <c:pt idx="30">
                  <c:v>-1.4165022256805997</c:v>
                </c:pt>
                <c:pt idx="31">
                  <c:v>0.66815720708482551</c:v>
                </c:pt>
                <c:pt idx="32">
                  <c:v>-0.80775400785913054</c:v>
                </c:pt>
                <c:pt idx="33">
                  <c:v>3.5954167685518694</c:v>
                </c:pt>
                <c:pt idx="34">
                  <c:v>0.91190414214845739</c:v>
                </c:pt>
                <c:pt idx="35">
                  <c:v>0.85468808124803441</c:v>
                </c:pt>
                <c:pt idx="36">
                  <c:v>3.5664770305249829</c:v>
                </c:pt>
                <c:pt idx="37">
                  <c:v>5.0465169683722939</c:v>
                </c:pt>
                <c:pt idx="38">
                  <c:v>3.4210472846484357</c:v>
                </c:pt>
                <c:pt idx="39">
                  <c:v>-1.9050206096671818</c:v>
                </c:pt>
                <c:pt idx="40">
                  <c:v>-4.4556526959210885</c:v>
                </c:pt>
                <c:pt idx="41">
                  <c:v>-1.6600067055434231</c:v>
                </c:pt>
                <c:pt idx="42">
                  <c:v>2.9503559863160107</c:v>
                </c:pt>
                <c:pt idx="43">
                  <c:v>-1.5202579266307075</c:v>
                </c:pt>
                <c:pt idx="44">
                  <c:v>2.6350509941130018</c:v>
                </c:pt>
                <c:pt idx="45">
                  <c:v>-0.17390455263532517</c:v>
                </c:pt>
                <c:pt idx="46">
                  <c:v>0.72625925846252182</c:v>
                </c:pt>
                <c:pt idx="47">
                  <c:v>1.5534992085354618</c:v>
                </c:pt>
                <c:pt idx="48">
                  <c:v>-1.3128763768352263</c:v>
                </c:pt>
                <c:pt idx="49">
                  <c:v>1.0235515044919676</c:v>
                </c:pt>
                <c:pt idx="50">
                  <c:v>0.87915557139737288</c:v>
                </c:pt>
                <c:pt idx="51">
                  <c:v>-2.0519560737810645</c:v>
                </c:pt>
                <c:pt idx="52">
                  <c:v>0.34628136161819018</c:v>
                </c:pt>
                <c:pt idx="53">
                  <c:v>-0.35419358995709715</c:v>
                </c:pt>
                <c:pt idx="54">
                  <c:v>1.858001601839639</c:v>
                </c:pt>
                <c:pt idx="55">
                  <c:v>-0.8877688063153264</c:v>
                </c:pt>
                <c:pt idx="56">
                  <c:v>-1.3769514272096248</c:v>
                </c:pt>
                <c:pt idx="57">
                  <c:v>0.20136749777207796</c:v>
                </c:pt>
                <c:pt idx="58">
                  <c:v>0.12731740286215751</c:v>
                </c:pt>
                <c:pt idx="59">
                  <c:v>-0.371473926792939</c:v>
                </c:pt>
                <c:pt idx="60">
                  <c:v>-0.41320150136606915</c:v>
                </c:pt>
                <c:pt idx="61">
                  <c:v>0.2551971584802315</c:v>
                </c:pt>
                <c:pt idx="62">
                  <c:v>0.54532839444733927</c:v>
                </c:pt>
                <c:pt idx="63">
                  <c:v>-1.1987084485525838</c:v>
                </c:pt>
                <c:pt idx="64">
                  <c:v>0.20365796077345244</c:v>
                </c:pt>
                <c:pt idx="65">
                  <c:v>-2.1905269483508447</c:v>
                </c:pt>
                <c:pt idx="66">
                  <c:v>1.357859374712971</c:v>
                </c:pt>
                <c:pt idx="67">
                  <c:v>1.0678641457547986</c:v>
                </c:pt>
                <c:pt idx="68">
                  <c:v>-4.062169850005945E-3</c:v>
                </c:pt>
                <c:pt idx="69">
                  <c:v>-0.25340601070870289</c:v>
                </c:pt>
                <c:pt idx="70">
                  <c:v>-0.20371933742089599</c:v>
                </c:pt>
                <c:pt idx="71">
                  <c:v>-6.8036926882462212E-2</c:v>
                </c:pt>
                <c:pt idx="72">
                  <c:v>3.0998066900760599</c:v>
                </c:pt>
                <c:pt idx="73">
                  <c:v>-1.5756409548922983</c:v>
                </c:pt>
                <c:pt idx="74">
                  <c:v>-6.5893968100260576</c:v>
                </c:pt>
                <c:pt idx="75">
                  <c:v>7.3665586735762902</c:v>
                </c:pt>
                <c:pt idx="76">
                  <c:v>1.0916617932992878</c:v>
                </c:pt>
                <c:pt idx="77">
                  <c:v>1.0163751457846373</c:v>
                </c:pt>
                <c:pt idx="78">
                  <c:v>2.1435700279400138</c:v>
                </c:pt>
                <c:pt idx="79">
                  <c:v>-1.204767361587278</c:v>
                </c:pt>
                <c:pt idx="80">
                  <c:v>-1.9469169716171044E-3</c:v>
                </c:pt>
                <c:pt idx="81">
                  <c:v>0.28979934223811843</c:v>
                </c:pt>
                <c:pt idx="82">
                  <c:v>2.3639052440224098</c:v>
                </c:pt>
                <c:pt idx="83">
                  <c:v>1.5490140567033936</c:v>
                </c:pt>
                <c:pt idx="84">
                  <c:v>-1.6477775578392471</c:v>
                </c:pt>
                <c:pt idx="85">
                  <c:v>-3.4798493915758022</c:v>
                </c:pt>
                <c:pt idx="86">
                  <c:v>1.7190145145590065E-2</c:v>
                </c:pt>
                <c:pt idx="87">
                  <c:v>0.3804319559628988</c:v>
                </c:pt>
                <c:pt idx="88">
                  <c:v>0.31001431749484604</c:v>
                </c:pt>
                <c:pt idx="89">
                  <c:v>0.85502216530240871</c:v>
                </c:pt>
                <c:pt idx="90">
                  <c:v>1.6132309956574875</c:v>
                </c:pt>
                <c:pt idx="91">
                  <c:v>-0.22870458134476115</c:v>
                </c:pt>
                <c:pt idx="92">
                  <c:v>-2.8087660797989829</c:v>
                </c:pt>
                <c:pt idx="93">
                  <c:v>0.69722145982741013</c:v>
                </c:pt>
                <c:pt idx="94">
                  <c:v>0.99547551042253035</c:v>
                </c:pt>
                <c:pt idx="95">
                  <c:v>-1.12353903746557</c:v>
                </c:pt>
                <c:pt idx="96">
                  <c:v>-4.0342794589013895</c:v>
                </c:pt>
                <c:pt idx="97">
                  <c:v>-3.1651689144312303</c:v>
                </c:pt>
                <c:pt idx="98">
                  <c:v>0.13326767049501004</c:v>
                </c:pt>
                <c:pt idx="99">
                  <c:v>-3.8653528730622675</c:v>
                </c:pt>
                <c:pt idx="100">
                  <c:v>-1.556403524525015</c:v>
                </c:pt>
                <c:pt idx="101">
                  <c:v>-3.4565692008015478</c:v>
                </c:pt>
                <c:pt idx="102">
                  <c:v>4.373127894277208</c:v>
                </c:pt>
                <c:pt idx="103">
                  <c:v>-8.1411935429504894</c:v>
                </c:pt>
                <c:pt idx="104">
                  <c:v>-9.1415438687040886</c:v>
                </c:pt>
                <c:pt idx="105">
                  <c:v>4.9981561061963475</c:v>
                </c:pt>
                <c:pt idx="106">
                  <c:v>3.7315693621188237</c:v>
                </c:pt>
                <c:pt idx="107">
                  <c:v>-1.6930601373866518</c:v>
                </c:pt>
                <c:pt idx="108">
                  <c:v>3.2693974797429637</c:v>
                </c:pt>
                <c:pt idx="109">
                  <c:v>-3.4044713219137206</c:v>
                </c:pt>
                <c:pt idx="110">
                  <c:v>1.1229372544900045</c:v>
                </c:pt>
                <c:pt idx="111">
                  <c:v>-4.5251950847142508E-2</c:v>
                </c:pt>
                <c:pt idx="112">
                  <c:v>-3.2207902839867755</c:v>
                </c:pt>
                <c:pt idx="113">
                  <c:v>-1.5304704600210068</c:v>
                </c:pt>
                <c:pt idx="114">
                  <c:v>2.0217015238879137</c:v>
                </c:pt>
                <c:pt idx="115">
                  <c:v>-0.73548575994241516</c:v>
                </c:pt>
                <c:pt idx="116">
                  <c:v>-0.41335762746622851</c:v>
                </c:pt>
                <c:pt idx="117">
                  <c:v>-0.46656124638286833</c:v>
                </c:pt>
                <c:pt idx="118">
                  <c:v>3.4138089910941942</c:v>
                </c:pt>
                <c:pt idx="119">
                  <c:v>4.4012225363925044</c:v>
                </c:pt>
                <c:pt idx="120">
                  <c:v>-1.5196917747234271</c:v>
                </c:pt>
                <c:pt idx="121">
                  <c:v>-1.062073375074631</c:v>
                </c:pt>
                <c:pt idx="122">
                  <c:v>1.477489362217179</c:v>
                </c:pt>
                <c:pt idx="123">
                  <c:v>-2.3781283099238917</c:v>
                </c:pt>
                <c:pt idx="124">
                  <c:v>0.47811004572060589</c:v>
                </c:pt>
                <c:pt idx="125">
                  <c:v>0.44551959930867541</c:v>
                </c:pt>
                <c:pt idx="126">
                  <c:v>1.3614075313738643</c:v>
                </c:pt>
                <c:pt idx="127">
                  <c:v>-7.7650136808625758E-3</c:v>
                </c:pt>
                <c:pt idx="128">
                  <c:v>-0.12972116439056908</c:v>
                </c:pt>
                <c:pt idx="129">
                  <c:v>-1.6695833580904584</c:v>
                </c:pt>
                <c:pt idx="130">
                  <c:v>1.4530967525660716</c:v>
                </c:pt>
                <c:pt idx="131">
                  <c:v>-0.78143310266141697</c:v>
                </c:pt>
                <c:pt idx="132">
                  <c:v>0.34908255979636738</c:v>
                </c:pt>
                <c:pt idx="133">
                  <c:v>0.13535969057984193</c:v>
                </c:pt>
                <c:pt idx="134">
                  <c:v>-1.8716624465378884</c:v>
                </c:pt>
                <c:pt idx="135">
                  <c:v>1.2656565827966442</c:v>
                </c:pt>
                <c:pt idx="136">
                  <c:v>-0.42014204580768427</c:v>
                </c:pt>
                <c:pt idx="137">
                  <c:v>1.4055246320234833</c:v>
                </c:pt>
                <c:pt idx="138">
                  <c:v>-2.3798636141916241E-2</c:v>
                </c:pt>
                <c:pt idx="139">
                  <c:v>-0.94564972218921284</c:v>
                </c:pt>
                <c:pt idx="140">
                  <c:v>0.73546966098117694</c:v>
                </c:pt>
                <c:pt idx="141">
                  <c:v>1.7116922764778253</c:v>
                </c:pt>
                <c:pt idx="142">
                  <c:v>-0.26362362275971585</c:v>
                </c:pt>
                <c:pt idx="143">
                  <c:v>0.22777557059858333</c:v>
                </c:pt>
              </c:numCache>
            </c:numRef>
          </c:xVal>
          <c:yVal>
            <c:numRef>
              <c:f>Data!$O$2:$O$145</c:f>
              <c:numCache>
                <c:formatCode>0.0000</c:formatCode>
                <c:ptCount val="144"/>
                <c:pt idx="0">
                  <c:v>-3.1231512210139143</c:v>
                </c:pt>
                <c:pt idx="1">
                  <c:v>3.4388141552305238</c:v>
                </c:pt>
                <c:pt idx="2">
                  <c:v>-1.8423176925388944</c:v>
                </c:pt>
                <c:pt idx="3">
                  <c:v>0.76476526172699799</c:v>
                </c:pt>
                <c:pt idx="4">
                  <c:v>2.8438546235537174</c:v>
                </c:pt>
                <c:pt idx="5">
                  <c:v>-0.40587403799491967</c:v>
                </c:pt>
                <c:pt idx="6">
                  <c:v>0.39463790345239053</c:v>
                </c:pt>
                <c:pt idx="7">
                  <c:v>-0.84486748191592764</c:v>
                </c:pt>
                <c:pt idx="8">
                  <c:v>2.1320616401803507</c:v>
                </c:pt>
                <c:pt idx="9">
                  <c:v>-0.42414010254649709</c:v>
                </c:pt>
                <c:pt idx="10">
                  <c:v>0.74520035393408268</c:v>
                </c:pt>
                <c:pt idx="11">
                  <c:v>1.3893836371301047</c:v>
                </c:pt>
                <c:pt idx="12">
                  <c:v>-0.15960421366991845</c:v>
                </c:pt>
                <c:pt idx="13">
                  <c:v>2.1744398396726858E-3</c:v>
                </c:pt>
                <c:pt idx="14">
                  <c:v>2.1528110708148573</c:v>
                </c:pt>
                <c:pt idx="15">
                  <c:v>-0.63321922178810008</c:v>
                </c:pt>
                <c:pt idx="16">
                  <c:v>0.54311279831289316</c:v>
                </c:pt>
                <c:pt idx="17">
                  <c:v>2.6535892327475388</c:v>
                </c:pt>
                <c:pt idx="18">
                  <c:v>-0.18651939975316809</c:v>
                </c:pt>
                <c:pt idx="19">
                  <c:v>2.4047017706743326</c:v>
                </c:pt>
                <c:pt idx="20">
                  <c:v>0.8220675256694463</c:v>
                </c:pt>
                <c:pt idx="21">
                  <c:v>0.79790760681101336</c:v>
                </c:pt>
                <c:pt idx="22">
                  <c:v>-0.23417506109101072</c:v>
                </c:pt>
                <c:pt idx="23">
                  <c:v>0.44906329589973976</c:v>
                </c:pt>
                <c:pt idx="24">
                  <c:v>-3.3442885744124804</c:v>
                </c:pt>
                <c:pt idx="25">
                  <c:v>1.9551601207275044</c:v>
                </c:pt>
                <c:pt idx="26">
                  <c:v>-2.9682787226250409</c:v>
                </c:pt>
                <c:pt idx="27">
                  <c:v>-0.94912629185626851</c:v>
                </c:pt>
                <c:pt idx="28">
                  <c:v>2.683391280512204</c:v>
                </c:pt>
                <c:pt idx="29">
                  <c:v>1.084910181769061</c:v>
                </c:pt>
                <c:pt idx="30">
                  <c:v>-0.60205936122706527</c:v>
                </c:pt>
                <c:pt idx="31">
                  <c:v>-1.3845334693391671</c:v>
                </c:pt>
                <c:pt idx="32">
                  <c:v>0.51269214936388086</c:v>
                </c:pt>
                <c:pt idx="33">
                  <c:v>2.1127325139720563</c:v>
                </c:pt>
                <c:pt idx="34">
                  <c:v>0.44664249623499269</c:v>
                </c:pt>
                <c:pt idx="35">
                  <c:v>0.80909571022157933</c:v>
                </c:pt>
                <c:pt idx="36">
                  <c:v>3.3950819422879635</c:v>
                </c:pt>
                <c:pt idx="37">
                  <c:v>3.1095108983661892</c:v>
                </c:pt>
                <c:pt idx="38">
                  <c:v>1.5752476292840976</c:v>
                </c:pt>
                <c:pt idx="39">
                  <c:v>0.3941440510082177</c:v>
                </c:pt>
                <c:pt idx="40">
                  <c:v>0.29248739326307094</c:v>
                </c:pt>
                <c:pt idx="41">
                  <c:v>-0.93339874585644023</c:v>
                </c:pt>
                <c:pt idx="42">
                  <c:v>2.8609360739223297</c:v>
                </c:pt>
                <c:pt idx="43">
                  <c:v>-0.44945692130845749</c:v>
                </c:pt>
                <c:pt idx="44">
                  <c:v>2.5257042870557784</c:v>
                </c:pt>
                <c:pt idx="45">
                  <c:v>0.32195109833132546</c:v>
                </c:pt>
                <c:pt idx="46">
                  <c:v>-0.38364685529762182</c:v>
                </c:pt>
                <c:pt idx="47">
                  <c:v>1.8101887790863302</c:v>
                </c:pt>
                <c:pt idx="48">
                  <c:v>-0.8739297602339734</c:v>
                </c:pt>
                <c:pt idx="49">
                  <c:v>0.77913542886387466</c:v>
                </c:pt>
                <c:pt idx="50">
                  <c:v>1.1252408849651883</c:v>
                </c:pt>
                <c:pt idx="51">
                  <c:v>-1.0801430002995103</c:v>
                </c:pt>
                <c:pt idx="52">
                  <c:v>1.2933080083597004</c:v>
                </c:pt>
                <c:pt idx="53">
                  <c:v>-0.34952011853591453</c:v>
                </c:pt>
                <c:pt idx="54">
                  <c:v>2.1937669383125291</c:v>
                </c:pt>
                <c:pt idx="55">
                  <c:v>-0.70844610563042631</c:v>
                </c:pt>
                <c:pt idx="56">
                  <c:v>-1.1425691586862545</c:v>
                </c:pt>
                <c:pt idx="57">
                  <c:v>-1.4912303020014905</c:v>
                </c:pt>
                <c:pt idx="58">
                  <c:v>2.4711222871909655</c:v>
                </c:pt>
                <c:pt idx="59">
                  <c:v>1.5632378548125487</c:v>
                </c:pt>
                <c:pt idx="60">
                  <c:v>0.17050584189129772</c:v>
                </c:pt>
                <c:pt idx="61">
                  <c:v>1.3282751471537555</c:v>
                </c:pt>
                <c:pt idx="62">
                  <c:v>1.3361896540353232E-2</c:v>
                </c:pt>
                <c:pt idx="63">
                  <c:v>4.5162099813618559E-2</c:v>
                </c:pt>
                <c:pt idx="64">
                  <c:v>-2.5280472836281653</c:v>
                </c:pt>
                <c:pt idx="65">
                  <c:v>-0.85098504001589137</c:v>
                </c:pt>
                <c:pt idx="66">
                  <c:v>-2.5046976641667626</c:v>
                </c:pt>
                <c:pt idx="67">
                  <c:v>-1.2793531068196276</c:v>
                </c:pt>
                <c:pt idx="68">
                  <c:v>1.3201728926043841</c:v>
                </c:pt>
                <c:pt idx="69">
                  <c:v>-0.83998798555617005</c:v>
                </c:pt>
                <c:pt idx="70">
                  <c:v>1.3072997744824202</c:v>
                </c:pt>
                <c:pt idx="71">
                  <c:v>0.79930043255834871</c:v>
                </c:pt>
                <c:pt idx="72">
                  <c:v>-2.1093949631446327E-2</c:v>
                </c:pt>
                <c:pt idx="73">
                  <c:v>-4.1526948243374111</c:v>
                </c:pt>
                <c:pt idx="74">
                  <c:v>-7.0047284893671877</c:v>
                </c:pt>
                <c:pt idx="75">
                  <c:v>4.5018822436456931</c:v>
                </c:pt>
                <c:pt idx="76">
                  <c:v>2.7070180675265525</c:v>
                </c:pt>
                <c:pt idx="77">
                  <c:v>1.4570599695124704</c:v>
                </c:pt>
                <c:pt idx="78">
                  <c:v>-0.45287219230992509</c:v>
                </c:pt>
                <c:pt idx="79">
                  <c:v>1.4746501612318974</c:v>
                </c:pt>
                <c:pt idx="80">
                  <c:v>-0.32059917407416511</c:v>
                </c:pt>
                <c:pt idx="81">
                  <c:v>-1.9001782009329338</c:v>
                </c:pt>
                <c:pt idx="82">
                  <c:v>5.5867022964527608</c:v>
                </c:pt>
                <c:pt idx="83">
                  <c:v>1.8519535193189707</c:v>
                </c:pt>
                <c:pt idx="84">
                  <c:v>-0.72114034769675106</c:v>
                </c:pt>
                <c:pt idx="85">
                  <c:v>-2.8872892422191813E-2</c:v>
                </c:pt>
                <c:pt idx="86">
                  <c:v>2.1554149374730458</c:v>
                </c:pt>
                <c:pt idx="87">
                  <c:v>2.3109716137805942</c:v>
                </c:pt>
                <c:pt idx="88">
                  <c:v>0.25176219913533959</c:v>
                </c:pt>
                <c:pt idx="89">
                  <c:v>1.1935119946777377</c:v>
                </c:pt>
                <c:pt idx="90">
                  <c:v>1.088562294937061</c:v>
                </c:pt>
                <c:pt idx="91">
                  <c:v>1.4799167353491935</c:v>
                </c:pt>
                <c:pt idx="92">
                  <c:v>-1.3312319193447704</c:v>
                </c:pt>
                <c:pt idx="93">
                  <c:v>1.7130121087748451</c:v>
                </c:pt>
                <c:pt idx="94">
                  <c:v>0.3416951439283733</c:v>
                </c:pt>
                <c:pt idx="95">
                  <c:v>1.3592930931331151</c:v>
                </c:pt>
                <c:pt idx="96">
                  <c:v>-2.2568118607420633</c:v>
                </c:pt>
                <c:pt idx="97">
                  <c:v>-1.1072210028407516</c:v>
                </c:pt>
                <c:pt idx="98">
                  <c:v>1.9965489332311821</c:v>
                </c:pt>
                <c:pt idx="99">
                  <c:v>-1.7163787658669345</c:v>
                </c:pt>
                <c:pt idx="100">
                  <c:v>-0.82038765576752415</c:v>
                </c:pt>
                <c:pt idx="101">
                  <c:v>-3.6875242113072275</c:v>
                </c:pt>
                <c:pt idx="102">
                  <c:v>3.8214888861569447</c:v>
                </c:pt>
                <c:pt idx="103">
                  <c:v>-1.8267949190726551</c:v>
                </c:pt>
                <c:pt idx="104">
                  <c:v>-4.6868598995851904</c:v>
                </c:pt>
                <c:pt idx="105">
                  <c:v>2.2441569439350513</c:v>
                </c:pt>
                <c:pt idx="106">
                  <c:v>2.5198681337412903</c:v>
                </c:pt>
                <c:pt idx="107">
                  <c:v>-1.3850399013585131</c:v>
                </c:pt>
                <c:pt idx="108">
                  <c:v>3.0698713827378343</c:v>
                </c:pt>
                <c:pt idx="109">
                  <c:v>-0.16023377056929605</c:v>
                </c:pt>
                <c:pt idx="110">
                  <c:v>-0.25809067214290327</c:v>
                </c:pt>
                <c:pt idx="111">
                  <c:v>0.94080499762717185</c:v>
                </c:pt>
                <c:pt idx="112">
                  <c:v>-1.4816122688402813</c:v>
                </c:pt>
                <c:pt idx="113">
                  <c:v>0.76715041455256716</c:v>
                </c:pt>
                <c:pt idx="114">
                  <c:v>1.9636320377819911</c:v>
                </c:pt>
                <c:pt idx="115">
                  <c:v>-0.62523746935851443</c:v>
                </c:pt>
                <c:pt idx="116">
                  <c:v>0.27937046819359035</c:v>
                </c:pt>
                <c:pt idx="117">
                  <c:v>-1.7024670003016547</c:v>
                </c:pt>
                <c:pt idx="118">
                  <c:v>3.1666873562985165</c:v>
                </c:pt>
                <c:pt idx="119">
                  <c:v>3.580071379617352</c:v>
                </c:pt>
                <c:pt idx="120">
                  <c:v>5.5182858323510636E-2</c:v>
                </c:pt>
                <c:pt idx="121">
                  <c:v>0.8173714702258239</c:v>
                </c:pt>
                <c:pt idx="122">
                  <c:v>2.5343167951715437</c:v>
                </c:pt>
                <c:pt idx="123">
                  <c:v>-0.49649597275839152</c:v>
                </c:pt>
                <c:pt idx="124">
                  <c:v>1.1573512190828252</c:v>
                </c:pt>
                <c:pt idx="125">
                  <c:v>1.1607317321410837</c:v>
                </c:pt>
                <c:pt idx="126">
                  <c:v>0.98384974618307341</c:v>
                </c:pt>
                <c:pt idx="127">
                  <c:v>0.20128346879376346</c:v>
                </c:pt>
                <c:pt idx="128">
                  <c:v>6.2862567183433013E-2</c:v>
                </c:pt>
                <c:pt idx="129">
                  <c:v>1.5244628300109645E-2</c:v>
                </c:pt>
                <c:pt idx="130">
                  <c:v>2.5118747000438195</c:v>
                </c:pt>
                <c:pt idx="131">
                  <c:v>-0.73047275946122014</c:v>
                </c:pt>
                <c:pt idx="132">
                  <c:v>2.664630651168546</c:v>
                </c:pt>
                <c:pt idx="133">
                  <c:v>-0.63980558944311527</c:v>
                </c:pt>
                <c:pt idx="134">
                  <c:v>-2.5680570998352561</c:v>
                </c:pt>
                <c:pt idx="135">
                  <c:v>-0.12574664360828455</c:v>
                </c:pt>
                <c:pt idx="136">
                  <c:v>2.3878145236429944</c:v>
                </c:pt>
                <c:pt idx="137">
                  <c:v>1.3006576888791135</c:v>
                </c:pt>
                <c:pt idx="138">
                  <c:v>2.3644571963769208</c:v>
                </c:pt>
                <c:pt idx="139">
                  <c:v>-3.7635693365227305E-2</c:v>
                </c:pt>
                <c:pt idx="140">
                  <c:v>1.5120608050198472</c:v>
                </c:pt>
                <c:pt idx="141">
                  <c:v>2.6303236664701828</c:v>
                </c:pt>
                <c:pt idx="142">
                  <c:v>6.4450144874432388E-2</c:v>
                </c:pt>
                <c:pt idx="143">
                  <c:v>0.64991632276644051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3AB-7B4C-92C7-DAB5E14345F4}"/>
            </c:ext>
          </c:extLst>
        </c:ser>
        <c:ser>
          <c:idx val="1"/>
          <c:order val="1"/>
          <c:tx>
            <c:v>Predicted Asset Returns (%)</c:v>
          </c:tx>
          <c:spPr>
            <a:ln w="19050">
              <a:noFill/>
            </a:ln>
          </c:spPr>
          <c:xVal>
            <c:numRef>
              <c:f>Data!$W$2:$W$145</c:f>
              <c:numCache>
                <c:formatCode>0.0000</c:formatCode>
                <c:ptCount val="144"/>
                <c:pt idx="0">
                  <c:v>-5.1387194346069833</c:v>
                </c:pt>
                <c:pt idx="1">
                  <c:v>2.3484491421995508</c:v>
                </c:pt>
                <c:pt idx="2">
                  <c:v>-0.92319478819390199</c:v>
                </c:pt>
                <c:pt idx="3">
                  <c:v>0.82434767702086331</c:v>
                </c:pt>
                <c:pt idx="4">
                  <c:v>2.0252115715454142</c:v>
                </c:pt>
                <c:pt idx="5">
                  <c:v>-1.4083021680096535</c:v>
                </c:pt>
                <c:pt idx="6">
                  <c:v>-0.89531690384682072</c:v>
                </c:pt>
                <c:pt idx="7">
                  <c:v>2.0846292055168538</c:v>
                </c:pt>
                <c:pt idx="8">
                  <c:v>0.18815829103602541</c:v>
                </c:pt>
                <c:pt idx="9">
                  <c:v>-0.30403984882426438</c:v>
                </c:pt>
                <c:pt idx="10">
                  <c:v>1.2224064307019109</c:v>
                </c:pt>
                <c:pt idx="11">
                  <c:v>1.1188106566869516</c:v>
                </c:pt>
                <c:pt idx="12">
                  <c:v>-0.39386738542473537</c:v>
                </c:pt>
                <c:pt idx="13">
                  <c:v>0.23199314515441699</c:v>
                </c:pt>
                <c:pt idx="14">
                  <c:v>3.0510319131719719</c:v>
                </c:pt>
                <c:pt idx="15">
                  <c:v>-0.57569475557887417</c:v>
                </c:pt>
                <c:pt idx="16">
                  <c:v>0.34508593485068878</c:v>
                </c:pt>
                <c:pt idx="17">
                  <c:v>2.4668637873530348</c:v>
                </c:pt>
                <c:pt idx="18">
                  <c:v>1.3828982966028573</c:v>
                </c:pt>
                <c:pt idx="19">
                  <c:v>5.9348906527047323</c:v>
                </c:pt>
                <c:pt idx="20">
                  <c:v>-3.7396932352934624</c:v>
                </c:pt>
                <c:pt idx="21">
                  <c:v>1.0994857308880885</c:v>
                </c:pt>
                <c:pt idx="22">
                  <c:v>-2.3264834455409638</c:v>
                </c:pt>
                <c:pt idx="23">
                  <c:v>0.27399978476401698</c:v>
                </c:pt>
                <c:pt idx="24">
                  <c:v>-3.7708043023703515</c:v>
                </c:pt>
                <c:pt idx="25">
                  <c:v>2.4312561086316236</c:v>
                </c:pt>
                <c:pt idx="26">
                  <c:v>-2.163876747359093</c:v>
                </c:pt>
                <c:pt idx="27">
                  <c:v>0.5025858772171532</c:v>
                </c:pt>
                <c:pt idx="28">
                  <c:v>1.5012701524955124E-2</c:v>
                </c:pt>
                <c:pt idx="29">
                  <c:v>2.0734306549589543</c:v>
                </c:pt>
                <c:pt idx="30">
                  <c:v>-1.4165022256805997</c:v>
                </c:pt>
                <c:pt idx="31">
                  <c:v>0.66815720708482551</c:v>
                </c:pt>
                <c:pt idx="32">
                  <c:v>-0.80775400785913054</c:v>
                </c:pt>
                <c:pt idx="33">
                  <c:v>3.5954167685518694</c:v>
                </c:pt>
                <c:pt idx="34">
                  <c:v>0.91190414214845739</c:v>
                </c:pt>
                <c:pt idx="35">
                  <c:v>0.85468808124803441</c:v>
                </c:pt>
                <c:pt idx="36">
                  <c:v>3.5664770305249829</c:v>
                </c:pt>
                <c:pt idx="37">
                  <c:v>5.0465169683722939</c:v>
                </c:pt>
                <c:pt idx="38">
                  <c:v>3.4210472846484357</c:v>
                </c:pt>
                <c:pt idx="39">
                  <c:v>-1.9050206096671818</c:v>
                </c:pt>
                <c:pt idx="40">
                  <c:v>-4.4556526959210885</c:v>
                </c:pt>
                <c:pt idx="41">
                  <c:v>-1.6600067055434231</c:v>
                </c:pt>
                <c:pt idx="42">
                  <c:v>2.9503559863160107</c:v>
                </c:pt>
                <c:pt idx="43">
                  <c:v>-1.5202579266307075</c:v>
                </c:pt>
                <c:pt idx="44">
                  <c:v>2.6350509941130018</c:v>
                </c:pt>
                <c:pt idx="45">
                  <c:v>-0.17390455263532517</c:v>
                </c:pt>
                <c:pt idx="46">
                  <c:v>0.72625925846252182</c:v>
                </c:pt>
                <c:pt idx="47">
                  <c:v>1.5534992085354618</c:v>
                </c:pt>
                <c:pt idx="48">
                  <c:v>-1.3128763768352263</c:v>
                </c:pt>
                <c:pt idx="49">
                  <c:v>1.0235515044919676</c:v>
                </c:pt>
                <c:pt idx="50">
                  <c:v>0.87915557139737288</c:v>
                </c:pt>
                <c:pt idx="51">
                  <c:v>-2.0519560737810645</c:v>
                </c:pt>
                <c:pt idx="52">
                  <c:v>0.34628136161819018</c:v>
                </c:pt>
                <c:pt idx="53">
                  <c:v>-0.35419358995709715</c:v>
                </c:pt>
                <c:pt idx="54">
                  <c:v>1.858001601839639</c:v>
                </c:pt>
                <c:pt idx="55">
                  <c:v>-0.8877688063153264</c:v>
                </c:pt>
                <c:pt idx="56">
                  <c:v>-1.3769514272096248</c:v>
                </c:pt>
                <c:pt idx="57">
                  <c:v>0.20136749777207796</c:v>
                </c:pt>
                <c:pt idx="58">
                  <c:v>0.12731740286215751</c:v>
                </c:pt>
                <c:pt idx="59">
                  <c:v>-0.371473926792939</c:v>
                </c:pt>
                <c:pt idx="60">
                  <c:v>-0.41320150136606915</c:v>
                </c:pt>
                <c:pt idx="61">
                  <c:v>0.2551971584802315</c:v>
                </c:pt>
                <c:pt idx="62">
                  <c:v>0.54532839444733927</c:v>
                </c:pt>
                <c:pt idx="63">
                  <c:v>-1.1987084485525838</c:v>
                </c:pt>
                <c:pt idx="64">
                  <c:v>0.20365796077345244</c:v>
                </c:pt>
                <c:pt idx="65">
                  <c:v>-2.1905269483508447</c:v>
                </c:pt>
                <c:pt idx="66">
                  <c:v>1.357859374712971</c:v>
                </c:pt>
                <c:pt idx="67">
                  <c:v>1.0678641457547986</c:v>
                </c:pt>
                <c:pt idx="68">
                  <c:v>-4.062169850005945E-3</c:v>
                </c:pt>
                <c:pt idx="69">
                  <c:v>-0.25340601070870289</c:v>
                </c:pt>
                <c:pt idx="70">
                  <c:v>-0.20371933742089599</c:v>
                </c:pt>
                <c:pt idx="71">
                  <c:v>-6.8036926882462212E-2</c:v>
                </c:pt>
                <c:pt idx="72">
                  <c:v>3.0998066900760599</c:v>
                </c:pt>
                <c:pt idx="73">
                  <c:v>-1.5756409548922983</c:v>
                </c:pt>
                <c:pt idx="74">
                  <c:v>-6.5893968100260576</c:v>
                </c:pt>
                <c:pt idx="75">
                  <c:v>7.3665586735762902</c:v>
                </c:pt>
                <c:pt idx="76">
                  <c:v>1.0916617932992878</c:v>
                </c:pt>
                <c:pt idx="77">
                  <c:v>1.0163751457846373</c:v>
                </c:pt>
                <c:pt idx="78">
                  <c:v>2.1435700279400138</c:v>
                </c:pt>
                <c:pt idx="79">
                  <c:v>-1.204767361587278</c:v>
                </c:pt>
                <c:pt idx="80">
                  <c:v>-1.9469169716171044E-3</c:v>
                </c:pt>
                <c:pt idx="81">
                  <c:v>0.28979934223811843</c:v>
                </c:pt>
                <c:pt idx="82">
                  <c:v>2.3639052440224098</c:v>
                </c:pt>
                <c:pt idx="83">
                  <c:v>1.5490140567033936</c:v>
                </c:pt>
                <c:pt idx="84">
                  <c:v>-1.6477775578392471</c:v>
                </c:pt>
                <c:pt idx="85">
                  <c:v>-3.4798493915758022</c:v>
                </c:pt>
                <c:pt idx="86">
                  <c:v>1.7190145145590065E-2</c:v>
                </c:pt>
                <c:pt idx="87">
                  <c:v>0.3804319559628988</c:v>
                </c:pt>
                <c:pt idx="88">
                  <c:v>0.31001431749484604</c:v>
                </c:pt>
                <c:pt idx="89">
                  <c:v>0.85502216530240871</c:v>
                </c:pt>
                <c:pt idx="90">
                  <c:v>1.6132309956574875</c:v>
                </c:pt>
                <c:pt idx="91">
                  <c:v>-0.22870458134476115</c:v>
                </c:pt>
                <c:pt idx="92">
                  <c:v>-2.8087660797989829</c:v>
                </c:pt>
                <c:pt idx="93">
                  <c:v>0.69722145982741013</c:v>
                </c:pt>
                <c:pt idx="94">
                  <c:v>0.99547551042253035</c:v>
                </c:pt>
                <c:pt idx="95">
                  <c:v>-1.12353903746557</c:v>
                </c:pt>
                <c:pt idx="96">
                  <c:v>-4.0342794589013895</c:v>
                </c:pt>
                <c:pt idx="97">
                  <c:v>-3.1651689144312303</c:v>
                </c:pt>
                <c:pt idx="98">
                  <c:v>0.13326767049501004</c:v>
                </c:pt>
                <c:pt idx="99">
                  <c:v>-3.8653528730622675</c:v>
                </c:pt>
                <c:pt idx="100">
                  <c:v>-1.556403524525015</c:v>
                </c:pt>
                <c:pt idx="101">
                  <c:v>-3.4565692008015478</c:v>
                </c:pt>
                <c:pt idx="102">
                  <c:v>4.373127894277208</c:v>
                </c:pt>
                <c:pt idx="103">
                  <c:v>-8.1411935429504894</c:v>
                </c:pt>
                <c:pt idx="104">
                  <c:v>-9.1415438687040886</c:v>
                </c:pt>
                <c:pt idx="105">
                  <c:v>4.9981561061963475</c:v>
                </c:pt>
                <c:pt idx="106">
                  <c:v>3.7315693621188237</c:v>
                </c:pt>
                <c:pt idx="107">
                  <c:v>-1.6930601373866518</c:v>
                </c:pt>
                <c:pt idx="108">
                  <c:v>3.2693974797429637</c:v>
                </c:pt>
                <c:pt idx="109">
                  <c:v>-3.4044713219137206</c:v>
                </c:pt>
                <c:pt idx="110">
                  <c:v>1.1229372544900045</c:v>
                </c:pt>
                <c:pt idx="111">
                  <c:v>-4.5251950847142508E-2</c:v>
                </c:pt>
                <c:pt idx="112">
                  <c:v>-3.2207902839867755</c:v>
                </c:pt>
                <c:pt idx="113">
                  <c:v>-1.5304704600210068</c:v>
                </c:pt>
                <c:pt idx="114">
                  <c:v>2.0217015238879137</c:v>
                </c:pt>
                <c:pt idx="115">
                  <c:v>-0.73548575994241516</c:v>
                </c:pt>
                <c:pt idx="116">
                  <c:v>-0.41335762746622851</c:v>
                </c:pt>
                <c:pt idx="117">
                  <c:v>-0.46656124638286833</c:v>
                </c:pt>
                <c:pt idx="118">
                  <c:v>3.4138089910941942</c:v>
                </c:pt>
                <c:pt idx="119">
                  <c:v>4.4012225363925044</c:v>
                </c:pt>
                <c:pt idx="120">
                  <c:v>-1.5196917747234271</c:v>
                </c:pt>
                <c:pt idx="121">
                  <c:v>-1.062073375074631</c:v>
                </c:pt>
                <c:pt idx="122">
                  <c:v>1.477489362217179</c:v>
                </c:pt>
                <c:pt idx="123">
                  <c:v>-2.3781283099238917</c:v>
                </c:pt>
                <c:pt idx="124">
                  <c:v>0.47811004572060589</c:v>
                </c:pt>
                <c:pt idx="125">
                  <c:v>0.44551959930867541</c:v>
                </c:pt>
                <c:pt idx="126">
                  <c:v>1.3614075313738643</c:v>
                </c:pt>
                <c:pt idx="127">
                  <c:v>-7.7650136808625758E-3</c:v>
                </c:pt>
                <c:pt idx="128">
                  <c:v>-0.12972116439056908</c:v>
                </c:pt>
                <c:pt idx="129">
                  <c:v>-1.6695833580904584</c:v>
                </c:pt>
                <c:pt idx="130">
                  <c:v>1.4530967525660716</c:v>
                </c:pt>
                <c:pt idx="131">
                  <c:v>-0.78143310266141697</c:v>
                </c:pt>
                <c:pt idx="132">
                  <c:v>0.34908255979636738</c:v>
                </c:pt>
                <c:pt idx="133">
                  <c:v>0.13535969057984193</c:v>
                </c:pt>
                <c:pt idx="134">
                  <c:v>-1.8716624465378884</c:v>
                </c:pt>
                <c:pt idx="135">
                  <c:v>1.2656565827966442</c:v>
                </c:pt>
                <c:pt idx="136">
                  <c:v>-0.42014204580768427</c:v>
                </c:pt>
                <c:pt idx="137">
                  <c:v>1.4055246320234833</c:v>
                </c:pt>
                <c:pt idx="138">
                  <c:v>-2.3798636141916241E-2</c:v>
                </c:pt>
                <c:pt idx="139">
                  <c:v>-0.94564972218921284</c:v>
                </c:pt>
                <c:pt idx="140">
                  <c:v>0.73546966098117694</c:v>
                </c:pt>
                <c:pt idx="141">
                  <c:v>1.7116922764778253</c:v>
                </c:pt>
                <c:pt idx="142">
                  <c:v>-0.26362362275971585</c:v>
                </c:pt>
                <c:pt idx="143">
                  <c:v>0.22777557059858333</c:v>
                </c:pt>
              </c:numCache>
            </c:numRef>
          </c:xVal>
          <c:yVal>
            <c:numRef>
              <c:f>'Credit, VIX, DInflation'!$B$28:$B$171</c:f>
              <c:numCache>
                <c:formatCode>General</c:formatCode>
                <c:ptCount val="144"/>
                <c:pt idx="0">
                  <c:v>-1.02106742917181</c:v>
                </c:pt>
                <c:pt idx="1">
                  <c:v>2.4049609864986672</c:v>
                </c:pt>
                <c:pt idx="2">
                  <c:v>-0.18401783581759301</c:v>
                </c:pt>
                <c:pt idx="3">
                  <c:v>1.1464616512633878</c:v>
                </c:pt>
                <c:pt idx="4">
                  <c:v>2.2122079267075745</c:v>
                </c:pt>
                <c:pt idx="5">
                  <c:v>-3.2073637530934812E-2</c:v>
                </c:pt>
                <c:pt idx="6">
                  <c:v>0.54683302783856003</c:v>
                </c:pt>
                <c:pt idx="7">
                  <c:v>1.093705243434401</c:v>
                </c:pt>
                <c:pt idx="8">
                  <c:v>1.3568955405739771</c:v>
                </c:pt>
                <c:pt idx="9">
                  <c:v>0.40684786371410253</c:v>
                </c:pt>
                <c:pt idx="10">
                  <c:v>1.2189185355288368</c:v>
                </c:pt>
                <c:pt idx="11">
                  <c:v>1.0813725471355842</c:v>
                </c:pt>
                <c:pt idx="12">
                  <c:v>0.77534215181354649</c:v>
                </c:pt>
                <c:pt idx="13">
                  <c:v>-0.1002271434987894</c:v>
                </c:pt>
                <c:pt idx="14">
                  <c:v>2.1578428811681762</c:v>
                </c:pt>
                <c:pt idx="15">
                  <c:v>-0.59104342438739321</c:v>
                </c:pt>
                <c:pt idx="16">
                  <c:v>1.0953063307827584</c:v>
                </c:pt>
                <c:pt idx="17">
                  <c:v>1.1337142678382588</c:v>
                </c:pt>
                <c:pt idx="18">
                  <c:v>0.25671385276671255</c:v>
                </c:pt>
                <c:pt idx="19">
                  <c:v>2.4812849023365136</c:v>
                </c:pt>
                <c:pt idx="20">
                  <c:v>0.19028892916524531</c:v>
                </c:pt>
                <c:pt idx="21">
                  <c:v>0.59993685110246198</c:v>
                </c:pt>
                <c:pt idx="22">
                  <c:v>4.8284080222593867E-2</c:v>
                </c:pt>
                <c:pt idx="23">
                  <c:v>0.47588158353870197</c:v>
                </c:pt>
                <c:pt idx="24">
                  <c:v>-1.6491742315267539</c:v>
                </c:pt>
                <c:pt idx="25">
                  <c:v>1.3380908114433083</c:v>
                </c:pt>
                <c:pt idx="26">
                  <c:v>-1.5941992637113345</c:v>
                </c:pt>
                <c:pt idx="27">
                  <c:v>-0.85620070419215843</c:v>
                </c:pt>
                <c:pt idx="28">
                  <c:v>1.8235091996649728</c:v>
                </c:pt>
                <c:pt idx="29">
                  <c:v>0.39751736236838614</c:v>
                </c:pt>
                <c:pt idx="30">
                  <c:v>-1.141644979470813</c:v>
                </c:pt>
                <c:pt idx="31">
                  <c:v>-0.21084163189602159</c:v>
                </c:pt>
                <c:pt idx="32">
                  <c:v>9.1029631709443226E-2</c:v>
                </c:pt>
                <c:pt idx="33">
                  <c:v>3.451610996399296</c:v>
                </c:pt>
                <c:pt idx="34">
                  <c:v>1.7023411032245217</c:v>
                </c:pt>
                <c:pt idx="35">
                  <c:v>0.84943915167020889</c:v>
                </c:pt>
                <c:pt idx="36">
                  <c:v>2.0876843395735887</c:v>
                </c:pt>
                <c:pt idx="37">
                  <c:v>3.347603682997653</c:v>
                </c:pt>
                <c:pt idx="38">
                  <c:v>2.6288025889448505</c:v>
                </c:pt>
                <c:pt idx="39">
                  <c:v>-0.15420685440887508</c:v>
                </c:pt>
                <c:pt idx="40">
                  <c:v>-0.73397164074894561</c:v>
                </c:pt>
                <c:pt idx="41">
                  <c:v>-0.41035440732795547</c:v>
                </c:pt>
                <c:pt idx="42">
                  <c:v>2.3937862797354801</c:v>
                </c:pt>
                <c:pt idx="43">
                  <c:v>0.47761561238719985</c:v>
                </c:pt>
                <c:pt idx="44">
                  <c:v>1.7377768934694258</c:v>
                </c:pt>
                <c:pt idx="45">
                  <c:v>0.56281087726420376</c:v>
                </c:pt>
                <c:pt idx="46">
                  <c:v>1.1696581265190678</c:v>
                </c:pt>
                <c:pt idx="47">
                  <c:v>1.4308102187004277</c:v>
                </c:pt>
                <c:pt idx="48">
                  <c:v>0.18615157859109399</c:v>
                </c:pt>
                <c:pt idx="49">
                  <c:v>1.2703827152641651</c:v>
                </c:pt>
                <c:pt idx="50">
                  <c:v>0.97528411550976357</c:v>
                </c:pt>
                <c:pt idx="51">
                  <c:v>0.22349899881778676</c:v>
                </c:pt>
                <c:pt idx="52">
                  <c:v>0.79754279328312894</c:v>
                </c:pt>
                <c:pt idx="53">
                  <c:v>0.35538311057183281</c:v>
                </c:pt>
                <c:pt idx="54">
                  <c:v>1.1599472536060758</c:v>
                </c:pt>
                <c:pt idx="55">
                  <c:v>0.32746274991451069</c:v>
                </c:pt>
                <c:pt idx="56">
                  <c:v>-0.56337671094151676</c:v>
                </c:pt>
                <c:pt idx="57">
                  <c:v>0.31912511744179928</c:v>
                </c:pt>
                <c:pt idx="58">
                  <c:v>0.5946415136258334</c:v>
                </c:pt>
                <c:pt idx="59">
                  <c:v>0.28509303290285376</c:v>
                </c:pt>
                <c:pt idx="60">
                  <c:v>5.4315505174813254E-2</c:v>
                </c:pt>
                <c:pt idx="61">
                  <c:v>1.2288641666705971</c:v>
                </c:pt>
                <c:pt idx="62">
                  <c:v>0.839251304077411</c:v>
                </c:pt>
                <c:pt idx="63">
                  <c:v>0.42637388584367542</c:v>
                </c:pt>
                <c:pt idx="64">
                  <c:v>-0.56194824226887508</c:v>
                </c:pt>
                <c:pt idx="65">
                  <c:v>-0.77274771009342225</c:v>
                </c:pt>
                <c:pt idx="66">
                  <c:v>9.6532195082846134E-3</c:v>
                </c:pt>
                <c:pt idx="67">
                  <c:v>1.0368431537012088</c:v>
                </c:pt>
                <c:pt idx="68">
                  <c:v>0.43718215557475659</c:v>
                </c:pt>
                <c:pt idx="69">
                  <c:v>0.18535106557559161</c:v>
                </c:pt>
                <c:pt idx="70">
                  <c:v>0.70499694872975993</c:v>
                </c:pt>
                <c:pt idx="71">
                  <c:v>1.0377092968238193</c:v>
                </c:pt>
                <c:pt idx="72">
                  <c:v>1.2049681516770774</c:v>
                </c:pt>
                <c:pt idx="73">
                  <c:v>-1.7311914239231245</c:v>
                </c:pt>
                <c:pt idx="74">
                  <c:v>-8.3112450846033479</c:v>
                </c:pt>
                <c:pt idx="75">
                  <c:v>4.2563650269142741</c:v>
                </c:pt>
                <c:pt idx="76">
                  <c:v>1.8578633484506519</c:v>
                </c:pt>
                <c:pt idx="77">
                  <c:v>0.51616048010839521</c:v>
                </c:pt>
                <c:pt idx="78">
                  <c:v>2.0966497318131494</c:v>
                </c:pt>
                <c:pt idx="79">
                  <c:v>0.21926644225345746</c:v>
                </c:pt>
                <c:pt idx="80">
                  <c:v>-0.47204154973181744</c:v>
                </c:pt>
                <c:pt idx="81">
                  <c:v>-0.3307068788774824</c:v>
                </c:pt>
                <c:pt idx="82">
                  <c:v>2.7140972161592383</c:v>
                </c:pt>
                <c:pt idx="83">
                  <c:v>1.0899466725404279</c:v>
                </c:pt>
                <c:pt idx="84">
                  <c:v>-0.65222993495180204</c:v>
                </c:pt>
                <c:pt idx="85">
                  <c:v>-1.1255709046811475</c:v>
                </c:pt>
                <c:pt idx="86">
                  <c:v>0.71636959756497931</c:v>
                </c:pt>
                <c:pt idx="87">
                  <c:v>0.60263507907693536</c:v>
                </c:pt>
                <c:pt idx="88">
                  <c:v>0.80546926686920695</c:v>
                </c:pt>
                <c:pt idx="89">
                  <c:v>0.83098698333268906</c:v>
                </c:pt>
                <c:pt idx="90">
                  <c:v>1.1855929182997509</c:v>
                </c:pt>
                <c:pt idx="91">
                  <c:v>0.55079424232933305</c:v>
                </c:pt>
                <c:pt idx="92">
                  <c:v>-0.63855992562385977</c:v>
                </c:pt>
                <c:pt idx="93">
                  <c:v>0.74293876403380243</c:v>
                </c:pt>
                <c:pt idx="94">
                  <c:v>5.1271974251945629E-2</c:v>
                </c:pt>
                <c:pt idx="95">
                  <c:v>0.37534104028747811</c:v>
                </c:pt>
                <c:pt idx="96">
                  <c:v>-2.0442268311901728</c:v>
                </c:pt>
                <c:pt idx="97">
                  <c:v>-1.4696215641536063</c:v>
                </c:pt>
                <c:pt idx="98">
                  <c:v>0.20475951379517873</c:v>
                </c:pt>
                <c:pt idx="99">
                  <c:v>-3.1496447266525021</c:v>
                </c:pt>
                <c:pt idx="100">
                  <c:v>-0.47291417674874991</c:v>
                </c:pt>
                <c:pt idx="101">
                  <c:v>-4.7384320609347483</c:v>
                </c:pt>
                <c:pt idx="102">
                  <c:v>4.324748808366623</c:v>
                </c:pt>
                <c:pt idx="103">
                  <c:v>-3.676808488099665</c:v>
                </c:pt>
                <c:pt idx="104">
                  <c:v>-4.8234166314335969</c:v>
                </c:pt>
                <c:pt idx="105">
                  <c:v>2.3121126179587499</c:v>
                </c:pt>
                <c:pt idx="106">
                  <c:v>2.1755195766580488</c:v>
                </c:pt>
                <c:pt idx="107">
                  <c:v>-1.0480215625347542</c:v>
                </c:pt>
                <c:pt idx="108">
                  <c:v>2.0590900405321908</c:v>
                </c:pt>
                <c:pt idx="109">
                  <c:v>-1.0018064879938744</c:v>
                </c:pt>
                <c:pt idx="110">
                  <c:v>1.0750191600583714</c:v>
                </c:pt>
                <c:pt idx="111">
                  <c:v>0.26346724806187388</c:v>
                </c:pt>
                <c:pt idx="112">
                  <c:v>-0.95856848909760606</c:v>
                </c:pt>
                <c:pt idx="113">
                  <c:v>0.46512610700087864</c:v>
                </c:pt>
                <c:pt idx="114">
                  <c:v>1.3643118012682935</c:v>
                </c:pt>
                <c:pt idx="115">
                  <c:v>0.28705247633489916</c:v>
                </c:pt>
                <c:pt idx="116">
                  <c:v>8.3854138531652106E-2</c:v>
                </c:pt>
                <c:pt idx="117">
                  <c:v>-0.29990585132208547</c:v>
                </c:pt>
                <c:pt idx="118">
                  <c:v>3.0494866898184796</c:v>
                </c:pt>
                <c:pt idx="119">
                  <c:v>3.2370029932517066</c:v>
                </c:pt>
                <c:pt idx="120">
                  <c:v>-9.4563793266812982E-2</c:v>
                </c:pt>
                <c:pt idx="121">
                  <c:v>0.12151104752116333</c:v>
                </c:pt>
                <c:pt idx="122">
                  <c:v>1.4098913377811675</c:v>
                </c:pt>
                <c:pt idx="123">
                  <c:v>-0.52248829149287301</c:v>
                </c:pt>
                <c:pt idx="124">
                  <c:v>1.0237966555258811</c:v>
                </c:pt>
                <c:pt idx="125">
                  <c:v>0.55914656639481952</c:v>
                </c:pt>
                <c:pt idx="126">
                  <c:v>1.2349787867581101</c:v>
                </c:pt>
                <c:pt idx="127">
                  <c:v>0.82455849195909781</c:v>
                </c:pt>
                <c:pt idx="128">
                  <c:v>0.82333385304715623</c:v>
                </c:pt>
                <c:pt idx="129">
                  <c:v>-0.61827009923024578</c:v>
                </c:pt>
                <c:pt idx="130">
                  <c:v>1.4751170934680666</c:v>
                </c:pt>
                <c:pt idx="131">
                  <c:v>-2.8752219145232356E-2</c:v>
                </c:pt>
                <c:pt idx="132">
                  <c:v>1.0388754687893254</c:v>
                </c:pt>
                <c:pt idx="133">
                  <c:v>0.31340976230909479</c:v>
                </c:pt>
                <c:pt idx="134">
                  <c:v>-0.89348403076354332</c:v>
                </c:pt>
                <c:pt idx="135">
                  <c:v>0.42387566260799892</c:v>
                </c:pt>
                <c:pt idx="136">
                  <c:v>0.54751610969587117</c:v>
                </c:pt>
                <c:pt idx="137">
                  <c:v>0.8907257426879529</c:v>
                </c:pt>
                <c:pt idx="138">
                  <c:v>0.7529619994694895</c:v>
                </c:pt>
                <c:pt idx="139">
                  <c:v>0.19214924304010167</c:v>
                </c:pt>
                <c:pt idx="140">
                  <c:v>0.8643623639970085</c:v>
                </c:pt>
                <c:pt idx="141">
                  <c:v>0.91334953222492066</c:v>
                </c:pt>
                <c:pt idx="142">
                  <c:v>0.28422572422504599</c:v>
                </c:pt>
                <c:pt idx="143">
                  <c:v>0.60707045381396618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3AB-7B4C-92C7-DAB5E1434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5574880"/>
        <c:axId val="745576608"/>
      </c:scatterChart>
      <c:valAx>
        <c:axId val="7455748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IG Credit Spread (%)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745576608"/>
        <c:crosses val="autoZero"/>
        <c:crossBetween val="midCat"/>
      </c:valAx>
      <c:valAx>
        <c:axId val="7455766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Asset Returns (%)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74557488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'Credit, VIX, DInflation'!$F$28:$F$171</c:f>
              <c:numCache>
                <c:formatCode>General</c:formatCode>
                <c:ptCount val="144"/>
                <c:pt idx="0">
                  <c:v>0.34722222222222221</c:v>
                </c:pt>
                <c:pt idx="1">
                  <c:v>1.0416666666666665</c:v>
                </c:pt>
                <c:pt idx="2">
                  <c:v>1.7361111111111112</c:v>
                </c:pt>
                <c:pt idx="3">
                  <c:v>2.4305555555555554</c:v>
                </c:pt>
                <c:pt idx="4">
                  <c:v>3.125</c:v>
                </c:pt>
                <c:pt idx="5">
                  <c:v>3.8194444444444446</c:v>
                </c:pt>
                <c:pt idx="6">
                  <c:v>4.5138888888888884</c:v>
                </c:pt>
                <c:pt idx="7">
                  <c:v>5.208333333333333</c:v>
                </c:pt>
                <c:pt idx="8">
                  <c:v>5.9027777777777777</c:v>
                </c:pt>
                <c:pt idx="9">
                  <c:v>6.5972222222222223</c:v>
                </c:pt>
                <c:pt idx="10">
                  <c:v>7.291666666666667</c:v>
                </c:pt>
                <c:pt idx="11">
                  <c:v>7.9861111111111107</c:v>
                </c:pt>
                <c:pt idx="12">
                  <c:v>8.6805555555555536</c:v>
                </c:pt>
                <c:pt idx="13">
                  <c:v>9.3749999999999982</c:v>
                </c:pt>
                <c:pt idx="14">
                  <c:v>10.069444444444443</c:v>
                </c:pt>
                <c:pt idx="15">
                  <c:v>10.763888888888888</c:v>
                </c:pt>
                <c:pt idx="16">
                  <c:v>11.458333333333332</c:v>
                </c:pt>
                <c:pt idx="17">
                  <c:v>12.152777777777777</c:v>
                </c:pt>
                <c:pt idx="18">
                  <c:v>12.847222222222221</c:v>
                </c:pt>
                <c:pt idx="19">
                  <c:v>13.541666666666666</c:v>
                </c:pt>
                <c:pt idx="20">
                  <c:v>14.236111111111111</c:v>
                </c:pt>
                <c:pt idx="21">
                  <c:v>14.930555555555554</c:v>
                </c:pt>
                <c:pt idx="22">
                  <c:v>15.624999999999998</c:v>
                </c:pt>
                <c:pt idx="23">
                  <c:v>16.319444444444443</c:v>
                </c:pt>
                <c:pt idx="24">
                  <c:v>17.013888888888886</c:v>
                </c:pt>
                <c:pt idx="25">
                  <c:v>17.708333333333332</c:v>
                </c:pt>
                <c:pt idx="26">
                  <c:v>18.402777777777775</c:v>
                </c:pt>
                <c:pt idx="27">
                  <c:v>19.097222222222221</c:v>
                </c:pt>
                <c:pt idx="28">
                  <c:v>19.791666666666664</c:v>
                </c:pt>
                <c:pt idx="29">
                  <c:v>20.486111111111111</c:v>
                </c:pt>
                <c:pt idx="30">
                  <c:v>21.180555555555554</c:v>
                </c:pt>
                <c:pt idx="31">
                  <c:v>21.875</c:v>
                </c:pt>
                <c:pt idx="32">
                  <c:v>22.569444444444443</c:v>
                </c:pt>
                <c:pt idx="33">
                  <c:v>23.263888888888886</c:v>
                </c:pt>
                <c:pt idx="34">
                  <c:v>23.958333333333332</c:v>
                </c:pt>
                <c:pt idx="35">
                  <c:v>24.652777777777775</c:v>
                </c:pt>
                <c:pt idx="36">
                  <c:v>25.347222222222221</c:v>
                </c:pt>
                <c:pt idx="37">
                  <c:v>26.041666666666664</c:v>
                </c:pt>
                <c:pt idx="38">
                  <c:v>26.736111111111111</c:v>
                </c:pt>
                <c:pt idx="39">
                  <c:v>27.430555555555554</c:v>
                </c:pt>
                <c:pt idx="40">
                  <c:v>28.125</c:v>
                </c:pt>
                <c:pt idx="41">
                  <c:v>28.819444444444443</c:v>
                </c:pt>
                <c:pt idx="42">
                  <c:v>29.513888888888886</c:v>
                </c:pt>
                <c:pt idx="43">
                  <c:v>30.208333333333332</c:v>
                </c:pt>
                <c:pt idx="44">
                  <c:v>30.902777777777775</c:v>
                </c:pt>
                <c:pt idx="45">
                  <c:v>31.597222222222221</c:v>
                </c:pt>
                <c:pt idx="46">
                  <c:v>32.291666666666664</c:v>
                </c:pt>
                <c:pt idx="47">
                  <c:v>32.986111111111107</c:v>
                </c:pt>
                <c:pt idx="48">
                  <c:v>33.68055555555555</c:v>
                </c:pt>
                <c:pt idx="49">
                  <c:v>34.375</c:v>
                </c:pt>
                <c:pt idx="50">
                  <c:v>35.069444444444443</c:v>
                </c:pt>
                <c:pt idx="51">
                  <c:v>35.763888888888886</c:v>
                </c:pt>
                <c:pt idx="52">
                  <c:v>36.458333333333329</c:v>
                </c:pt>
                <c:pt idx="53">
                  <c:v>37.152777777777779</c:v>
                </c:pt>
                <c:pt idx="54">
                  <c:v>37.847222222222221</c:v>
                </c:pt>
                <c:pt idx="55">
                  <c:v>38.541666666666664</c:v>
                </c:pt>
                <c:pt idx="56">
                  <c:v>39.236111111111107</c:v>
                </c:pt>
                <c:pt idx="57">
                  <c:v>39.93055555555555</c:v>
                </c:pt>
                <c:pt idx="58">
                  <c:v>40.625</c:v>
                </c:pt>
                <c:pt idx="59">
                  <c:v>41.319444444444443</c:v>
                </c:pt>
                <c:pt idx="60">
                  <c:v>42.013888888888886</c:v>
                </c:pt>
                <c:pt idx="61">
                  <c:v>42.708333333333329</c:v>
                </c:pt>
                <c:pt idx="62">
                  <c:v>43.402777777777779</c:v>
                </c:pt>
                <c:pt idx="63">
                  <c:v>44.097222222222221</c:v>
                </c:pt>
                <c:pt idx="64">
                  <c:v>44.791666666666664</c:v>
                </c:pt>
                <c:pt idx="65">
                  <c:v>45.486111111111107</c:v>
                </c:pt>
                <c:pt idx="66">
                  <c:v>46.18055555555555</c:v>
                </c:pt>
                <c:pt idx="67">
                  <c:v>46.875</c:v>
                </c:pt>
                <c:pt idx="68">
                  <c:v>47.569444444444443</c:v>
                </c:pt>
                <c:pt idx="69">
                  <c:v>48.263888888888886</c:v>
                </c:pt>
                <c:pt idx="70">
                  <c:v>48.958333333333329</c:v>
                </c:pt>
                <c:pt idx="71">
                  <c:v>49.652777777777779</c:v>
                </c:pt>
                <c:pt idx="72">
                  <c:v>50.347222222222221</c:v>
                </c:pt>
                <c:pt idx="73">
                  <c:v>51.041666666666664</c:v>
                </c:pt>
                <c:pt idx="74">
                  <c:v>51.736111111111107</c:v>
                </c:pt>
                <c:pt idx="75">
                  <c:v>52.43055555555555</c:v>
                </c:pt>
                <c:pt idx="76">
                  <c:v>53.125</c:v>
                </c:pt>
                <c:pt idx="77">
                  <c:v>53.819444444444443</c:v>
                </c:pt>
                <c:pt idx="78">
                  <c:v>54.513888888888886</c:v>
                </c:pt>
                <c:pt idx="79">
                  <c:v>55.208333333333329</c:v>
                </c:pt>
                <c:pt idx="80">
                  <c:v>55.902777777777779</c:v>
                </c:pt>
                <c:pt idx="81">
                  <c:v>56.597222222222221</c:v>
                </c:pt>
                <c:pt idx="82">
                  <c:v>57.291666666666664</c:v>
                </c:pt>
                <c:pt idx="83">
                  <c:v>57.986111111111107</c:v>
                </c:pt>
                <c:pt idx="84">
                  <c:v>58.68055555555555</c:v>
                </c:pt>
                <c:pt idx="85">
                  <c:v>59.375</c:v>
                </c:pt>
                <c:pt idx="86">
                  <c:v>60.069444444444443</c:v>
                </c:pt>
                <c:pt idx="87">
                  <c:v>60.763888888888886</c:v>
                </c:pt>
                <c:pt idx="88">
                  <c:v>61.458333333333329</c:v>
                </c:pt>
                <c:pt idx="89">
                  <c:v>62.152777777777771</c:v>
                </c:pt>
                <c:pt idx="90">
                  <c:v>62.847222222222221</c:v>
                </c:pt>
                <c:pt idx="91">
                  <c:v>63.541666666666664</c:v>
                </c:pt>
                <c:pt idx="92">
                  <c:v>64.236111111111114</c:v>
                </c:pt>
                <c:pt idx="93">
                  <c:v>64.930555555555557</c:v>
                </c:pt>
                <c:pt idx="94">
                  <c:v>65.625</c:v>
                </c:pt>
                <c:pt idx="95">
                  <c:v>66.319444444444443</c:v>
                </c:pt>
                <c:pt idx="96">
                  <c:v>67.013888888888886</c:v>
                </c:pt>
                <c:pt idx="97">
                  <c:v>67.708333333333343</c:v>
                </c:pt>
                <c:pt idx="98">
                  <c:v>68.402777777777786</c:v>
                </c:pt>
                <c:pt idx="99">
                  <c:v>69.097222222222229</c:v>
                </c:pt>
                <c:pt idx="100">
                  <c:v>69.791666666666671</c:v>
                </c:pt>
                <c:pt idx="101">
                  <c:v>70.486111111111114</c:v>
                </c:pt>
                <c:pt idx="102">
                  <c:v>71.180555555555557</c:v>
                </c:pt>
                <c:pt idx="103">
                  <c:v>71.875</c:v>
                </c:pt>
                <c:pt idx="104">
                  <c:v>72.569444444444443</c:v>
                </c:pt>
                <c:pt idx="105">
                  <c:v>73.263888888888886</c:v>
                </c:pt>
                <c:pt idx="106">
                  <c:v>73.958333333333343</c:v>
                </c:pt>
                <c:pt idx="107">
                  <c:v>74.652777777777786</c:v>
                </c:pt>
                <c:pt idx="108">
                  <c:v>75.347222222222229</c:v>
                </c:pt>
                <c:pt idx="109">
                  <c:v>76.041666666666671</c:v>
                </c:pt>
                <c:pt idx="110">
                  <c:v>76.736111111111114</c:v>
                </c:pt>
                <c:pt idx="111">
                  <c:v>77.430555555555557</c:v>
                </c:pt>
                <c:pt idx="112">
                  <c:v>78.125</c:v>
                </c:pt>
                <c:pt idx="113">
                  <c:v>78.819444444444443</c:v>
                </c:pt>
                <c:pt idx="114">
                  <c:v>79.513888888888886</c:v>
                </c:pt>
                <c:pt idx="115">
                  <c:v>80.208333333333343</c:v>
                </c:pt>
                <c:pt idx="116">
                  <c:v>80.902777777777786</c:v>
                </c:pt>
                <c:pt idx="117">
                  <c:v>81.597222222222229</c:v>
                </c:pt>
                <c:pt idx="118">
                  <c:v>82.291666666666671</c:v>
                </c:pt>
                <c:pt idx="119">
                  <c:v>82.986111111111114</c:v>
                </c:pt>
                <c:pt idx="120">
                  <c:v>83.680555555555557</c:v>
                </c:pt>
                <c:pt idx="121">
                  <c:v>84.375</c:v>
                </c:pt>
                <c:pt idx="122">
                  <c:v>85.069444444444443</c:v>
                </c:pt>
                <c:pt idx="123">
                  <c:v>85.763888888888886</c:v>
                </c:pt>
                <c:pt idx="124">
                  <c:v>86.458333333333343</c:v>
                </c:pt>
                <c:pt idx="125">
                  <c:v>87.152777777777786</c:v>
                </c:pt>
                <c:pt idx="126">
                  <c:v>87.847222222222229</c:v>
                </c:pt>
                <c:pt idx="127">
                  <c:v>88.541666666666671</c:v>
                </c:pt>
                <c:pt idx="128">
                  <c:v>89.236111111111114</c:v>
                </c:pt>
                <c:pt idx="129">
                  <c:v>89.930555555555557</c:v>
                </c:pt>
                <c:pt idx="130">
                  <c:v>90.625</c:v>
                </c:pt>
                <c:pt idx="131">
                  <c:v>91.319444444444443</c:v>
                </c:pt>
                <c:pt idx="132">
                  <c:v>92.013888888888886</c:v>
                </c:pt>
                <c:pt idx="133">
                  <c:v>92.708333333333343</c:v>
                </c:pt>
                <c:pt idx="134">
                  <c:v>93.402777777777786</c:v>
                </c:pt>
                <c:pt idx="135">
                  <c:v>94.097222222222229</c:v>
                </c:pt>
                <c:pt idx="136">
                  <c:v>94.791666666666671</c:v>
                </c:pt>
                <c:pt idx="137">
                  <c:v>95.486111111111114</c:v>
                </c:pt>
                <c:pt idx="138">
                  <c:v>96.180555555555557</c:v>
                </c:pt>
                <c:pt idx="139">
                  <c:v>96.875</c:v>
                </c:pt>
                <c:pt idx="140">
                  <c:v>97.569444444444443</c:v>
                </c:pt>
                <c:pt idx="141">
                  <c:v>98.263888888888886</c:v>
                </c:pt>
                <c:pt idx="142">
                  <c:v>98.958333333333343</c:v>
                </c:pt>
                <c:pt idx="143">
                  <c:v>99.652777777777786</c:v>
                </c:pt>
              </c:numCache>
            </c:numRef>
          </c:xVal>
          <c:yVal>
            <c:numRef>
              <c:f>'Credit, VIX, DInflation'!$G$28:$G$171</c:f>
              <c:numCache>
                <c:formatCode>General</c:formatCode>
                <c:ptCount val="144"/>
                <c:pt idx="0">
                  <c:v>-7.0047284893671877</c:v>
                </c:pt>
                <c:pt idx="1">
                  <c:v>-4.6868598995851904</c:v>
                </c:pt>
                <c:pt idx="2">
                  <c:v>-4.1526948243374111</c:v>
                </c:pt>
                <c:pt idx="3">
                  <c:v>-3.6875242113072275</c:v>
                </c:pt>
                <c:pt idx="4">
                  <c:v>-3.3442885744124804</c:v>
                </c:pt>
                <c:pt idx="5">
                  <c:v>-3.1231512210139143</c:v>
                </c:pt>
                <c:pt idx="6">
                  <c:v>-2.9682787226250409</c:v>
                </c:pt>
                <c:pt idx="7">
                  <c:v>-2.5680570998352561</c:v>
                </c:pt>
                <c:pt idx="8">
                  <c:v>-2.5280472836281653</c:v>
                </c:pt>
                <c:pt idx="9">
                  <c:v>-2.5046976641667626</c:v>
                </c:pt>
                <c:pt idx="10">
                  <c:v>-2.2568118607420633</c:v>
                </c:pt>
                <c:pt idx="11">
                  <c:v>-1.9001782009329338</c:v>
                </c:pt>
                <c:pt idx="12">
                  <c:v>-1.8423176925388944</c:v>
                </c:pt>
                <c:pt idx="13">
                  <c:v>-1.8267949190726551</c:v>
                </c:pt>
                <c:pt idx="14">
                  <c:v>-1.7163787658669345</c:v>
                </c:pt>
                <c:pt idx="15">
                  <c:v>-1.7024670003016547</c:v>
                </c:pt>
                <c:pt idx="16">
                  <c:v>-1.4912303020014905</c:v>
                </c:pt>
                <c:pt idx="17">
                  <c:v>-1.4816122688402813</c:v>
                </c:pt>
                <c:pt idx="18">
                  <c:v>-1.3850399013585131</c:v>
                </c:pt>
                <c:pt idx="19">
                  <c:v>-1.3845334693391671</c:v>
                </c:pt>
                <c:pt idx="20">
                  <c:v>-1.3312319193447704</c:v>
                </c:pt>
                <c:pt idx="21">
                  <c:v>-1.2793531068196276</c:v>
                </c:pt>
                <c:pt idx="22">
                  <c:v>-1.1425691586862545</c:v>
                </c:pt>
                <c:pt idx="23">
                  <c:v>-1.1072210028407516</c:v>
                </c:pt>
                <c:pt idx="24">
                  <c:v>-1.0801430002995103</c:v>
                </c:pt>
                <c:pt idx="25">
                  <c:v>-0.94912629185626851</c:v>
                </c:pt>
                <c:pt idx="26">
                  <c:v>-0.93339874585644023</c:v>
                </c:pt>
                <c:pt idx="27">
                  <c:v>-0.8739297602339734</c:v>
                </c:pt>
                <c:pt idx="28">
                  <c:v>-0.85098504001589137</c:v>
                </c:pt>
                <c:pt idx="29">
                  <c:v>-0.84486748191592764</c:v>
                </c:pt>
                <c:pt idx="30">
                  <c:v>-0.83998798555617005</c:v>
                </c:pt>
                <c:pt idx="31">
                  <c:v>-0.82038765576752415</c:v>
                </c:pt>
                <c:pt idx="32">
                  <c:v>-0.73047275946122014</c:v>
                </c:pt>
                <c:pt idx="33">
                  <c:v>-0.72114034769675106</c:v>
                </c:pt>
                <c:pt idx="34">
                  <c:v>-0.70844610563042631</c:v>
                </c:pt>
                <c:pt idx="35">
                  <c:v>-0.63980558944311527</c:v>
                </c:pt>
                <c:pt idx="36">
                  <c:v>-0.63321922178810008</c:v>
                </c:pt>
                <c:pt idx="37">
                  <c:v>-0.62523746935851443</c:v>
                </c:pt>
                <c:pt idx="38">
                  <c:v>-0.60205936122706527</c:v>
                </c:pt>
                <c:pt idx="39">
                  <c:v>-0.49649597275839152</c:v>
                </c:pt>
                <c:pt idx="40">
                  <c:v>-0.45287219230992509</c:v>
                </c:pt>
                <c:pt idx="41">
                  <c:v>-0.44945692130845749</c:v>
                </c:pt>
                <c:pt idx="42">
                  <c:v>-0.42414010254649709</c:v>
                </c:pt>
                <c:pt idx="43">
                  <c:v>-0.40587403799491967</c:v>
                </c:pt>
                <c:pt idx="44">
                  <c:v>-0.38364685529762182</c:v>
                </c:pt>
                <c:pt idx="45">
                  <c:v>-0.34952011853591453</c:v>
                </c:pt>
                <c:pt idx="46">
                  <c:v>-0.32059917407416511</c:v>
                </c:pt>
                <c:pt idx="47">
                  <c:v>-0.25809067214290327</c:v>
                </c:pt>
                <c:pt idx="48">
                  <c:v>-0.23417506109101072</c:v>
                </c:pt>
                <c:pt idx="49">
                  <c:v>-0.18651939975316809</c:v>
                </c:pt>
                <c:pt idx="50">
                  <c:v>-0.16023377056929605</c:v>
                </c:pt>
                <c:pt idx="51">
                  <c:v>-0.15960421366991845</c:v>
                </c:pt>
                <c:pt idx="52">
                  <c:v>-0.12574664360828455</c:v>
                </c:pt>
                <c:pt idx="53">
                  <c:v>-3.7635693365227305E-2</c:v>
                </c:pt>
                <c:pt idx="54">
                  <c:v>-2.8872892422191813E-2</c:v>
                </c:pt>
                <c:pt idx="55">
                  <c:v>-2.1093949631446327E-2</c:v>
                </c:pt>
                <c:pt idx="56">
                  <c:v>2.1744398396726858E-3</c:v>
                </c:pt>
                <c:pt idx="57">
                  <c:v>1.3361896540353232E-2</c:v>
                </c:pt>
                <c:pt idx="58">
                  <c:v>1.5244628300109645E-2</c:v>
                </c:pt>
                <c:pt idx="59">
                  <c:v>4.5162099813618559E-2</c:v>
                </c:pt>
                <c:pt idx="60">
                  <c:v>5.5182858323510636E-2</c:v>
                </c:pt>
                <c:pt idx="61">
                  <c:v>6.2862567183433013E-2</c:v>
                </c:pt>
                <c:pt idx="62">
                  <c:v>6.4450144874432388E-2</c:v>
                </c:pt>
                <c:pt idx="63">
                  <c:v>0.17050584189129772</c:v>
                </c:pt>
                <c:pt idx="64">
                  <c:v>0.20128346879376346</c:v>
                </c:pt>
                <c:pt idx="65">
                  <c:v>0.25176219913533959</c:v>
                </c:pt>
                <c:pt idx="66">
                  <c:v>0.27937046819359035</c:v>
                </c:pt>
                <c:pt idx="67">
                  <c:v>0.29248739326307094</c:v>
                </c:pt>
                <c:pt idx="68">
                  <c:v>0.32195109833132546</c:v>
                </c:pt>
                <c:pt idx="69">
                  <c:v>0.3416951439283733</c:v>
                </c:pt>
                <c:pt idx="70">
                  <c:v>0.3941440510082177</c:v>
                </c:pt>
                <c:pt idx="71">
                  <c:v>0.39463790345239053</c:v>
                </c:pt>
                <c:pt idx="72">
                  <c:v>0.44664249623499269</c:v>
                </c:pt>
                <c:pt idx="73">
                  <c:v>0.44906329589973976</c:v>
                </c:pt>
                <c:pt idx="74">
                  <c:v>0.51269214936388086</c:v>
                </c:pt>
                <c:pt idx="75">
                  <c:v>0.54311279831289316</c:v>
                </c:pt>
                <c:pt idx="76">
                  <c:v>0.64991632276644051</c:v>
                </c:pt>
                <c:pt idx="77">
                  <c:v>0.74520035393408268</c:v>
                </c:pt>
                <c:pt idx="78">
                  <c:v>0.76476526172699799</c:v>
                </c:pt>
                <c:pt idx="79">
                  <c:v>0.76715041455256716</c:v>
                </c:pt>
                <c:pt idx="80">
                  <c:v>0.77913542886387466</c:v>
                </c:pt>
                <c:pt idx="81">
                  <c:v>0.79790760681101336</c:v>
                </c:pt>
                <c:pt idx="82">
                  <c:v>0.79930043255834871</c:v>
                </c:pt>
                <c:pt idx="83">
                  <c:v>0.80909571022157933</c:v>
                </c:pt>
                <c:pt idx="84">
                  <c:v>0.8173714702258239</c:v>
                </c:pt>
                <c:pt idx="85">
                  <c:v>0.8220675256694463</c:v>
                </c:pt>
                <c:pt idx="86">
                  <c:v>0.94080499762717185</c:v>
                </c:pt>
                <c:pt idx="87">
                  <c:v>0.98384974618307341</c:v>
                </c:pt>
                <c:pt idx="88">
                  <c:v>1.084910181769061</c:v>
                </c:pt>
                <c:pt idx="89">
                  <c:v>1.088562294937061</c:v>
                </c:pt>
                <c:pt idx="90">
                  <c:v>1.1252408849651883</c:v>
                </c:pt>
                <c:pt idx="91">
                  <c:v>1.1573512190828252</c:v>
                </c:pt>
                <c:pt idx="92">
                  <c:v>1.1607317321410837</c:v>
                </c:pt>
                <c:pt idx="93">
                  <c:v>1.1935119946777377</c:v>
                </c:pt>
                <c:pt idx="94">
                  <c:v>1.2933080083597004</c:v>
                </c:pt>
                <c:pt idx="95">
                  <c:v>1.3006576888791135</c:v>
                </c:pt>
                <c:pt idx="96">
                  <c:v>1.3072997744824202</c:v>
                </c:pt>
                <c:pt idx="97">
                  <c:v>1.3201728926043841</c:v>
                </c:pt>
                <c:pt idx="98">
                  <c:v>1.3282751471537555</c:v>
                </c:pt>
                <c:pt idx="99">
                  <c:v>1.3592930931331151</c:v>
                </c:pt>
                <c:pt idx="100">
                  <c:v>1.3893836371301047</c:v>
                </c:pt>
                <c:pt idx="101">
                  <c:v>1.4570599695124704</c:v>
                </c:pt>
                <c:pt idx="102">
                  <c:v>1.4746501612318974</c:v>
                </c:pt>
                <c:pt idx="103">
                  <c:v>1.4799167353491935</c:v>
                </c:pt>
                <c:pt idx="104">
                  <c:v>1.5120608050198472</c:v>
                </c:pt>
                <c:pt idx="105">
                  <c:v>1.5632378548125487</c:v>
                </c:pt>
                <c:pt idx="106">
                  <c:v>1.5752476292840976</c:v>
                </c:pt>
                <c:pt idx="107">
                  <c:v>1.7130121087748451</c:v>
                </c:pt>
                <c:pt idx="108">
                  <c:v>1.8101887790863302</c:v>
                </c:pt>
                <c:pt idx="109">
                  <c:v>1.8519535193189707</c:v>
                </c:pt>
                <c:pt idx="110">
                  <c:v>1.9551601207275044</c:v>
                </c:pt>
                <c:pt idx="111">
                  <c:v>1.9636320377819911</c:v>
                </c:pt>
                <c:pt idx="112">
                  <c:v>1.9965489332311821</c:v>
                </c:pt>
                <c:pt idx="113">
                  <c:v>2.1127325139720563</c:v>
                </c:pt>
                <c:pt idx="114">
                  <c:v>2.1320616401803507</c:v>
                </c:pt>
                <c:pt idx="115">
                  <c:v>2.1528110708148573</c:v>
                </c:pt>
                <c:pt idx="116">
                  <c:v>2.1554149374730458</c:v>
                </c:pt>
                <c:pt idx="117">
                  <c:v>2.1937669383125291</c:v>
                </c:pt>
                <c:pt idx="118">
                  <c:v>2.2441569439350513</c:v>
                </c:pt>
                <c:pt idx="119">
                  <c:v>2.3109716137805942</c:v>
                </c:pt>
                <c:pt idx="120">
                  <c:v>2.3644571963769208</c:v>
                </c:pt>
                <c:pt idx="121">
                  <c:v>2.3878145236429944</c:v>
                </c:pt>
                <c:pt idx="122">
                  <c:v>2.4047017706743326</c:v>
                </c:pt>
                <c:pt idx="123">
                  <c:v>2.4711222871909655</c:v>
                </c:pt>
                <c:pt idx="124">
                  <c:v>2.5118747000438195</c:v>
                </c:pt>
                <c:pt idx="125">
                  <c:v>2.5198681337412903</c:v>
                </c:pt>
                <c:pt idx="126">
                  <c:v>2.5257042870557784</c:v>
                </c:pt>
                <c:pt idx="127">
                  <c:v>2.5343167951715437</c:v>
                </c:pt>
                <c:pt idx="128">
                  <c:v>2.6303236664701828</c:v>
                </c:pt>
                <c:pt idx="129">
                  <c:v>2.6535892327475388</c:v>
                </c:pt>
                <c:pt idx="130">
                  <c:v>2.664630651168546</c:v>
                </c:pt>
                <c:pt idx="131">
                  <c:v>2.683391280512204</c:v>
                </c:pt>
                <c:pt idx="132">
                  <c:v>2.7070180675265525</c:v>
                </c:pt>
                <c:pt idx="133">
                  <c:v>2.8438546235537174</c:v>
                </c:pt>
                <c:pt idx="134">
                  <c:v>2.8609360739223297</c:v>
                </c:pt>
                <c:pt idx="135">
                  <c:v>3.0698713827378343</c:v>
                </c:pt>
                <c:pt idx="136">
                  <c:v>3.1095108983661892</c:v>
                </c:pt>
                <c:pt idx="137">
                  <c:v>3.1666873562985165</c:v>
                </c:pt>
                <c:pt idx="138">
                  <c:v>3.3950819422879635</c:v>
                </c:pt>
                <c:pt idx="139">
                  <c:v>3.4388141552305238</c:v>
                </c:pt>
                <c:pt idx="140">
                  <c:v>3.580071379617352</c:v>
                </c:pt>
                <c:pt idx="141">
                  <c:v>3.8214888861569447</c:v>
                </c:pt>
                <c:pt idx="142">
                  <c:v>4.5018822436456931</c:v>
                </c:pt>
                <c:pt idx="143">
                  <c:v>5.5867022964527608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67-1B4B-ABC4-8DFA1E857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6798912"/>
        <c:axId val="776801184"/>
      </c:scatterChart>
      <c:valAx>
        <c:axId val="7767989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76801184"/>
        <c:crosses val="autoZero"/>
        <c:crossBetween val="midCat"/>
      </c:valAx>
      <c:valAx>
        <c:axId val="7768011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Asset Returns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76798912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IG Credit Spread (%)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Data!$W$2:$W$145</c:f>
              <c:numCache>
                <c:formatCode>0.0000</c:formatCode>
                <c:ptCount val="144"/>
                <c:pt idx="0">
                  <c:v>-5.1387194346069833</c:v>
                </c:pt>
                <c:pt idx="1">
                  <c:v>2.3484491421995508</c:v>
                </c:pt>
                <c:pt idx="2">
                  <c:v>-0.92319478819390199</c:v>
                </c:pt>
                <c:pt idx="3">
                  <c:v>0.82434767702086331</c:v>
                </c:pt>
                <c:pt idx="4">
                  <c:v>2.0252115715454142</c:v>
                </c:pt>
                <c:pt idx="5">
                  <c:v>-1.4083021680096535</c:v>
                </c:pt>
                <c:pt idx="6">
                  <c:v>-0.89531690384682072</c:v>
                </c:pt>
                <c:pt idx="7">
                  <c:v>2.0846292055168538</c:v>
                </c:pt>
                <c:pt idx="8">
                  <c:v>0.18815829103602541</c:v>
                </c:pt>
                <c:pt idx="9">
                  <c:v>-0.30403984882426438</c:v>
                </c:pt>
                <c:pt idx="10">
                  <c:v>1.2224064307019109</c:v>
                </c:pt>
                <c:pt idx="11">
                  <c:v>1.1188106566869516</c:v>
                </c:pt>
                <c:pt idx="12">
                  <c:v>-0.39386738542473537</c:v>
                </c:pt>
                <c:pt idx="13">
                  <c:v>0.23199314515441699</c:v>
                </c:pt>
                <c:pt idx="14">
                  <c:v>3.0510319131719719</c:v>
                </c:pt>
                <c:pt idx="15">
                  <c:v>-0.57569475557887417</c:v>
                </c:pt>
                <c:pt idx="16">
                  <c:v>0.34508593485068878</c:v>
                </c:pt>
                <c:pt idx="17">
                  <c:v>2.4668637873530348</c:v>
                </c:pt>
                <c:pt idx="18">
                  <c:v>1.3828982966028573</c:v>
                </c:pt>
                <c:pt idx="19">
                  <c:v>5.9348906527047323</c:v>
                </c:pt>
                <c:pt idx="20">
                  <c:v>-3.7396932352934624</c:v>
                </c:pt>
                <c:pt idx="21">
                  <c:v>1.0994857308880885</c:v>
                </c:pt>
                <c:pt idx="22">
                  <c:v>-2.3264834455409638</c:v>
                </c:pt>
                <c:pt idx="23">
                  <c:v>0.27399978476401698</c:v>
                </c:pt>
                <c:pt idx="24">
                  <c:v>-3.7708043023703515</c:v>
                </c:pt>
                <c:pt idx="25">
                  <c:v>2.4312561086316236</c:v>
                </c:pt>
                <c:pt idx="26">
                  <c:v>-2.163876747359093</c:v>
                </c:pt>
                <c:pt idx="27">
                  <c:v>0.5025858772171532</c:v>
                </c:pt>
                <c:pt idx="28">
                  <c:v>1.5012701524955124E-2</c:v>
                </c:pt>
                <c:pt idx="29">
                  <c:v>2.0734306549589543</c:v>
                </c:pt>
                <c:pt idx="30">
                  <c:v>-1.4165022256805997</c:v>
                </c:pt>
                <c:pt idx="31">
                  <c:v>0.66815720708482551</c:v>
                </c:pt>
                <c:pt idx="32">
                  <c:v>-0.80775400785913054</c:v>
                </c:pt>
                <c:pt idx="33">
                  <c:v>3.5954167685518694</c:v>
                </c:pt>
                <c:pt idx="34">
                  <c:v>0.91190414214845739</c:v>
                </c:pt>
                <c:pt idx="35">
                  <c:v>0.85468808124803441</c:v>
                </c:pt>
                <c:pt idx="36">
                  <c:v>3.5664770305249829</c:v>
                </c:pt>
                <c:pt idx="37">
                  <c:v>5.0465169683722939</c:v>
                </c:pt>
                <c:pt idx="38">
                  <c:v>3.4210472846484357</c:v>
                </c:pt>
                <c:pt idx="39">
                  <c:v>-1.9050206096671818</c:v>
                </c:pt>
                <c:pt idx="40">
                  <c:v>-4.4556526959210885</c:v>
                </c:pt>
                <c:pt idx="41">
                  <c:v>-1.6600067055434231</c:v>
                </c:pt>
                <c:pt idx="42">
                  <c:v>2.9503559863160107</c:v>
                </c:pt>
                <c:pt idx="43">
                  <c:v>-1.5202579266307075</c:v>
                </c:pt>
                <c:pt idx="44">
                  <c:v>2.6350509941130018</c:v>
                </c:pt>
                <c:pt idx="45">
                  <c:v>-0.17390455263532517</c:v>
                </c:pt>
                <c:pt idx="46">
                  <c:v>0.72625925846252182</c:v>
                </c:pt>
                <c:pt idx="47">
                  <c:v>1.5534992085354618</c:v>
                </c:pt>
                <c:pt idx="48">
                  <c:v>-1.3128763768352263</c:v>
                </c:pt>
                <c:pt idx="49">
                  <c:v>1.0235515044919676</c:v>
                </c:pt>
                <c:pt idx="50">
                  <c:v>0.87915557139737288</c:v>
                </c:pt>
                <c:pt idx="51">
                  <c:v>-2.0519560737810645</c:v>
                </c:pt>
                <c:pt idx="52">
                  <c:v>0.34628136161819018</c:v>
                </c:pt>
                <c:pt idx="53">
                  <c:v>-0.35419358995709715</c:v>
                </c:pt>
                <c:pt idx="54">
                  <c:v>1.858001601839639</c:v>
                </c:pt>
                <c:pt idx="55">
                  <c:v>-0.8877688063153264</c:v>
                </c:pt>
                <c:pt idx="56">
                  <c:v>-1.3769514272096248</c:v>
                </c:pt>
                <c:pt idx="57">
                  <c:v>0.20136749777207796</c:v>
                </c:pt>
                <c:pt idx="58">
                  <c:v>0.12731740286215751</c:v>
                </c:pt>
                <c:pt idx="59">
                  <c:v>-0.371473926792939</c:v>
                </c:pt>
                <c:pt idx="60">
                  <c:v>-0.41320150136606915</c:v>
                </c:pt>
                <c:pt idx="61">
                  <c:v>0.2551971584802315</c:v>
                </c:pt>
                <c:pt idx="62">
                  <c:v>0.54532839444733927</c:v>
                </c:pt>
                <c:pt idx="63">
                  <c:v>-1.1987084485525838</c:v>
                </c:pt>
                <c:pt idx="64">
                  <c:v>0.20365796077345244</c:v>
                </c:pt>
                <c:pt idx="65">
                  <c:v>-2.1905269483508447</c:v>
                </c:pt>
                <c:pt idx="66">
                  <c:v>1.357859374712971</c:v>
                </c:pt>
                <c:pt idx="67">
                  <c:v>1.0678641457547986</c:v>
                </c:pt>
                <c:pt idx="68">
                  <c:v>-4.062169850005945E-3</c:v>
                </c:pt>
                <c:pt idx="69">
                  <c:v>-0.25340601070870289</c:v>
                </c:pt>
                <c:pt idx="70">
                  <c:v>-0.20371933742089599</c:v>
                </c:pt>
                <c:pt idx="71">
                  <c:v>-6.8036926882462212E-2</c:v>
                </c:pt>
                <c:pt idx="72">
                  <c:v>3.0998066900760599</c:v>
                </c:pt>
                <c:pt idx="73">
                  <c:v>-1.5756409548922983</c:v>
                </c:pt>
                <c:pt idx="74">
                  <c:v>-6.5893968100260576</c:v>
                </c:pt>
                <c:pt idx="75">
                  <c:v>7.3665586735762902</c:v>
                </c:pt>
                <c:pt idx="76">
                  <c:v>1.0916617932992878</c:v>
                </c:pt>
                <c:pt idx="77">
                  <c:v>1.0163751457846373</c:v>
                </c:pt>
                <c:pt idx="78">
                  <c:v>2.1435700279400138</c:v>
                </c:pt>
                <c:pt idx="79">
                  <c:v>-1.204767361587278</c:v>
                </c:pt>
                <c:pt idx="80">
                  <c:v>-1.9469169716171044E-3</c:v>
                </c:pt>
                <c:pt idx="81">
                  <c:v>0.28979934223811843</c:v>
                </c:pt>
                <c:pt idx="82">
                  <c:v>2.3639052440224098</c:v>
                </c:pt>
                <c:pt idx="83">
                  <c:v>1.5490140567033936</c:v>
                </c:pt>
                <c:pt idx="84">
                  <c:v>-1.6477775578392471</c:v>
                </c:pt>
                <c:pt idx="85">
                  <c:v>-3.4798493915758022</c:v>
                </c:pt>
                <c:pt idx="86">
                  <c:v>1.7190145145590065E-2</c:v>
                </c:pt>
                <c:pt idx="87">
                  <c:v>0.3804319559628988</c:v>
                </c:pt>
                <c:pt idx="88">
                  <c:v>0.31001431749484604</c:v>
                </c:pt>
                <c:pt idx="89">
                  <c:v>0.85502216530240871</c:v>
                </c:pt>
                <c:pt idx="90">
                  <c:v>1.6132309956574875</c:v>
                </c:pt>
                <c:pt idx="91">
                  <c:v>-0.22870458134476115</c:v>
                </c:pt>
                <c:pt idx="92">
                  <c:v>-2.8087660797989829</c:v>
                </c:pt>
                <c:pt idx="93">
                  <c:v>0.69722145982741013</c:v>
                </c:pt>
                <c:pt idx="94">
                  <c:v>0.99547551042253035</c:v>
                </c:pt>
                <c:pt idx="95">
                  <c:v>-1.12353903746557</c:v>
                </c:pt>
                <c:pt idx="96">
                  <c:v>-4.0342794589013895</c:v>
                </c:pt>
                <c:pt idx="97">
                  <c:v>-3.1651689144312303</c:v>
                </c:pt>
                <c:pt idx="98">
                  <c:v>0.13326767049501004</c:v>
                </c:pt>
                <c:pt idx="99">
                  <c:v>-3.8653528730622675</c:v>
                </c:pt>
                <c:pt idx="100">
                  <c:v>-1.556403524525015</c:v>
                </c:pt>
                <c:pt idx="101">
                  <c:v>-3.4565692008015478</c:v>
                </c:pt>
                <c:pt idx="102">
                  <c:v>4.373127894277208</c:v>
                </c:pt>
                <c:pt idx="103">
                  <c:v>-8.1411935429504894</c:v>
                </c:pt>
                <c:pt idx="104">
                  <c:v>-9.1415438687040886</c:v>
                </c:pt>
                <c:pt idx="105">
                  <c:v>4.9981561061963475</c:v>
                </c:pt>
                <c:pt idx="106">
                  <c:v>3.7315693621188237</c:v>
                </c:pt>
                <c:pt idx="107">
                  <c:v>-1.6930601373866518</c:v>
                </c:pt>
                <c:pt idx="108">
                  <c:v>3.2693974797429637</c:v>
                </c:pt>
                <c:pt idx="109">
                  <c:v>-3.4044713219137206</c:v>
                </c:pt>
                <c:pt idx="110">
                  <c:v>1.1229372544900045</c:v>
                </c:pt>
                <c:pt idx="111">
                  <c:v>-4.5251950847142508E-2</c:v>
                </c:pt>
                <c:pt idx="112">
                  <c:v>-3.2207902839867755</c:v>
                </c:pt>
                <c:pt idx="113">
                  <c:v>-1.5304704600210068</c:v>
                </c:pt>
                <c:pt idx="114">
                  <c:v>2.0217015238879137</c:v>
                </c:pt>
                <c:pt idx="115">
                  <c:v>-0.73548575994241516</c:v>
                </c:pt>
                <c:pt idx="116">
                  <c:v>-0.41335762746622851</c:v>
                </c:pt>
                <c:pt idx="117">
                  <c:v>-0.46656124638286833</c:v>
                </c:pt>
                <c:pt idx="118">
                  <c:v>3.4138089910941942</c:v>
                </c:pt>
                <c:pt idx="119">
                  <c:v>4.4012225363925044</c:v>
                </c:pt>
                <c:pt idx="120">
                  <c:v>-1.5196917747234271</c:v>
                </c:pt>
                <c:pt idx="121">
                  <c:v>-1.062073375074631</c:v>
                </c:pt>
                <c:pt idx="122">
                  <c:v>1.477489362217179</c:v>
                </c:pt>
                <c:pt idx="123">
                  <c:v>-2.3781283099238917</c:v>
                </c:pt>
                <c:pt idx="124">
                  <c:v>0.47811004572060589</c:v>
                </c:pt>
                <c:pt idx="125">
                  <c:v>0.44551959930867541</c:v>
                </c:pt>
                <c:pt idx="126">
                  <c:v>1.3614075313738643</c:v>
                </c:pt>
                <c:pt idx="127">
                  <c:v>-7.7650136808625758E-3</c:v>
                </c:pt>
                <c:pt idx="128">
                  <c:v>-0.12972116439056908</c:v>
                </c:pt>
                <c:pt idx="129">
                  <c:v>-1.6695833580904584</c:v>
                </c:pt>
                <c:pt idx="130">
                  <c:v>1.4530967525660716</c:v>
                </c:pt>
                <c:pt idx="131">
                  <c:v>-0.78143310266141697</c:v>
                </c:pt>
                <c:pt idx="132">
                  <c:v>0.34908255979636738</c:v>
                </c:pt>
                <c:pt idx="133">
                  <c:v>0.13535969057984193</c:v>
                </c:pt>
                <c:pt idx="134">
                  <c:v>-1.8716624465378884</c:v>
                </c:pt>
                <c:pt idx="135">
                  <c:v>1.2656565827966442</c:v>
                </c:pt>
                <c:pt idx="136">
                  <c:v>-0.42014204580768427</c:v>
                </c:pt>
                <c:pt idx="137">
                  <c:v>1.4055246320234833</c:v>
                </c:pt>
                <c:pt idx="138">
                  <c:v>-2.3798636141916241E-2</c:v>
                </c:pt>
                <c:pt idx="139">
                  <c:v>-0.94564972218921284</c:v>
                </c:pt>
                <c:pt idx="140">
                  <c:v>0.73546966098117694</c:v>
                </c:pt>
                <c:pt idx="141">
                  <c:v>1.7116922764778253</c:v>
                </c:pt>
                <c:pt idx="142">
                  <c:v>-0.26362362275971585</c:v>
                </c:pt>
                <c:pt idx="143">
                  <c:v>0.22777557059858333</c:v>
                </c:pt>
              </c:numCache>
            </c:numRef>
          </c:xVal>
          <c:yVal>
            <c:numRef>
              <c:f>'Credit, VIX, DVIX, DInflation'!$C$29:$C$172</c:f>
              <c:numCache>
                <c:formatCode>General</c:formatCode>
                <c:ptCount val="144"/>
                <c:pt idx="0">
                  <c:v>-1.9235632053603418</c:v>
                </c:pt>
                <c:pt idx="1">
                  <c:v>0.93920804655918788</c:v>
                </c:pt>
                <c:pt idx="2">
                  <c:v>-1.0865678492492563</c:v>
                </c:pt>
                <c:pt idx="3">
                  <c:v>-0.32962885230742955</c:v>
                </c:pt>
                <c:pt idx="4">
                  <c:v>0.54861903036658966</c:v>
                </c:pt>
                <c:pt idx="5">
                  <c:v>-0.28541017364815491</c:v>
                </c:pt>
                <c:pt idx="6">
                  <c:v>-0.18074280211721955</c:v>
                </c:pt>
                <c:pt idx="7">
                  <c:v>-1.4321134389703765</c:v>
                </c:pt>
                <c:pt idx="8">
                  <c:v>0.55116936986566567</c:v>
                </c:pt>
                <c:pt idx="9">
                  <c:v>-0.86826097011602099</c:v>
                </c:pt>
                <c:pt idx="10">
                  <c:v>-0.39864127325247212</c:v>
                </c:pt>
                <c:pt idx="11">
                  <c:v>0.21114420787472166</c:v>
                </c:pt>
                <c:pt idx="12">
                  <c:v>-0.8399309553004477</c:v>
                </c:pt>
                <c:pt idx="13">
                  <c:v>0.95255545048730694</c:v>
                </c:pt>
                <c:pt idx="14">
                  <c:v>-0.23613067203421201</c:v>
                </c:pt>
                <c:pt idx="15">
                  <c:v>0.28024411858966447</c:v>
                </c:pt>
                <c:pt idx="16">
                  <c:v>-0.51885029213101497</c:v>
                </c:pt>
                <c:pt idx="17">
                  <c:v>1.3596894609595465</c:v>
                </c:pt>
                <c:pt idx="18">
                  <c:v>0.17537320902676892</c:v>
                </c:pt>
                <c:pt idx="19">
                  <c:v>0.14634054193482093</c:v>
                </c:pt>
                <c:pt idx="20">
                  <c:v>0.29170826490078283</c:v>
                </c:pt>
                <c:pt idx="21">
                  <c:v>0.16389449936009381</c:v>
                </c:pt>
                <c:pt idx="22">
                  <c:v>-0.23395644300565707</c:v>
                </c:pt>
                <c:pt idx="23">
                  <c:v>0.11294883900732144</c:v>
                </c:pt>
                <c:pt idx="24">
                  <c:v>-1.3788872745203533</c:v>
                </c:pt>
                <c:pt idx="25">
                  <c:v>0.17562148253638754</c:v>
                </c:pt>
                <c:pt idx="26">
                  <c:v>0.19531166686987822</c:v>
                </c:pt>
                <c:pt idx="27">
                  <c:v>-0.75177485171043579</c:v>
                </c:pt>
                <c:pt idx="28">
                  <c:v>0.82183133214274195</c:v>
                </c:pt>
                <c:pt idx="29">
                  <c:v>0.62162703847205902</c:v>
                </c:pt>
                <c:pt idx="30">
                  <c:v>0.25355293678268465</c:v>
                </c:pt>
                <c:pt idx="31">
                  <c:v>-1.3185339053909821</c:v>
                </c:pt>
                <c:pt idx="32">
                  <c:v>0.47190190772307228</c:v>
                </c:pt>
                <c:pt idx="33">
                  <c:v>-1.3487559816612134</c:v>
                </c:pt>
                <c:pt idx="34">
                  <c:v>-0.88327825547765393</c:v>
                </c:pt>
                <c:pt idx="35">
                  <c:v>-0.16602958705792392</c:v>
                </c:pt>
                <c:pt idx="36">
                  <c:v>1.5292559562026551</c:v>
                </c:pt>
                <c:pt idx="37">
                  <c:v>-0.37192705881580412</c:v>
                </c:pt>
                <c:pt idx="38">
                  <c:v>-0.77608621449382365</c:v>
                </c:pt>
                <c:pt idx="39">
                  <c:v>0.78866764015347168</c:v>
                </c:pt>
                <c:pt idx="40">
                  <c:v>1.4163373107558153</c:v>
                </c:pt>
                <c:pt idx="41">
                  <c:v>-1.0548509867254063</c:v>
                </c:pt>
                <c:pt idx="42">
                  <c:v>0.61677486821954464</c:v>
                </c:pt>
                <c:pt idx="43">
                  <c:v>-0.94235575661506477</c:v>
                </c:pt>
                <c:pt idx="44">
                  <c:v>1.0620919560976108</c:v>
                </c:pt>
                <c:pt idx="45">
                  <c:v>-0.11284919431252327</c:v>
                </c:pt>
                <c:pt idx="46">
                  <c:v>-1.5661140321925155</c:v>
                </c:pt>
                <c:pt idx="47">
                  <c:v>0.47076322871131038</c:v>
                </c:pt>
                <c:pt idx="48">
                  <c:v>-0.7736888263256636</c:v>
                </c:pt>
                <c:pt idx="49">
                  <c:v>-0.47487295416437691</c:v>
                </c:pt>
                <c:pt idx="50">
                  <c:v>0.28144863982026647</c:v>
                </c:pt>
                <c:pt idx="51">
                  <c:v>-1.2349566552125069</c:v>
                </c:pt>
                <c:pt idx="52">
                  <c:v>0.69605281408442909</c:v>
                </c:pt>
                <c:pt idx="53">
                  <c:v>-0.44577593161156737</c:v>
                </c:pt>
                <c:pt idx="54">
                  <c:v>0.99946079684270051</c:v>
                </c:pt>
                <c:pt idx="55">
                  <c:v>-0.2099122872065054</c:v>
                </c:pt>
                <c:pt idx="56">
                  <c:v>2.7636909926205933E-2</c:v>
                </c:pt>
                <c:pt idx="57">
                  <c:v>-2.0073372080251333</c:v>
                </c:pt>
                <c:pt idx="58">
                  <c:v>1.5028016875273549</c:v>
                </c:pt>
                <c:pt idx="59">
                  <c:v>1.170826714716658</c:v>
                </c:pt>
                <c:pt idx="60">
                  <c:v>0.47456903009545426</c:v>
                </c:pt>
                <c:pt idx="61">
                  <c:v>-5.8552180181728142E-2</c:v>
                </c:pt>
                <c:pt idx="62">
                  <c:v>-0.57103845872000958</c:v>
                </c:pt>
                <c:pt idx="63">
                  <c:v>-0.43491686989033179</c:v>
                </c:pt>
                <c:pt idx="64">
                  <c:v>-1.4489893356571495</c:v>
                </c:pt>
                <c:pt idx="65">
                  <c:v>-0.38511689556299578</c:v>
                </c:pt>
                <c:pt idx="66">
                  <c:v>-2.2720954901065298</c:v>
                </c:pt>
                <c:pt idx="67">
                  <c:v>-2.7970016312761974</c:v>
                </c:pt>
                <c:pt idx="68">
                  <c:v>0.52832586760025924</c:v>
                </c:pt>
                <c:pt idx="69">
                  <c:v>-1.2945789982201317</c:v>
                </c:pt>
                <c:pt idx="70">
                  <c:v>0.76636511148084585</c:v>
                </c:pt>
                <c:pt idx="71">
                  <c:v>-0.32324740838186383</c:v>
                </c:pt>
                <c:pt idx="72">
                  <c:v>-0.85153778688468595</c:v>
                </c:pt>
                <c:pt idx="73">
                  <c:v>-1.183790757873322</c:v>
                </c:pt>
                <c:pt idx="74">
                  <c:v>0.40862758695162693</c:v>
                </c:pt>
                <c:pt idx="75">
                  <c:v>-0.22091800809441509</c:v>
                </c:pt>
                <c:pt idx="76">
                  <c:v>0.42273052004592282</c:v>
                </c:pt>
                <c:pt idx="77">
                  <c:v>1.027790532903079</c:v>
                </c:pt>
                <c:pt idx="78">
                  <c:v>-2.7165257214770056</c:v>
                </c:pt>
                <c:pt idx="79">
                  <c:v>1.2918952720446939</c:v>
                </c:pt>
                <c:pt idx="80">
                  <c:v>-0.23151139945671051</c:v>
                </c:pt>
                <c:pt idx="81">
                  <c:v>-1.4781426313119024</c:v>
                </c:pt>
                <c:pt idx="82">
                  <c:v>2.4041867108172887</c:v>
                </c:pt>
                <c:pt idx="83">
                  <c:v>0.81610361695326006</c:v>
                </c:pt>
                <c:pt idx="84">
                  <c:v>0.29820550863773687</c:v>
                </c:pt>
                <c:pt idx="85">
                  <c:v>0.60041871351951559</c:v>
                </c:pt>
                <c:pt idx="86">
                  <c:v>0.83128365602934484</c:v>
                </c:pt>
                <c:pt idx="87">
                  <c:v>1.7599341575007963</c:v>
                </c:pt>
                <c:pt idx="88">
                  <c:v>-0.75067320893616807</c:v>
                </c:pt>
                <c:pt idx="89">
                  <c:v>0.23668499541075538</c:v>
                </c:pt>
                <c:pt idx="90">
                  <c:v>0.15258312518145478</c:v>
                </c:pt>
                <c:pt idx="91">
                  <c:v>0.77384753879117818</c:v>
                </c:pt>
                <c:pt idx="92">
                  <c:v>-0.27137300734071546</c:v>
                </c:pt>
                <c:pt idx="93">
                  <c:v>0.35705926775338548</c:v>
                </c:pt>
                <c:pt idx="94">
                  <c:v>0.98514723778150137</c:v>
                </c:pt>
                <c:pt idx="95">
                  <c:v>0.4744401826872523</c:v>
                </c:pt>
                <c:pt idx="96">
                  <c:v>0.14427160637862224</c:v>
                </c:pt>
                <c:pt idx="97">
                  <c:v>0.24860468808242309</c:v>
                </c:pt>
                <c:pt idx="98">
                  <c:v>0.93177532545977582</c:v>
                </c:pt>
                <c:pt idx="99">
                  <c:v>1.8467925954749442</c:v>
                </c:pt>
                <c:pt idx="100">
                  <c:v>-0.44101820881768111</c:v>
                </c:pt>
                <c:pt idx="101">
                  <c:v>0.53142306128911265</c:v>
                </c:pt>
                <c:pt idx="102">
                  <c:v>-0.46276468238433122</c:v>
                </c:pt>
                <c:pt idx="103">
                  <c:v>1.4976539032476046</c:v>
                </c:pt>
                <c:pt idx="104">
                  <c:v>0.10090335563737707</c:v>
                </c:pt>
                <c:pt idx="105">
                  <c:v>-0.342564476168433</c:v>
                </c:pt>
                <c:pt idx="106">
                  <c:v>5.7969711047604289E-2</c:v>
                </c:pt>
                <c:pt idx="107">
                  <c:v>-0.21082295214747226</c:v>
                </c:pt>
                <c:pt idx="108">
                  <c:v>1.0224008950713839</c:v>
                </c:pt>
                <c:pt idx="109">
                  <c:v>0.86060393164949112</c:v>
                </c:pt>
                <c:pt idx="110">
                  <c:v>-1.4340505930619591</c:v>
                </c:pt>
                <c:pt idx="111">
                  <c:v>0.41229004519831458</c:v>
                </c:pt>
                <c:pt idx="112">
                  <c:v>-0.84538478429421238</c:v>
                </c:pt>
                <c:pt idx="113">
                  <c:v>0.28268423641188362</c:v>
                </c:pt>
                <c:pt idx="114">
                  <c:v>0.68529005309114321</c:v>
                </c:pt>
                <c:pt idx="115">
                  <c:v>-1.2589052360918211</c:v>
                </c:pt>
                <c:pt idx="116">
                  <c:v>0.41765250336653031</c:v>
                </c:pt>
                <c:pt idx="117">
                  <c:v>-1.6233305687436863</c:v>
                </c:pt>
                <c:pt idx="118">
                  <c:v>0.25157522560089651</c:v>
                </c:pt>
                <c:pt idx="119">
                  <c:v>0.60088065265376756</c:v>
                </c:pt>
                <c:pt idx="120">
                  <c:v>0.11716201094331147</c:v>
                </c:pt>
                <c:pt idx="121">
                  <c:v>0.6469629375589363</c:v>
                </c:pt>
                <c:pt idx="122">
                  <c:v>1.1122670719614587</c:v>
                </c:pt>
                <c:pt idx="123">
                  <c:v>6.1796989841222949E-2</c:v>
                </c:pt>
                <c:pt idx="124">
                  <c:v>0.16199589906405809</c:v>
                </c:pt>
                <c:pt idx="125">
                  <c:v>0.58843430095701255</c:v>
                </c:pt>
                <c:pt idx="126">
                  <c:v>0.36016252005783989</c:v>
                </c:pt>
                <c:pt idx="127">
                  <c:v>-1.5232112674230771</c:v>
                </c:pt>
                <c:pt idx="128">
                  <c:v>-1.006198843903902</c:v>
                </c:pt>
                <c:pt idx="129">
                  <c:v>0.68550696860693006</c:v>
                </c:pt>
                <c:pt idx="130">
                  <c:v>0.47882937969454087</c:v>
                </c:pt>
                <c:pt idx="131">
                  <c:v>-0.26795514476271115</c:v>
                </c:pt>
                <c:pt idx="132">
                  <c:v>1.6732363867148949</c:v>
                </c:pt>
                <c:pt idx="133">
                  <c:v>-0.91044647218346531</c:v>
                </c:pt>
                <c:pt idx="134">
                  <c:v>-2.0694629067688437</c:v>
                </c:pt>
                <c:pt idx="135">
                  <c:v>-0.44081018508971259</c:v>
                </c:pt>
                <c:pt idx="136">
                  <c:v>1.4940870688537169</c:v>
                </c:pt>
                <c:pt idx="137">
                  <c:v>0.35693046328133149</c:v>
                </c:pt>
                <c:pt idx="138">
                  <c:v>1.6533005905836871</c:v>
                </c:pt>
                <c:pt idx="139">
                  <c:v>-0.40200818174117248</c:v>
                </c:pt>
                <c:pt idx="140">
                  <c:v>0.62602260032732748</c:v>
                </c:pt>
                <c:pt idx="141">
                  <c:v>1.7856756527081938</c:v>
                </c:pt>
                <c:pt idx="142">
                  <c:v>-0.40907951670364789</c:v>
                </c:pt>
                <c:pt idx="143">
                  <c:v>-5.0393490847962408E-2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F5F-3E4A-B17F-477E11CD5F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3247968"/>
        <c:axId val="792065328"/>
      </c:scatterChart>
      <c:valAx>
        <c:axId val="1423247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IG Credit Spread (%)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792065328"/>
        <c:crosses val="autoZero"/>
        <c:crossBetween val="midCat"/>
      </c:valAx>
      <c:valAx>
        <c:axId val="7920653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23247968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IG Credit Spread (%)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Asset Returns (%)</c:v>
          </c:tx>
          <c:spPr>
            <a:ln w="19050">
              <a:noFill/>
            </a:ln>
          </c:spPr>
          <c:xVal>
            <c:numRef>
              <c:f>Data!$W$2:$W$145</c:f>
              <c:numCache>
                <c:formatCode>0.0000</c:formatCode>
                <c:ptCount val="144"/>
                <c:pt idx="0">
                  <c:v>-5.1387194346069833</c:v>
                </c:pt>
                <c:pt idx="1">
                  <c:v>2.3484491421995508</c:v>
                </c:pt>
                <c:pt idx="2">
                  <c:v>-0.92319478819390199</c:v>
                </c:pt>
                <c:pt idx="3">
                  <c:v>0.82434767702086331</c:v>
                </c:pt>
                <c:pt idx="4">
                  <c:v>2.0252115715454142</c:v>
                </c:pt>
                <c:pt idx="5">
                  <c:v>-1.4083021680096535</c:v>
                </c:pt>
                <c:pt idx="6">
                  <c:v>-0.89531690384682072</c:v>
                </c:pt>
                <c:pt idx="7">
                  <c:v>2.0846292055168538</c:v>
                </c:pt>
                <c:pt idx="8">
                  <c:v>0.18815829103602541</c:v>
                </c:pt>
                <c:pt idx="9">
                  <c:v>-0.30403984882426438</c:v>
                </c:pt>
                <c:pt idx="10">
                  <c:v>1.2224064307019109</c:v>
                </c:pt>
                <c:pt idx="11">
                  <c:v>1.1188106566869516</c:v>
                </c:pt>
                <c:pt idx="12">
                  <c:v>-0.39386738542473537</c:v>
                </c:pt>
                <c:pt idx="13">
                  <c:v>0.23199314515441699</c:v>
                </c:pt>
                <c:pt idx="14">
                  <c:v>3.0510319131719719</c:v>
                </c:pt>
                <c:pt idx="15">
                  <c:v>-0.57569475557887417</c:v>
                </c:pt>
                <c:pt idx="16">
                  <c:v>0.34508593485068878</c:v>
                </c:pt>
                <c:pt idx="17">
                  <c:v>2.4668637873530348</c:v>
                </c:pt>
                <c:pt idx="18">
                  <c:v>1.3828982966028573</c:v>
                </c:pt>
                <c:pt idx="19">
                  <c:v>5.9348906527047323</c:v>
                </c:pt>
                <c:pt idx="20">
                  <c:v>-3.7396932352934624</c:v>
                </c:pt>
                <c:pt idx="21">
                  <c:v>1.0994857308880885</c:v>
                </c:pt>
                <c:pt idx="22">
                  <c:v>-2.3264834455409638</c:v>
                </c:pt>
                <c:pt idx="23">
                  <c:v>0.27399978476401698</c:v>
                </c:pt>
                <c:pt idx="24">
                  <c:v>-3.7708043023703515</c:v>
                </c:pt>
                <c:pt idx="25">
                  <c:v>2.4312561086316236</c:v>
                </c:pt>
                <c:pt idx="26">
                  <c:v>-2.163876747359093</c:v>
                </c:pt>
                <c:pt idx="27">
                  <c:v>0.5025858772171532</c:v>
                </c:pt>
                <c:pt idx="28">
                  <c:v>1.5012701524955124E-2</c:v>
                </c:pt>
                <c:pt idx="29">
                  <c:v>2.0734306549589543</c:v>
                </c:pt>
                <c:pt idx="30">
                  <c:v>-1.4165022256805997</c:v>
                </c:pt>
                <c:pt idx="31">
                  <c:v>0.66815720708482551</c:v>
                </c:pt>
                <c:pt idx="32">
                  <c:v>-0.80775400785913054</c:v>
                </c:pt>
                <c:pt idx="33">
                  <c:v>3.5954167685518694</c:v>
                </c:pt>
                <c:pt idx="34">
                  <c:v>0.91190414214845739</c:v>
                </c:pt>
                <c:pt idx="35">
                  <c:v>0.85468808124803441</c:v>
                </c:pt>
                <c:pt idx="36">
                  <c:v>3.5664770305249829</c:v>
                </c:pt>
                <c:pt idx="37">
                  <c:v>5.0465169683722939</c:v>
                </c:pt>
                <c:pt idx="38">
                  <c:v>3.4210472846484357</c:v>
                </c:pt>
                <c:pt idx="39">
                  <c:v>-1.9050206096671818</c:v>
                </c:pt>
                <c:pt idx="40">
                  <c:v>-4.4556526959210885</c:v>
                </c:pt>
                <c:pt idx="41">
                  <c:v>-1.6600067055434231</c:v>
                </c:pt>
                <c:pt idx="42">
                  <c:v>2.9503559863160107</c:v>
                </c:pt>
                <c:pt idx="43">
                  <c:v>-1.5202579266307075</c:v>
                </c:pt>
                <c:pt idx="44">
                  <c:v>2.6350509941130018</c:v>
                </c:pt>
                <c:pt idx="45">
                  <c:v>-0.17390455263532517</c:v>
                </c:pt>
                <c:pt idx="46">
                  <c:v>0.72625925846252182</c:v>
                </c:pt>
                <c:pt idx="47">
                  <c:v>1.5534992085354618</c:v>
                </c:pt>
                <c:pt idx="48">
                  <c:v>-1.3128763768352263</c:v>
                </c:pt>
                <c:pt idx="49">
                  <c:v>1.0235515044919676</c:v>
                </c:pt>
                <c:pt idx="50">
                  <c:v>0.87915557139737288</c:v>
                </c:pt>
                <c:pt idx="51">
                  <c:v>-2.0519560737810645</c:v>
                </c:pt>
                <c:pt idx="52">
                  <c:v>0.34628136161819018</c:v>
                </c:pt>
                <c:pt idx="53">
                  <c:v>-0.35419358995709715</c:v>
                </c:pt>
                <c:pt idx="54">
                  <c:v>1.858001601839639</c:v>
                </c:pt>
                <c:pt idx="55">
                  <c:v>-0.8877688063153264</c:v>
                </c:pt>
                <c:pt idx="56">
                  <c:v>-1.3769514272096248</c:v>
                </c:pt>
                <c:pt idx="57">
                  <c:v>0.20136749777207796</c:v>
                </c:pt>
                <c:pt idx="58">
                  <c:v>0.12731740286215751</c:v>
                </c:pt>
                <c:pt idx="59">
                  <c:v>-0.371473926792939</c:v>
                </c:pt>
                <c:pt idx="60">
                  <c:v>-0.41320150136606915</c:v>
                </c:pt>
                <c:pt idx="61">
                  <c:v>0.2551971584802315</c:v>
                </c:pt>
                <c:pt idx="62">
                  <c:v>0.54532839444733927</c:v>
                </c:pt>
                <c:pt idx="63">
                  <c:v>-1.1987084485525838</c:v>
                </c:pt>
                <c:pt idx="64">
                  <c:v>0.20365796077345244</c:v>
                </c:pt>
                <c:pt idx="65">
                  <c:v>-2.1905269483508447</c:v>
                </c:pt>
                <c:pt idx="66">
                  <c:v>1.357859374712971</c:v>
                </c:pt>
                <c:pt idx="67">
                  <c:v>1.0678641457547986</c:v>
                </c:pt>
                <c:pt idx="68">
                  <c:v>-4.062169850005945E-3</c:v>
                </c:pt>
                <c:pt idx="69">
                  <c:v>-0.25340601070870289</c:v>
                </c:pt>
                <c:pt idx="70">
                  <c:v>-0.20371933742089599</c:v>
                </c:pt>
                <c:pt idx="71">
                  <c:v>-6.8036926882462212E-2</c:v>
                </c:pt>
                <c:pt idx="72">
                  <c:v>3.0998066900760599</c:v>
                </c:pt>
                <c:pt idx="73">
                  <c:v>-1.5756409548922983</c:v>
                </c:pt>
                <c:pt idx="74">
                  <c:v>-6.5893968100260576</c:v>
                </c:pt>
                <c:pt idx="75">
                  <c:v>7.3665586735762902</c:v>
                </c:pt>
                <c:pt idx="76">
                  <c:v>1.0916617932992878</c:v>
                </c:pt>
                <c:pt idx="77">
                  <c:v>1.0163751457846373</c:v>
                </c:pt>
                <c:pt idx="78">
                  <c:v>2.1435700279400138</c:v>
                </c:pt>
                <c:pt idx="79">
                  <c:v>-1.204767361587278</c:v>
                </c:pt>
                <c:pt idx="80">
                  <c:v>-1.9469169716171044E-3</c:v>
                </c:pt>
                <c:pt idx="81">
                  <c:v>0.28979934223811843</c:v>
                </c:pt>
                <c:pt idx="82">
                  <c:v>2.3639052440224098</c:v>
                </c:pt>
                <c:pt idx="83">
                  <c:v>1.5490140567033936</c:v>
                </c:pt>
                <c:pt idx="84">
                  <c:v>-1.6477775578392471</c:v>
                </c:pt>
                <c:pt idx="85">
                  <c:v>-3.4798493915758022</c:v>
                </c:pt>
                <c:pt idx="86">
                  <c:v>1.7190145145590065E-2</c:v>
                </c:pt>
                <c:pt idx="87">
                  <c:v>0.3804319559628988</c:v>
                </c:pt>
                <c:pt idx="88">
                  <c:v>0.31001431749484604</c:v>
                </c:pt>
                <c:pt idx="89">
                  <c:v>0.85502216530240871</c:v>
                </c:pt>
                <c:pt idx="90">
                  <c:v>1.6132309956574875</c:v>
                </c:pt>
                <c:pt idx="91">
                  <c:v>-0.22870458134476115</c:v>
                </c:pt>
                <c:pt idx="92">
                  <c:v>-2.8087660797989829</c:v>
                </c:pt>
                <c:pt idx="93">
                  <c:v>0.69722145982741013</c:v>
                </c:pt>
                <c:pt idx="94">
                  <c:v>0.99547551042253035</c:v>
                </c:pt>
                <c:pt idx="95">
                  <c:v>-1.12353903746557</c:v>
                </c:pt>
                <c:pt idx="96">
                  <c:v>-4.0342794589013895</c:v>
                </c:pt>
                <c:pt idx="97">
                  <c:v>-3.1651689144312303</c:v>
                </c:pt>
                <c:pt idx="98">
                  <c:v>0.13326767049501004</c:v>
                </c:pt>
                <c:pt idx="99">
                  <c:v>-3.8653528730622675</c:v>
                </c:pt>
                <c:pt idx="100">
                  <c:v>-1.556403524525015</c:v>
                </c:pt>
                <c:pt idx="101">
                  <c:v>-3.4565692008015478</c:v>
                </c:pt>
                <c:pt idx="102">
                  <c:v>4.373127894277208</c:v>
                </c:pt>
                <c:pt idx="103">
                  <c:v>-8.1411935429504894</c:v>
                </c:pt>
                <c:pt idx="104">
                  <c:v>-9.1415438687040886</c:v>
                </c:pt>
                <c:pt idx="105">
                  <c:v>4.9981561061963475</c:v>
                </c:pt>
                <c:pt idx="106">
                  <c:v>3.7315693621188237</c:v>
                </c:pt>
                <c:pt idx="107">
                  <c:v>-1.6930601373866518</c:v>
                </c:pt>
                <c:pt idx="108">
                  <c:v>3.2693974797429637</c:v>
                </c:pt>
                <c:pt idx="109">
                  <c:v>-3.4044713219137206</c:v>
                </c:pt>
                <c:pt idx="110">
                  <c:v>1.1229372544900045</c:v>
                </c:pt>
                <c:pt idx="111">
                  <c:v>-4.5251950847142508E-2</c:v>
                </c:pt>
                <c:pt idx="112">
                  <c:v>-3.2207902839867755</c:v>
                </c:pt>
                <c:pt idx="113">
                  <c:v>-1.5304704600210068</c:v>
                </c:pt>
                <c:pt idx="114">
                  <c:v>2.0217015238879137</c:v>
                </c:pt>
                <c:pt idx="115">
                  <c:v>-0.73548575994241516</c:v>
                </c:pt>
                <c:pt idx="116">
                  <c:v>-0.41335762746622851</c:v>
                </c:pt>
                <c:pt idx="117">
                  <c:v>-0.46656124638286833</c:v>
                </c:pt>
                <c:pt idx="118">
                  <c:v>3.4138089910941942</c:v>
                </c:pt>
                <c:pt idx="119">
                  <c:v>4.4012225363925044</c:v>
                </c:pt>
                <c:pt idx="120">
                  <c:v>-1.5196917747234271</c:v>
                </c:pt>
                <c:pt idx="121">
                  <c:v>-1.062073375074631</c:v>
                </c:pt>
                <c:pt idx="122">
                  <c:v>1.477489362217179</c:v>
                </c:pt>
                <c:pt idx="123">
                  <c:v>-2.3781283099238917</c:v>
                </c:pt>
                <c:pt idx="124">
                  <c:v>0.47811004572060589</c:v>
                </c:pt>
                <c:pt idx="125">
                  <c:v>0.44551959930867541</c:v>
                </c:pt>
                <c:pt idx="126">
                  <c:v>1.3614075313738643</c:v>
                </c:pt>
                <c:pt idx="127">
                  <c:v>-7.7650136808625758E-3</c:v>
                </c:pt>
                <c:pt idx="128">
                  <c:v>-0.12972116439056908</c:v>
                </c:pt>
                <c:pt idx="129">
                  <c:v>-1.6695833580904584</c:v>
                </c:pt>
                <c:pt idx="130">
                  <c:v>1.4530967525660716</c:v>
                </c:pt>
                <c:pt idx="131">
                  <c:v>-0.78143310266141697</c:v>
                </c:pt>
                <c:pt idx="132">
                  <c:v>0.34908255979636738</c:v>
                </c:pt>
                <c:pt idx="133">
                  <c:v>0.13535969057984193</c:v>
                </c:pt>
                <c:pt idx="134">
                  <c:v>-1.8716624465378884</c:v>
                </c:pt>
                <c:pt idx="135">
                  <c:v>1.2656565827966442</c:v>
                </c:pt>
                <c:pt idx="136">
                  <c:v>-0.42014204580768427</c:v>
                </c:pt>
                <c:pt idx="137">
                  <c:v>1.4055246320234833</c:v>
                </c:pt>
                <c:pt idx="138">
                  <c:v>-2.3798636141916241E-2</c:v>
                </c:pt>
                <c:pt idx="139">
                  <c:v>-0.94564972218921284</c:v>
                </c:pt>
                <c:pt idx="140">
                  <c:v>0.73546966098117694</c:v>
                </c:pt>
                <c:pt idx="141">
                  <c:v>1.7116922764778253</c:v>
                </c:pt>
                <c:pt idx="142">
                  <c:v>-0.26362362275971585</c:v>
                </c:pt>
                <c:pt idx="143">
                  <c:v>0.22777557059858333</c:v>
                </c:pt>
              </c:numCache>
            </c:numRef>
          </c:xVal>
          <c:yVal>
            <c:numRef>
              <c:f>Data!$O$2:$O$145</c:f>
              <c:numCache>
                <c:formatCode>0.0000</c:formatCode>
                <c:ptCount val="144"/>
                <c:pt idx="0">
                  <c:v>-3.1231512210139143</c:v>
                </c:pt>
                <c:pt idx="1">
                  <c:v>3.4388141552305238</c:v>
                </c:pt>
                <c:pt idx="2">
                  <c:v>-1.8423176925388944</c:v>
                </c:pt>
                <c:pt idx="3">
                  <c:v>0.76476526172699799</c:v>
                </c:pt>
                <c:pt idx="4">
                  <c:v>2.8438546235537174</c:v>
                </c:pt>
                <c:pt idx="5">
                  <c:v>-0.40587403799491967</c:v>
                </c:pt>
                <c:pt idx="6">
                  <c:v>0.39463790345239053</c:v>
                </c:pt>
                <c:pt idx="7">
                  <c:v>-0.84486748191592764</c:v>
                </c:pt>
                <c:pt idx="8">
                  <c:v>2.1320616401803507</c:v>
                </c:pt>
                <c:pt idx="9">
                  <c:v>-0.42414010254649709</c:v>
                </c:pt>
                <c:pt idx="10">
                  <c:v>0.74520035393408268</c:v>
                </c:pt>
                <c:pt idx="11">
                  <c:v>1.3893836371301047</c:v>
                </c:pt>
                <c:pt idx="12">
                  <c:v>-0.15960421366991845</c:v>
                </c:pt>
                <c:pt idx="13">
                  <c:v>2.1744398396726858E-3</c:v>
                </c:pt>
                <c:pt idx="14">
                  <c:v>2.1528110708148573</c:v>
                </c:pt>
                <c:pt idx="15">
                  <c:v>-0.63321922178810008</c:v>
                </c:pt>
                <c:pt idx="16">
                  <c:v>0.54311279831289316</c:v>
                </c:pt>
                <c:pt idx="17">
                  <c:v>2.6535892327475388</c:v>
                </c:pt>
                <c:pt idx="18">
                  <c:v>-0.18651939975316809</c:v>
                </c:pt>
                <c:pt idx="19">
                  <c:v>2.4047017706743326</c:v>
                </c:pt>
                <c:pt idx="20">
                  <c:v>0.8220675256694463</c:v>
                </c:pt>
                <c:pt idx="21">
                  <c:v>0.79790760681101336</c:v>
                </c:pt>
                <c:pt idx="22">
                  <c:v>-0.23417506109101072</c:v>
                </c:pt>
                <c:pt idx="23">
                  <c:v>0.44906329589973976</c:v>
                </c:pt>
                <c:pt idx="24">
                  <c:v>-3.3442885744124804</c:v>
                </c:pt>
                <c:pt idx="25">
                  <c:v>1.9551601207275044</c:v>
                </c:pt>
                <c:pt idx="26">
                  <c:v>-2.9682787226250409</c:v>
                </c:pt>
                <c:pt idx="27">
                  <c:v>-0.94912629185626851</c:v>
                </c:pt>
                <c:pt idx="28">
                  <c:v>2.683391280512204</c:v>
                </c:pt>
                <c:pt idx="29">
                  <c:v>1.084910181769061</c:v>
                </c:pt>
                <c:pt idx="30">
                  <c:v>-0.60205936122706527</c:v>
                </c:pt>
                <c:pt idx="31">
                  <c:v>-1.3845334693391671</c:v>
                </c:pt>
                <c:pt idx="32">
                  <c:v>0.51269214936388086</c:v>
                </c:pt>
                <c:pt idx="33">
                  <c:v>2.1127325139720563</c:v>
                </c:pt>
                <c:pt idx="34">
                  <c:v>0.44664249623499269</c:v>
                </c:pt>
                <c:pt idx="35">
                  <c:v>0.80909571022157933</c:v>
                </c:pt>
                <c:pt idx="36">
                  <c:v>3.3950819422879635</c:v>
                </c:pt>
                <c:pt idx="37">
                  <c:v>3.1095108983661892</c:v>
                </c:pt>
                <c:pt idx="38">
                  <c:v>1.5752476292840976</c:v>
                </c:pt>
                <c:pt idx="39">
                  <c:v>0.3941440510082177</c:v>
                </c:pt>
                <c:pt idx="40">
                  <c:v>0.29248739326307094</c:v>
                </c:pt>
                <c:pt idx="41">
                  <c:v>-0.93339874585644023</c:v>
                </c:pt>
                <c:pt idx="42">
                  <c:v>2.8609360739223297</c:v>
                </c:pt>
                <c:pt idx="43">
                  <c:v>-0.44945692130845749</c:v>
                </c:pt>
                <c:pt idx="44">
                  <c:v>2.5257042870557784</c:v>
                </c:pt>
                <c:pt idx="45">
                  <c:v>0.32195109833132546</c:v>
                </c:pt>
                <c:pt idx="46">
                  <c:v>-0.38364685529762182</c:v>
                </c:pt>
                <c:pt idx="47">
                  <c:v>1.8101887790863302</c:v>
                </c:pt>
                <c:pt idx="48">
                  <c:v>-0.8739297602339734</c:v>
                </c:pt>
                <c:pt idx="49">
                  <c:v>0.77913542886387466</c:v>
                </c:pt>
                <c:pt idx="50">
                  <c:v>1.1252408849651883</c:v>
                </c:pt>
                <c:pt idx="51">
                  <c:v>-1.0801430002995103</c:v>
                </c:pt>
                <c:pt idx="52">
                  <c:v>1.2933080083597004</c:v>
                </c:pt>
                <c:pt idx="53">
                  <c:v>-0.34952011853591453</c:v>
                </c:pt>
                <c:pt idx="54">
                  <c:v>2.1937669383125291</c:v>
                </c:pt>
                <c:pt idx="55">
                  <c:v>-0.70844610563042631</c:v>
                </c:pt>
                <c:pt idx="56">
                  <c:v>-1.1425691586862545</c:v>
                </c:pt>
                <c:pt idx="57">
                  <c:v>-1.4912303020014905</c:v>
                </c:pt>
                <c:pt idx="58">
                  <c:v>2.4711222871909655</c:v>
                </c:pt>
                <c:pt idx="59">
                  <c:v>1.5632378548125487</c:v>
                </c:pt>
                <c:pt idx="60">
                  <c:v>0.17050584189129772</c:v>
                </c:pt>
                <c:pt idx="61">
                  <c:v>1.3282751471537555</c:v>
                </c:pt>
                <c:pt idx="62">
                  <c:v>1.3361896540353232E-2</c:v>
                </c:pt>
                <c:pt idx="63">
                  <c:v>4.5162099813618559E-2</c:v>
                </c:pt>
                <c:pt idx="64">
                  <c:v>-2.5280472836281653</c:v>
                </c:pt>
                <c:pt idx="65">
                  <c:v>-0.85098504001589137</c:v>
                </c:pt>
                <c:pt idx="66">
                  <c:v>-2.5046976641667626</c:v>
                </c:pt>
                <c:pt idx="67">
                  <c:v>-1.2793531068196276</c:v>
                </c:pt>
                <c:pt idx="68">
                  <c:v>1.3201728926043841</c:v>
                </c:pt>
                <c:pt idx="69">
                  <c:v>-0.83998798555617005</c:v>
                </c:pt>
                <c:pt idx="70">
                  <c:v>1.3072997744824202</c:v>
                </c:pt>
                <c:pt idx="71">
                  <c:v>0.79930043255834871</c:v>
                </c:pt>
                <c:pt idx="72">
                  <c:v>-2.1093949631446327E-2</c:v>
                </c:pt>
                <c:pt idx="73">
                  <c:v>-4.1526948243374111</c:v>
                </c:pt>
                <c:pt idx="74">
                  <c:v>-7.0047284893671877</c:v>
                </c:pt>
                <c:pt idx="75">
                  <c:v>4.5018822436456931</c:v>
                </c:pt>
                <c:pt idx="76">
                  <c:v>2.7070180675265525</c:v>
                </c:pt>
                <c:pt idx="77">
                  <c:v>1.4570599695124704</c:v>
                </c:pt>
                <c:pt idx="78">
                  <c:v>-0.45287219230992509</c:v>
                </c:pt>
                <c:pt idx="79">
                  <c:v>1.4746501612318974</c:v>
                </c:pt>
                <c:pt idx="80">
                  <c:v>-0.32059917407416511</c:v>
                </c:pt>
                <c:pt idx="81">
                  <c:v>-1.9001782009329338</c:v>
                </c:pt>
                <c:pt idx="82">
                  <c:v>5.5867022964527608</c:v>
                </c:pt>
                <c:pt idx="83">
                  <c:v>1.8519535193189707</c:v>
                </c:pt>
                <c:pt idx="84">
                  <c:v>-0.72114034769675106</c:v>
                </c:pt>
                <c:pt idx="85">
                  <c:v>-2.8872892422191813E-2</c:v>
                </c:pt>
                <c:pt idx="86">
                  <c:v>2.1554149374730458</c:v>
                </c:pt>
                <c:pt idx="87">
                  <c:v>2.3109716137805942</c:v>
                </c:pt>
                <c:pt idx="88">
                  <c:v>0.25176219913533959</c:v>
                </c:pt>
                <c:pt idx="89">
                  <c:v>1.1935119946777377</c:v>
                </c:pt>
                <c:pt idx="90">
                  <c:v>1.088562294937061</c:v>
                </c:pt>
                <c:pt idx="91">
                  <c:v>1.4799167353491935</c:v>
                </c:pt>
                <c:pt idx="92">
                  <c:v>-1.3312319193447704</c:v>
                </c:pt>
                <c:pt idx="93">
                  <c:v>1.7130121087748451</c:v>
                </c:pt>
                <c:pt idx="94">
                  <c:v>0.3416951439283733</c:v>
                </c:pt>
                <c:pt idx="95">
                  <c:v>1.3592930931331151</c:v>
                </c:pt>
                <c:pt idx="96">
                  <c:v>-2.2568118607420633</c:v>
                </c:pt>
                <c:pt idx="97">
                  <c:v>-1.1072210028407516</c:v>
                </c:pt>
                <c:pt idx="98">
                  <c:v>1.9965489332311821</c:v>
                </c:pt>
                <c:pt idx="99">
                  <c:v>-1.7163787658669345</c:v>
                </c:pt>
                <c:pt idx="100">
                  <c:v>-0.82038765576752415</c:v>
                </c:pt>
                <c:pt idx="101">
                  <c:v>-3.6875242113072275</c:v>
                </c:pt>
                <c:pt idx="102">
                  <c:v>3.8214888861569447</c:v>
                </c:pt>
                <c:pt idx="103">
                  <c:v>-1.8267949190726551</c:v>
                </c:pt>
                <c:pt idx="104">
                  <c:v>-4.6868598995851904</c:v>
                </c:pt>
                <c:pt idx="105">
                  <c:v>2.2441569439350513</c:v>
                </c:pt>
                <c:pt idx="106">
                  <c:v>2.5198681337412903</c:v>
                </c:pt>
                <c:pt idx="107">
                  <c:v>-1.3850399013585131</c:v>
                </c:pt>
                <c:pt idx="108">
                  <c:v>3.0698713827378343</c:v>
                </c:pt>
                <c:pt idx="109">
                  <c:v>-0.16023377056929605</c:v>
                </c:pt>
                <c:pt idx="110">
                  <c:v>-0.25809067214290327</c:v>
                </c:pt>
                <c:pt idx="111">
                  <c:v>0.94080499762717185</c:v>
                </c:pt>
                <c:pt idx="112">
                  <c:v>-1.4816122688402813</c:v>
                </c:pt>
                <c:pt idx="113">
                  <c:v>0.76715041455256716</c:v>
                </c:pt>
                <c:pt idx="114">
                  <c:v>1.9636320377819911</c:v>
                </c:pt>
                <c:pt idx="115">
                  <c:v>-0.62523746935851443</c:v>
                </c:pt>
                <c:pt idx="116">
                  <c:v>0.27937046819359035</c:v>
                </c:pt>
                <c:pt idx="117">
                  <c:v>-1.7024670003016547</c:v>
                </c:pt>
                <c:pt idx="118">
                  <c:v>3.1666873562985165</c:v>
                </c:pt>
                <c:pt idx="119">
                  <c:v>3.580071379617352</c:v>
                </c:pt>
                <c:pt idx="120">
                  <c:v>5.5182858323510636E-2</c:v>
                </c:pt>
                <c:pt idx="121">
                  <c:v>0.8173714702258239</c:v>
                </c:pt>
                <c:pt idx="122">
                  <c:v>2.5343167951715437</c:v>
                </c:pt>
                <c:pt idx="123">
                  <c:v>-0.49649597275839152</c:v>
                </c:pt>
                <c:pt idx="124">
                  <c:v>1.1573512190828252</c:v>
                </c:pt>
                <c:pt idx="125">
                  <c:v>1.1607317321410837</c:v>
                </c:pt>
                <c:pt idx="126">
                  <c:v>0.98384974618307341</c:v>
                </c:pt>
                <c:pt idx="127">
                  <c:v>0.20128346879376346</c:v>
                </c:pt>
                <c:pt idx="128">
                  <c:v>6.2862567183433013E-2</c:v>
                </c:pt>
                <c:pt idx="129">
                  <c:v>1.5244628300109645E-2</c:v>
                </c:pt>
                <c:pt idx="130">
                  <c:v>2.5118747000438195</c:v>
                </c:pt>
                <c:pt idx="131">
                  <c:v>-0.73047275946122014</c:v>
                </c:pt>
                <c:pt idx="132">
                  <c:v>2.664630651168546</c:v>
                </c:pt>
                <c:pt idx="133">
                  <c:v>-0.63980558944311527</c:v>
                </c:pt>
                <c:pt idx="134">
                  <c:v>-2.5680570998352561</c:v>
                </c:pt>
                <c:pt idx="135">
                  <c:v>-0.12574664360828455</c:v>
                </c:pt>
                <c:pt idx="136">
                  <c:v>2.3878145236429944</c:v>
                </c:pt>
                <c:pt idx="137">
                  <c:v>1.3006576888791135</c:v>
                </c:pt>
                <c:pt idx="138">
                  <c:v>2.3644571963769208</c:v>
                </c:pt>
                <c:pt idx="139">
                  <c:v>-3.7635693365227305E-2</c:v>
                </c:pt>
                <c:pt idx="140">
                  <c:v>1.5120608050198472</c:v>
                </c:pt>
                <c:pt idx="141">
                  <c:v>2.6303236664701828</c:v>
                </c:pt>
                <c:pt idx="142">
                  <c:v>6.4450144874432388E-2</c:v>
                </c:pt>
                <c:pt idx="143">
                  <c:v>0.64991632276644051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67-264A-94A8-64A6D25CFBE0}"/>
            </c:ext>
          </c:extLst>
        </c:ser>
        <c:ser>
          <c:idx val="1"/>
          <c:order val="1"/>
          <c:tx>
            <c:v>Predicted Asset Returns (%)</c:v>
          </c:tx>
          <c:spPr>
            <a:ln w="19050">
              <a:noFill/>
            </a:ln>
          </c:spPr>
          <c:xVal>
            <c:numRef>
              <c:f>Data!$W$2:$W$145</c:f>
              <c:numCache>
                <c:formatCode>0.0000</c:formatCode>
                <c:ptCount val="144"/>
                <c:pt idx="0">
                  <c:v>-5.1387194346069833</c:v>
                </c:pt>
                <c:pt idx="1">
                  <c:v>2.3484491421995508</c:v>
                </c:pt>
                <c:pt idx="2">
                  <c:v>-0.92319478819390199</c:v>
                </c:pt>
                <c:pt idx="3">
                  <c:v>0.82434767702086331</c:v>
                </c:pt>
                <c:pt idx="4">
                  <c:v>2.0252115715454142</c:v>
                </c:pt>
                <c:pt idx="5">
                  <c:v>-1.4083021680096535</c:v>
                </c:pt>
                <c:pt idx="6">
                  <c:v>-0.89531690384682072</c:v>
                </c:pt>
                <c:pt idx="7">
                  <c:v>2.0846292055168538</c:v>
                </c:pt>
                <c:pt idx="8">
                  <c:v>0.18815829103602541</c:v>
                </c:pt>
                <c:pt idx="9">
                  <c:v>-0.30403984882426438</c:v>
                </c:pt>
                <c:pt idx="10">
                  <c:v>1.2224064307019109</c:v>
                </c:pt>
                <c:pt idx="11">
                  <c:v>1.1188106566869516</c:v>
                </c:pt>
                <c:pt idx="12">
                  <c:v>-0.39386738542473537</c:v>
                </c:pt>
                <c:pt idx="13">
                  <c:v>0.23199314515441699</c:v>
                </c:pt>
                <c:pt idx="14">
                  <c:v>3.0510319131719719</c:v>
                </c:pt>
                <c:pt idx="15">
                  <c:v>-0.57569475557887417</c:v>
                </c:pt>
                <c:pt idx="16">
                  <c:v>0.34508593485068878</c:v>
                </c:pt>
                <c:pt idx="17">
                  <c:v>2.4668637873530348</c:v>
                </c:pt>
                <c:pt idx="18">
                  <c:v>1.3828982966028573</c:v>
                </c:pt>
                <c:pt idx="19">
                  <c:v>5.9348906527047323</c:v>
                </c:pt>
                <c:pt idx="20">
                  <c:v>-3.7396932352934624</c:v>
                </c:pt>
                <c:pt idx="21">
                  <c:v>1.0994857308880885</c:v>
                </c:pt>
                <c:pt idx="22">
                  <c:v>-2.3264834455409638</c:v>
                </c:pt>
                <c:pt idx="23">
                  <c:v>0.27399978476401698</c:v>
                </c:pt>
                <c:pt idx="24">
                  <c:v>-3.7708043023703515</c:v>
                </c:pt>
                <c:pt idx="25">
                  <c:v>2.4312561086316236</c:v>
                </c:pt>
                <c:pt idx="26">
                  <c:v>-2.163876747359093</c:v>
                </c:pt>
                <c:pt idx="27">
                  <c:v>0.5025858772171532</c:v>
                </c:pt>
                <c:pt idx="28">
                  <c:v>1.5012701524955124E-2</c:v>
                </c:pt>
                <c:pt idx="29">
                  <c:v>2.0734306549589543</c:v>
                </c:pt>
                <c:pt idx="30">
                  <c:v>-1.4165022256805997</c:v>
                </c:pt>
                <c:pt idx="31">
                  <c:v>0.66815720708482551</c:v>
                </c:pt>
                <c:pt idx="32">
                  <c:v>-0.80775400785913054</c:v>
                </c:pt>
                <c:pt idx="33">
                  <c:v>3.5954167685518694</c:v>
                </c:pt>
                <c:pt idx="34">
                  <c:v>0.91190414214845739</c:v>
                </c:pt>
                <c:pt idx="35">
                  <c:v>0.85468808124803441</c:v>
                </c:pt>
                <c:pt idx="36">
                  <c:v>3.5664770305249829</c:v>
                </c:pt>
                <c:pt idx="37">
                  <c:v>5.0465169683722939</c:v>
                </c:pt>
                <c:pt idx="38">
                  <c:v>3.4210472846484357</c:v>
                </c:pt>
                <c:pt idx="39">
                  <c:v>-1.9050206096671818</c:v>
                </c:pt>
                <c:pt idx="40">
                  <c:v>-4.4556526959210885</c:v>
                </c:pt>
                <c:pt idx="41">
                  <c:v>-1.6600067055434231</c:v>
                </c:pt>
                <c:pt idx="42">
                  <c:v>2.9503559863160107</c:v>
                </c:pt>
                <c:pt idx="43">
                  <c:v>-1.5202579266307075</c:v>
                </c:pt>
                <c:pt idx="44">
                  <c:v>2.6350509941130018</c:v>
                </c:pt>
                <c:pt idx="45">
                  <c:v>-0.17390455263532517</c:v>
                </c:pt>
                <c:pt idx="46">
                  <c:v>0.72625925846252182</c:v>
                </c:pt>
                <c:pt idx="47">
                  <c:v>1.5534992085354618</c:v>
                </c:pt>
                <c:pt idx="48">
                  <c:v>-1.3128763768352263</c:v>
                </c:pt>
                <c:pt idx="49">
                  <c:v>1.0235515044919676</c:v>
                </c:pt>
                <c:pt idx="50">
                  <c:v>0.87915557139737288</c:v>
                </c:pt>
                <c:pt idx="51">
                  <c:v>-2.0519560737810645</c:v>
                </c:pt>
                <c:pt idx="52">
                  <c:v>0.34628136161819018</c:v>
                </c:pt>
                <c:pt idx="53">
                  <c:v>-0.35419358995709715</c:v>
                </c:pt>
                <c:pt idx="54">
                  <c:v>1.858001601839639</c:v>
                </c:pt>
                <c:pt idx="55">
                  <c:v>-0.8877688063153264</c:v>
                </c:pt>
                <c:pt idx="56">
                  <c:v>-1.3769514272096248</c:v>
                </c:pt>
                <c:pt idx="57">
                  <c:v>0.20136749777207796</c:v>
                </c:pt>
                <c:pt idx="58">
                  <c:v>0.12731740286215751</c:v>
                </c:pt>
                <c:pt idx="59">
                  <c:v>-0.371473926792939</c:v>
                </c:pt>
                <c:pt idx="60">
                  <c:v>-0.41320150136606915</c:v>
                </c:pt>
                <c:pt idx="61">
                  <c:v>0.2551971584802315</c:v>
                </c:pt>
                <c:pt idx="62">
                  <c:v>0.54532839444733927</c:v>
                </c:pt>
                <c:pt idx="63">
                  <c:v>-1.1987084485525838</c:v>
                </c:pt>
                <c:pt idx="64">
                  <c:v>0.20365796077345244</c:v>
                </c:pt>
                <c:pt idx="65">
                  <c:v>-2.1905269483508447</c:v>
                </c:pt>
                <c:pt idx="66">
                  <c:v>1.357859374712971</c:v>
                </c:pt>
                <c:pt idx="67">
                  <c:v>1.0678641457547986</c:v>
                </c:pt>
                <c:pt idx="68">
                  <c:v>-4.062169850005945E-3</c:v>
                </c:pt>
                <c:pt idx="69">
                  <c:v>-0.25340601070870289</c:v>
                </c:pt>
                <c:pt idx="70">
                  <c:v>-0.20371933742089599</c:v>
                </c:pt>
                <c:pt idx="71">
                  <c:v>-6.8036926882462212E-2</c:v>
                </c:pt>
                <c:pt idx="72">
                  <c:v>3.0998066900760599</c:v>
                </c:pt>
                <c:pt idx="73">
                  <c:v>-1.5756409548922983</c:v>
                </c:pt>
                <c:pt idx="74">
                  <c:v>-6.5893968100260576</c:v>
                </c:pt>
                <c:pt idx="75">
                  <c:v>7.3665586735762902</c:v>
                </c:pt>
                <c:pt idx="76">
                  <c:v>1.0916617932992878</c:v>
                </c:pt>
                <c:pt idx="77">
                  <c:v>1.0163751457846373</c:v>
                </c:pt>
                <c:pt idx="78">
                  <c:v>2.1435700279400138</c:v>
                </c:pt>
                <c:pt idx="79">
                  <c:v>-1.204767361587278</c:v>
                </c:pt>
                <c:pt idx="80">
                  <c:v>-1.9469169716171044E-3</c:v>
                </c:pt>
                <c:pt idx="81">
                  <c:v>0.28979934223811843</c:v>
                </c:pt>
                <c:pt idx="82">
                  <c:v>2.3639052440224098</c:v>
                </c:pt>
                <c:pt idx="83">
                  <c:v>1.5490140567033936</c:v>
                </c:pt>
                <c:pt idx="84">
                  <c:v>-1.6477775578392471</c:v>
                </c:pt>
                <c:pt idx="85">
                  <c:v>-3.4798493915758022</c:v>
                </c:pt>
                <c:pt idx="86">
                  <c:v>1.7190145145590065E-2</c:v>
                </c:pt>
                <c:pt idx="87">
                  <c:v>0.3804319559628988</c:v>
                </c:pt>
                <c:pt idx="88">
                  <c:v>0.31001431749484604</c:v>
                </c:pt>
                <c:pt idx="89">
                  <c:v>0.85502216530240871</c:v>
                </c:pt>
                <c:pt idx="90">
                  <c:v>1.6132309956574875</c:v>
                </c:pt>
                <c:pt idx="91">
                  <c:v>-0.22870458134476115</c:v>
                </c:pt>
                <c:pt idx="92">
                  <c:v>-2.8087660797989829</c:v>
                </c:pt>
                <c:pt idx="93">
                  <c:v>0.69722145982741013</c:v>
                </c:pt>
                <c:pt idx="94">
                  <c:v>0.99547551042253035</c:v>
                </c:pt>
                <c:pt idx="95">
                  <c:v>-1.12353903746557</c:v>
                </c:pt>
                <c:pt idx="96">
                  <c:v>-4.0342794589013895</c:v>
                </c:pt>
                <c:pt idx="97">
                  <c:v>-3.1651689144312303</c:v>
                </c:pt>
                <c:pt idx="98">
                  <c:v>0.13326767049501004</c:v>
                </c:pt>
                <c:pt idx="99">
                  <c:v>-3.8653528730622675</c:v>
                </c:pt>
                <c:pt idx="100">
                  <c:v>-1.556403524525015</c:v>
                </c:pt>
                <c:pt idx="101">
                  <c:v>-3.4565692008015478</c:v>
                </c:pt>
                <c:pt idx="102">
                  <c:v>4.373127894277208</c:v>
                </c:pt>
                <c:pt idx="103">
                  <c:v>-8.1411935429504894</c:v>
                </c:pt>
                <c:pt idx="104">
                  <c:v>-9.1415438687040886</c:v>
                </c:pt>
                <c:pt idx="105">
                  <c:v>4.9981561061963475</c:v>
                </c:pt>
                <c:pt idx="106">
                  <c:v>3.7315693621188237</c:v>
                </c:pt>
                <c:pt idx="107">
                  <c:v>-1.6930601373866518</c:v>
                </c:pt>
                <c:pt idx="108">
                  <c:v>3.2693974797429637</c:v>
                </c:pt>
                <c:pt idx="109">
                  <c:v>-3.4044713219137206</c:v>
                </c:pt>
                <c:pt idx="110">
                  <c:v>1.1229372544900045</c:v>
                </c:pt>
                <c:pt idx="111">
                  <c:v>-4.5251950847142508E-2</c:v>
                </c:pt>
                <c:pt idx="112">
                  <c:v>-3.2207902839867755</c:v>
                </c:pt>
                <c:pt idx="113">
                  <c:v>-1.5304704600210068</c:v>
                </c:pt>
                <c:pt idx="114">
                  <c:v>2.0217015238879137</c:v>
                </c:pt>
                <c:pt idx="115">
                  <c:v>-0.73548575994241516</c:v>
                </c:pt>
                <c:pt idx="116">
                  <c:v>-0.41335762746622851</c:v>
                </c:pt>
                <c:pt idx="117">
                  <c:v>-0.46656124638286833</c:v>
                </c:pt>
                <c:pt idx="118">
                  <c:v>3.4138089910941942</c:v>
                </c:pt>
                <c:pt idx="119">
                  <c:v>4.4012225363925044</c:v>
                </c:pt>
                <c:pt idx="120">
                  <c:v>-1.5196917747234271</c:v>
                </c:pt>
                <c:pt idx="121">
                  <c:v>-1.062073375074631</c:v>
                </c:pt>
                <c:pt idx="122">
                  <c:v>1.477489362217179</c:v>
                </c:pt>
                <c:pt idx="123">
                  <c:v>-2.3781283099238917</c:v>
                </c:pt>
                <c:pt idx="124">
                  <c:v>0.47811004572060589</c:v>
                </c:pt>
                <c:pt idx="125">
                  <c:v>0.44551959930867541</c:v>
                </c:pt>
                <c:pt idx="126">
                  <c:v>1.3614075313738643</c:v>
                </c:pt>
                <c:pt idx="127">
                  <c:v>-7.7650136808625758E-3</c:v>
                </c:pt>
                <c:pt idx="128">
                  <c:v>-0.12972116439056908</c:v>
                </c:pt>
                <c:pt idx="129">
                  <c:v>-1.6695833580904584</c:v>
                </c:pt>
                <c:pt idx="130">
                  <c:v>1.4530967525660716</c:v>
                </c:pt>
                <c:pt idx="131">
                  <c:v>-0.78143310266141697</c:v>
                </c:pt>
                <c:pt idx="132">
                  <c:v>0.34908255979636738</c:v>
                </c:pt>
                <c:pt idx="133">
                  <c:v>0.13535969057984193</c:v>
                </c:pt>
                <c:pt idx="134">
                  <c:v>-1.8716624465378884</c:v>
                </c:pt>
                <c:pt idx="135">
                  <c:v>1.2656565827966442</c:v>
                </c:pt>
                <c:pt idx="136">
                  <c:v>-0.42014204580768427</c:v>
                </c:pt>
                <c:pt idx="137">
                  <c:v>1.4055246320234833</c:v>
                </c:pt>
                <c:pt idx="138">
                  <c:v>-2.3798636141916241E-2</c:v>
                </c:pt>
                <c:pt idx="139">
                  <c:v>-0.94564972218921284</c:v>
                </c:pt>
                <c:pt idx="140">
                  <c:v>0.73546966098117694</c:v>
                </c:pt>
                <c:pt idx="141">
                  <c:v>1.7116922764778253</c:v>
                </c:pt>
                <c:pt idx="142">
                  <c:v>-0.26362362275971585</c:v>
                </c:pt>
                <c:pt idx="143">
                  <c:v>0.22777557059858333</c:v>
                </c:pt>
              </c:numCache>
            </c:numRef>
          </c:xVal>
          <c:yVal>
            <c:numRef>
              <c:f>'Credit, VIX, DVIX, DInflation'!$B$29:$B$172</c:f>
              <c:numCache>
                <c:formatCode>General</c:formatCode>
                <c:ptCount val="144"/>
                <c:pt idx="0">
                  <c:v>-1.1995880156535725</c:v>
                </c:pt>
                <c:pt idx="1">
                  <c:v>2.4996061086713359</c:v>
                </c:pt>
                <c:pt idx="2">
                  <c:v>-0.75574984328963812</c:v>
                </c:pt>
                <c:pt idx="3">
                  <c:v>1.0943941140344275</c:v>
                </c:pt>
                <c:pt idx="4">
                  <c:v>2.2952355931871278</c:v>
                </c:pt>
                <c:pt idx="5">
                  <c:v>-0.12046386434676476</c:v>
                </c:pt>
                <c:pt idx="6">
                  <c:v>0.57538070556961007</c:v>
                </c:pt>
                <c:pt idx="7">
                  <c:v>0.58724595705444882</c:v>
                </c:pt>
                <c:pt idx="8">
                  <c:v>1.580892270314685</c:v>
                </c:pt>
                <c:pt idx="9">
                  <c:v>0.4441208675695239</c:v>
                </c:pt>
                <c:pt idx="10">
                  <c:v>1.1438416271865548</c:v>
                </c:pt>
                <c:pt idx="11">
                  <c:v>1.1782394292553831</c:v>
                </c:pt>
                <c:pt idx="12">
                  <c:v>0.6803267416305292</c:v>
                </c:pt>
                <c:pt idx="13">
                  <c:v>-0.95038101064763425</c:v>
                </c:pt>
                <c:pt idx="14">
                  <c:v>2.3889417428490693</c:v>
                </c:pt>
                <c:pt idx="15">
                  <c:v>-0.91346334037776455</c:v>
                </c:pt>
                <c:pt idx="16">
                  <c:v>1.0619630904439081</c:v>
                </c:pt>
                <c:pt idx="17">
                  <c:v>1.2938997717879923</c:v>
                </c:pt>
                <c:pt idx="18">
                  <c:v>-0.36189260877993701</c:v>
                </c:pt>
                <c:pt idx="19">
                  <c:v>2.2583612287395116</c:v>
                </c:pt>
                <c:pt idx="20">
                  <c:v>0.53035926076866347</c:v>
                </c:pt>
                <c:pt idx="21">
                  <c:v>0.63401310745091954</c:v>
                </c:pt>
                <c:pt idx="22">
                  <c:v>-2.1861808535364458E-4</c:v>
                </c:pt>
                <c:pt idx="23">
                  <c:v>0.33611445689241831</c:v>
                </c:pt>
                <c:pt idx="24">
                  <c:v>-1.9654012998921271</c:v>
                </c:pt>
                <c:pt idx="25">
                  <c:v>1.7795386381911169</c:v>
                </c:pt>
                <c:pt idx="26">
                  <c:v>-3.1635903894949191</c:v>
                </c:pt>
                <c:pt idx="27">
                  <c:v>-0.19735144014583275</c:v>
                </c:pt>
                <c:pt idx="28">
                  <c:v>1.861559948369462</c:v>
                </c:pt>
                <c:pt idx="29">
                  <c:v>0.46328314329700199</c:v>
                </c:pt>
                <c:pt idx="30">
                  <c:v>-0.85561229800974992</c:v>
                </c:pt>
                <c:pt idx="31">
                  <c:v>-6.5999563948184986E-2</c:v>
                </c:pt>
                <c:pt idx="32">
                  <c:v>4.0790241640808605E-2</c:v>
                </c:pt>
                <c:pt idx="33">
                  <c:v>3.4614884956332697</c:v>
                </c:pt>
                <c:pt idx="34">
                  <c:v>1.3299207517126466</c:v>
                </c:pt>
                <c:pt idx="35">
                  <c:v>0.97512529727950326</c:v>
                </c:pt>
                <c:pt idx="36">
                  <c:v>1.8658259860853084</c:v>
                </c:pt>
                <c:pt idx="37">
                  <c:v>3.4814379571819933</c:v>
                </c:pt>
                <c:pt idx="38">
                  <c:v>2.3513338437779212</c:v>
                </c:pt>
                <c:pt idx="39">
                  <c:v>-0.39452358914525398</c:v>
                </c:pt>
                <c:pt idx="40">
                  <c:v>-1.1238499174927443</c:v>
                </c:pt>
                <c:pt idx="41">
                  <c:v>0.12145224086896618</c:v>
                </c:pt>
                <c:pt idx="42">
                  <c:v>2.2441612057027851</c:v>
                </c:pt>
                <c:pt idx="43">
                  <c:v>0.49289883530660727</c:v>
                </c:pt>
                <c:pt idx="44">
                  <c:v>1.4636123309581677</c:v>
                </c:pt>
                <c:pt idx="45">
                  <c:v>0.43480029264384873</c:v>
                </c:pt>
                <c:pt idx="46">
                  <c:v>1.1824671768948938</c:v>
                </c:pt>
                <c:pt idx="47">
                  <c:v>1.3394255503750199</c:v>
                </c:pt>
                <c:pt idx="48">
                  <c:v>-0.10024093390830975</c:v>
                </c:pt>
                <c:pt idx="49">
                  <c:v>1.2540083830282516</c:v>
                </c:pt>
                <c:pt idx="50">
                  <c:v>0.84379224514492179</c:v>
                </c:pt>
                <c:pt idx="51">
                  <c:v>0.15481365491299665</c:v>
                </c:pt>
                <c:pt idx="52">
                  <c:v>0.5972551942752713</c:v>
                </c:pt>
                <c:pt idx="53">
                  <c:v>9.6255813075652855E-2</c:v>
                </c:pt>
                <c:pt idx="54">
                  <c:v>1.1943061414698286</c:v>
                </c:pt>
                <c:pt idx="55">
                  <c:v>-0.49853381842392092</c:v>
                </c:pt>
                <c:pt idx="56">
                  <c:v>-1.1702060686124605</c:v>
                </c:pt>
                <c:pt idx="57">
                  <c:v>0.51610690602364273</c:v>
                </c:pt>
                <c:pt idx="58">
                  <c:v>0.96832059966361073</c:v>
                </c:pt>
                <c:pt idx="59">
                  <c:v>0.39241114009589079</c:v>
                </c:pt>
                <c:pt idx="60">
                  <c:v>-0.30406318820415651</c:v>
                </c:pt>
                <c:pt idx="61">
                  <c:v>1.3868273273354836</c:v>
                </c:pt>
                <c:pt idx="62">
                  <c:v>0.58440035526036282</c:v>
                </c:pt>
                <c:pt idx="63">
                  <c:v>0.48007896970395036</c:v>
                </c:pt>
                <c:pt idx="64">
                  <c:v>-1.0790579479710158</c:v>
                </c:pt>
                <c:pt idx="65">
                  <c:v>-0.46586814445289559</c:v>
                </c:pt>
                <c:pt idx="66">
                  <c:v>-0.23260217406023273</c:v>
                </c:pt>
                <c:pt idx="67">
                  <c:v>1.5176485244565701</c:v>
                </c:pt>
                <c:pt idx="68">
                  <c:v>0.79184702500412485</c:v>
                </c:pt>
                <c:pt idx="69">
                  <c:v>0.45459101266396162</c:v>
                </c:pt>
                <c:pt idx="70">
                  <c:v>0.54093466300157433</c:v>
                </c:pt>
                <c:pt idx="71">
                  <c:v>1.1225478409402125</c:v>
                </c:pt>
                <c:pt idx="72">
                  <c:v>0.83044383725323967</c:v>
                </c:pt>
                <c:pt idx="73">
                  <c:v>-2.9689040664640891</c:v>
                </c:pt>
                <c:pt idx="74">
                  <c:v>-7.4133560763188147</c:v>
                </c:pt>
                <c:pt idx="75">
                  <c:v>4.7228002517401082</c:v>
                </c:pt>
                <c:pt idx="76">
                  <c:v>2.2842875474806297</c:v>
                </c:pt>
                <c:pt idx="77">
                  <c:v>0.42926943660939143</c:v>
                </c:pt>
                <c:pt idx="78">
                  <c:v>2.2636535291670805</c:v>
                </c:pt>
                <c:pt idx="79">
                  <c:v>0.18275488918720345</c:v>
                </c:pt>
                <c:pt idx="80">
                  <c:v>-8.9087774617454582E-2</c:v>
                </c:pt>
                <c:pt idx="81">
                  <c:v>-0.42203556962103134</c:v>
                </c:pt>
                <c:pt idx="82">
                  <c:v>3.1825155856354721</c:v>
                </c:pt>
                <c:pt idx="83">
                  <c:v>1.0358499023657106</c:v>
                </c:pt>
                <c:pt idx="84">
                  <c:v>-1.0193458563344879</c:v>
                </c:pt>
                <c:pt idx="85">
                  <c:v>-0.62929160594170741</c:v>
                </c:pt>
                <c:pt idx="86">
                  <c:v>1.324131281443701</c:v>
                </c:pt>
                <c:pt idx="87">
                  <c:v>0.55103745627979805</c:v>
                </c:pt>
                <c:pt idx="88">
                  <c:v>1.0024354080715077</c:v>
                </c:pt>
                <c:pt idx="89">
                  <c:v>0.95682699926698234</c:v>
                </c:pt>
                <c:pt idx="90">
                  <c:v>0.93597916975560624</c:v>
                </c:pt>
                <c:pt idx="91">
                  <c:v>0.70606919655801537</c:v>
                </c:pt>
                <c:pt idx="92">
                  <c:v>-1.0598589120040549</c:v>
                </c:pt>
                <c:pt idx="93">
                  <c:v>1.3559528410214596</c:v>
                </c:pt>
                <c:pt idx="94">
                  <c:v>-0.64345209385312807</c:v>
                </c:pt>
                <c:pt idx="95">
                  <c:v>0.88485291044586278</c:v>
                </c:pt>
                <c:pt idx="96">
                  <c:v>-2.4010834671206855</c:v>
                </c:pt>
                <c:pt idx="97">
                  <c:v>-1.3558256909231747</c:v>
                </c:pt>
                <c:pt idx="98">
                  <c:v>1.0647736077714063</c:v>
                </c:pt>
                <c:pt idx="99">
                  <c:v>-3.5631713613418787</c:v>
                </c:pt>
                <c:pt idx="100">
                  <c:v>-0.37936944694984304</c:v>
                </c:pt>
                <c:pt idx="101">
                  <c:v>-4.2189472725963402</c:v>
                </c:pt>
                <c:pt idx="102">
                  <c:v>4.2842535685412759</c:v>
                </c:pt>
                <c:pt idx="103">
                  <c:v>-3.3244488223202597</c:v>
                </c:pt>
                <c:pt idx="104">
                  <c:v>-4.7877632552225675</c:v>
                </c:pt>
                <c:pt idx="105">
                  <c:v>2.5867214201034843</c:v>
                </c:pt>
                <c:pt idx="106">
                  <c:v>2.461898422693686</c:v>
                </c:pt>
                <c:pt idx="107">
                  <c:v>-1.1742169492110408</c:v>
                </c:pt>
                <c:pt idx="108">
                  <c:v>2.0474704876664505</c:v>
                </c:pt>
                <c:pt idx="109">
                  <c:v>-1.0208377022187871</c:v>
                </c:pt>
                <c:pt idx="110">
                  <c:v>1.1759599209190559</c:v>
                </c:pt>
                <c:pt idx="111">
                  <c:v>0.52851495242885727</c:v>
                </c:pt>
                <c:pt idx="112">
                  <c:v>-0.63622748454606892</c:v>
                </c:pt>
                <c:pt idx="113">
                  <c:v>0.48446617814068355</c:v>
                </c:pt>
                <c:pt idx="114">
                  <c:v>1.2783419846908479</c:v>
                </c:pt>
                <c:pt idx="115">
                  <c:v>0.6336677667333066</c:v>
                </c:pt>
                <c:pt idx="116">
                  <c:v>-0.13828203517293997</c:v>
                </c:pt>
                <c:pt idx="117">
                  <c:v>-7.9136431557968429E-2</c:v>
                </c:pt>
                <c:pt idx="118">
                  <c:v>2.91511213069762</c:v>
                </c:pt>
                <c:pt idx="119">
                  <c:v>2.9791907269635844</c:v>
                </c:pt>
                <c:pt idx="120">
                  <c:v>-6.1979152619800831E-2</c:v>
                </c:pt>
                <c:pt idx="121">
                  <c:v>0.17040853266688766</c:v>
                </c:pt>
                <c:pt idx="122">
                  <c:v>1.422049723210085</c:v>
                </c:pt>
                <c:pt idx="123">
                  <c:v>-0.55829296259961447</c:v>
                </c:pt>
                <c:pt idx="124">
                  <c:v>0.99535532001876714</c:v>
                </c:pt>
                <c:pt idx="125">
                  <c:v>0.57229743118407117</c:v>
                </c:pt>
                <c:pt idx="126">
                  <c:v>0.62368722612523353</c:v>
                </c:pt>
                <c:pt idx="127">
                  <c:v>1.7244947362168406</c:v>
                </c:pt>
                <c:pt idx="128">
                  <c:v>1.0690614110873351</c:v>
                </c:pt>
                <c:pt idx="129">
                  <c:v>-0.67026234030682041</c:v>
                </c:pt>
                <c:pt idx="130">
                  <c:v>2.0330453203492787</c:v>
                </c:pt>
                <c:pt idx="131">
                  <c:v>-0.46251761469850899</c:v>
                </c:pt>
                <c:pt idx="132">
                  <c:v>0.99139426445365098</c:v>
                </c:pt>
                <c:pt idx="133">
                  <c:v>0.27064088274035003</c:v>
                </c:pt>
                <c:pt idx="134">
                  <c:v>-0.49859419306641239</c:v>
                </c:pt>
                <c:pt idx="135">
                  <c:v>0.31506354148142807</c:v>
                </c:pt>
                <c:pt idx="136">
                  <c:v>0.8937274547892774</c:v>
                </c:pt>
                <c:pt idx="137">
                  <c:v>0.94372722559778199</c:v>
                </c:pt>
                <c:pt idx="138">
                  <c:v>0.7111566057932337</c:v>
                </c:pt>
                <c:pt idx="139">
                  <c:v>0.36437248837594516</c:v>
                </c:pt>
                <c:pt idx="140">
                  <c:v>0.8860382046925197</c:v>
                </c:pt>
                <c:pt idx="141">
                  <c:v>0.84464801376198895</c:v>
                </c:pt>
                <c:pt idx="142">
                  <c:v>0.4735296615780803</c:v>
                </c:pt>
                <c:pt idx="143">
                  <c:v>0.70030981361440292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167-264A-94A8-64A6D25CF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4873504"/>
        <c:axId val="794987584"/>
      </c:scatterChart>
      <c:valAx>
        <c:axId val="794873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IG Credit Spread (%)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794987584"/>
        <c:crosses val="autoZero"/>
        <c:crossBetween val="midCat"/>
      </c:valAx>
      <c:valAx>
        <c:axId val="7949875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Asset Returns (%)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7948735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'Credit, VIX, DVIX, DInflation'!$F$29:$F$172</c:f>
              <c:numCache>
                <c:formatCode>General</c:formatCode>
                <c:ptCount val="144"/>
                <c:pt idx="0">
                  <c:v>0.34722222222222221</c:v>
                </c:pt>
                <c:pt idx="1">
                  <c:v>1.0416666666666665</c:v>
                </c:pt>
                <c:pt idx="2">
                  <c:v>1.7361111111111112</c:v>
                </c:pt>
                <c:pt idx="3">
                  <c:v>2.4305555555555554</c:v>
                </c:pt>
                <c:pt idx="4">
                  <c:v>3.125</c:v>
                </c:pt>
                <c:pt idx="5">
                  <c:v>3.8194444444444446</c:v>
                </c:pt>
                <c:pt idx="6">
                  <c:v>4.5138888888888884</c:v>
                </c:pt>
                <c:pt idx="7">
                  <c:v>5.208333333333333</c:v>
                </c:pt>
                <c:pt idx="8">
                  <c:v>5.9027777777777777</c:v>
                </c:pt>
                <c:pt idx="9">
                  <c:v>6.5972222222222223</c:v>
                </c:pt>
                <c:pt idx="10">
                  <c:v>7.291666666666667</c:v>
                </c:pt>
                <c:pt idx="11">
                  <c:v>7.9861111111111107</c:v>
                </c:pt>
                <c:pt idx="12">
                  <c:v>8.6805555555555536</c:v>
                </c:pt>
                <c:pt idx="13">
                  <c:v>9.3749999999999982</c:v>
                </c:pt>
                <c:pt idx="14">
                  <c:v>10.069444444444443</c:v>
                </c:pt>
                <c:pt idx="15">
                  <c:v>10.763888888888888</c:v>
                </c:pt>
                <c:pt idx="16">
                  <c:v>11.458333333333332</c:v>
                </c:pt>
                <c:pt idx="17">
                  <c:v>12.152777777777777</c:v>
                </c:pt>
                <c:pt idx="18">
                  <c:v>12.847222222222221</c:v>
                </c:pt>
                <c:pt idx="19">
                  <c:v>13.541666666666666</c:v>
                </c:pt>
                <c:pt idx="20">
                  <c:v>14.236111111111111</c:v>
                </c:pt>
                <c:pt idx="21">
                  <c:v>14.930555555555554</c:v>
                </c:pt>
                <c:pt idx="22">
                  <c:v>15.624999999999998</c:v>
                </c:pt>
                <c:pt idx="23">
                  <c:v>16.319444444444443</c:v>
                </c:pt>
                <c:pt idx="24">
                  <c:v>17.013888888888886</c:v>
                </c:pt>
                <c:pt idx="25">
                  <c:v>17.708333333333332</c:v>
                </c:pt>
                <c:pt idx="26">
                  <c:v>18.402777777777775</c:v>
                </c:pt>
                <c:pt idx="27">
                  <c:v>19.097222222222221</c:v>
                </c:pt>
                <c:pt idx="28">
                  <c:v>19.791666666666664</c:v>
                </c:pt>
                <c:pt idx="29">
                  <c:v>20.486111111111111</c:v>
                </c:pt>
                <c:pt idx="30">
                  <c:v>21.180555555555554</c:v>
                </c:pt>
                <c:pt idx="31">
                  <c:v>21.875</c:v>
                </c:pt>
                <c:pt idx="32">
                  <c:v>22.569444444444443</c:v>
                </c:pt>
                <c:pt idx="33">
                  <c:v>23.263888888888886</c:v>
                </c:pt>
                <c:pt idx="34">
                  <c:v>23.958333333333332</c:v>
                </c:pt>
                <c:pt idx="35">
                  <c:v>24.652777777777775</c:v>
                </c:pt>
                <c:pt idx="36">
                  <c:v>25.347222222222221</c:v>
                </c:pt>
                <c:pt idx="37">
                  <c:v>26.041666666666664</c:v>
                </c:pt>
                <c:pt idx="38">
                  <c:v>26.736111111111111</c:v>
                </c:pt>
                <c:pt idx="39">
                  <c:v>27.430555555555554</c:v>
                </c:pt>
                <c:pt idx="40">
                  <c:v>28.125</c:v>
                </c:pt>
                <c:pt idx="41">
                  <c:v>28.819444444444443</c:v>
                </c:pt>
                <c:pt idx="42">
                  <c:v>29.513888888888886</c:v>
                </c:pt>
                <c:pt idx="43">
                  <c:v>30.208333333333332</c:v>
                </c:pt>
                <c:pt idx="44">
                  <c:v>30.902777777777775</c:v>
                </c:pt>
                <c:pt idx="45">
                  <c:v>31.597222222222221</c:v>
                </c:pt>
                <c:pt idx="46">
                  <c:v>32.291666666666664</c:v>
                </c:pt>
                <c:pt idx="47">
                  <c:v>32.986111111111107</c:v>
                </c:pt>
                <c:pt idx="48">
                  <c:v>33.68055555555555</c:v>
                </c:pt>
                <c:pt idx="49">
                  <c:v>34.375</c:v>
                </c:pt>
                <c:pt idx="50">
                  <c:v>35.069444444444443</c:v>
                </c:pt>
                <c:pt idx="51">
                  <c:v>35.763888888888886</c:v>
                </c:pt>
                <c:pt idx="52">
                  <c:v>36.458333333333329</c:v>
                </c:pt>
                <c:pt idx="53">
                  <c:v>37.152777777777779</c:v>
                </c:pt>
                <c:pt idx="54">
                  <c:v>37.847222222222221</c:v>
                </c:pt>
                <c:pt idx="55">
                  <c:v>38.541666666666664</c:v>
                </c:pt>
                <c:pt idx="56">
                  <c:v>39.236111111111107</c:v>
                </c:pt>
                <c:pt idx="57">
                  <c:v>39.93055555555555</c:v>
                </c:pt>
                <c:pt idx="58">
                  <c:v>40.625</c:v>
                </c:pt>
                <c:pt idx="59">
                  <c:v>41.319444444444443</c:v>
                </c:pt>
                <c:pt idx="60">
                  <c:v>42.013888888888886</c:v>
                </c:pt>
                <c:pt idx="61">
                  <c:v>42.708333333333329</c:v>
                </c:pt>
                <c:pt idx="62">
                  <c:v>43.402777777777779</c:v>
                </c:pt>
                <c:pt idx="63">
                  <c:v>44.097222222222221</c:v>
                </c:pt>
                <c:pt idx="64">
                  <c:v>44.791666666666664</c:v>
                </c:pt>
                <c:pt idx="65">
                  <c:v>45.486111111111107</c:v>
                </c:pt>
                <c:pt idx="66">
                  <c:v>46.18055555555555</c:v>
                </c:pt>
                <c:pt idx="67">
                  <c:v>46.875</c:v>
                </c:pt>
                <c:pt idx="68">
                  <c:v>47.569444444444443</c:v>
                </c:pt>
                <c:pt idx="69">
                  <c:v>48.263888888888886</c:v>
                </c:pt>
                <c:pt idx="70">
                  <c:v>48.958333333333329</c:v>
                </c:pt>
                <c:pt idx="71">
                  <c:v>49.652777777777779</c:v>
                </c:pt>
                <c:pt idx="72">
                  <c:v>50.347222222222221</c:v>
                </c:pt>
                <c:pt idx="73">
                  <c:v>51.041666666666664</c:v>
                </c:pt>
                <c:pt idx="74">
                  <c:v>51.736111111111107</c:v>
                </c:pt>
                <c:pt idx="75">
                  <c:v>52.43055555555555</c:v>
                </c:pt>
                <c:pt idx="76">
                  <c:v>53.125</c:v>
                </c:pt>
                <c:pt idx="77">
                  <c:v>53.819444444444443</c:v>
                </c:pt>
                <c:pt idx="78">
                  <c:v>54.513888888888886</c:v>
                </c:pt>
                <c:pt idx="79">
                  <c:v>55.208333333333329</c:v>
                </c:pt>
                <c:pt idx="80">
                  <c:v>55.902777777777779</c:v>
                </c:pt>
                <c:pt idx="81">
                  <c:v>56.597222222222221</c:v>
                </c:pt>
                <c:pt idx="82">
                  <c:v>57.291666666666664</c:v>
                </c:pt>
                <c:pt idx="83">
                  <c:v>57.986111111111107</c:v>
                </c:pt>
                <c:pt idx="84">
                  <c:v>58.68055555555555</c:v>
                </c:pt>
                <c:pt idx="85">
                  <c:v>59.375</c:v>
                </c:pt>
                <c:pt idx="86">
                  <c:v>60.069444444444443</c:v>
                </c:pt>
                <c:pt idx="87">
                  <c:v>60.763888888888886</c:v>
                </c:pt>
                <c:pt idx="88">
                  <c:v>61.458333333333329</c:v>
                </c:pt>
                <c:pt idx="89">
                  <c:v>62.152777777777771</c:v>
                </c:pt>
                <c:pt idx="90">
                  <c:v>62.847222222222221</c:v>
                </c:pt>
                <c:pt idx="91">
                  <c:v>63.541666666666664</c:v>
                </c:pt>
                <c:pt idx="92">
                  <c:v>64.236111111111114</c:v>
                </c:pt>
                <c:pt idx="93">
                  <c:v>64.930555555555557</c:v>
                </c:pt>
                <c:pt idx="94">
                  <c:v>65.625</c:v>
                </c:pt>
                <c:pt idx="95">
                  <c:v>66.319444444444443</c:v>
                </c:pt>
                <c:pt idx="96">
                  <c:v>67.013888888888886</c:v>
                </c:pt>
                <c:pt idx="97">
                  <c:v>67.708333333333343</c:v>
                </c:pt>
                <c:pt idx="98">
                  <c:v>68.402777777777786</c:v>
                </c:pt>
                <c:pt idx="99">
                  <c:v>69.097222222222229</c:v>
                </c:pt>
                <c:pt idx="100">
                  <c:v>69.791666666666671</c:v>
                </c:pt>
                <c:pt idx="101">
                  <c:v>70.486111111111114</c:v>
                </c:pt>
                <c:pt idx="102">
                  <c:v>71.180555555555557</c:v>
                </c:pt>
                <c:pt idx="103">
                  <c:v>71.875</c:v>
                </c:pt>
                <c:pt idx="104">
                  <c:v>72.569444444444443</c:v>
                </c:pt>
                <c:pt idx="105">
                  <c:v>73.263888888888886</c:v>
                </c:pt>
                <c:pt idx="106">
                  <c:v>73.958333333333343</c:v>
                </c:pt>
                <c:pt idx="107">
                  <c:v>74.652777777777786</c:v>
                </c:pt>
                <c:pt idx="108">
                  <c:v>75.347222222222229</c:v>
                </c:pt>
                <c:pt idx="109">
                  <c:v>76.041666666666671</c:v>
                </c:pt>
                <c:pt idx="110">
                  <c:v>76.736111111111114</c:v>
                </c:pt>
                <c:pt idx="111">
                  <c:v>77.430555555555557</c:v>
                </c:pt>
                <c:pt idx="112">
                  <c:v>78.125</c:v>
                </c:pt>
                <c:pt idx="113">
                  <c:v>78.819444444444443</c:v>
                </c:pt>
                <c:pt idx="114">
                  <c:v>79.513888888888886</c:v>
                </c:pt>
                <c:pt idx="115">
                  <c:v>80.208333333333343</c:v>
                </c:pt>
                <c:pt idx="116">
                  <c:v>80.902777777777786</c:v>
                </c:pt>
                <c:pt idx="117">
                  <c:v>81.597222222222229</c:v>
                </c:pt>
                <c:pt idx="118">
                  <c:v>82.291666666666671</c:v>
                </c:pt>
                <c:pt idx="119">
                  <c:v>82.986111111111114</c:v>
                </c:pt>
                <c:pt idx="120">
                  <c:v>83.680555555555557</c:v>
                </c:pt>
                <c:pt idx="121">
                  <c:v>84.375</c:v>
                </c:pt>
                <c:pt idx="122">
                  <c:v>85.069444444444443</c:v>
                </c:pt>
                <c:pt idx="123">
                  <c:v>85.763888888888886</c:v>
                </c:pt>
                <c:pt idx="124">
                  <c:v>86.458333333333343</c:v>
                </c:pt>
                <c:pt idx="125">
                  <c:v>87.152777777777786</c:v>
                </c:pt>
                <c:pt idx="126">
                  <c:v>87.847222222222229</c:v>
                </c:pt>
                <c:pt idx="127">
                  <c:v>88.541666666666671</c:v>
                </c:pt>
                <c:pt idx="128">
                  <c:v>89.236111111111114</c:v>
                </c:pt>
                <c:pt idx="129">
                  <c:v>89.930555555555557</c:v>
                </c:pt>
                <c:pt idx="130">
                  <c:v>90.625</c:v>
                </c:pt>
                <c:pt idx="131">
                  <c:v>91.319444444444443</c:v>
                </c:pt>
                <c:pt idx="132">
                  <c:v>92.013888888888886</c:v>
                </c:pt>
                <c:pt idx="133">
                  <c:v>92.708333333333343</c:v>
                </c:pt>
                <c:pt idx="134">
                  <c:v>93.402777777777786</c:v>
                </c:pt>
                <c:pt idx="135">
                  <c:v>94.097222222222229</c:v>
                </c:pt>
                <c:pt idx="136">
                  <c:v>94.791666666666671</c:v>
                </c:pt>
                <c:pt idx="137">
                  <c:v>95.486111111111114</c:v>
                </c:pt>
                <c:pt idx="138">
                  <c:v>96.180555555555557</c:v>
                </c:pt>
                <c:pt idx="139">
                  <c:v>96.875</c:v>
                </c:pt>
                <c:pt idx="140">
                  <c:v>97.569444444444443</c:v>
                </c:pt>
                <c:pt idx="141">
                  <c:v>98.263888888888886</c:v>
                </c:pt>
                <c:pt idx="142">
                  <c:v>98.958333333333343</c:v>
                </c:pt>
                <c:pt idx="143">
                  <c:v>99.652777777777786</c:v>
                </c:pt>
              </c:numCache>
            </c:numRef>
          </c:xVal>
          <c:yVal>
            <c:numRef>
              <c:f>'Credit, VIX, DVIX, DInflation'!$G$29:$G$172</c:f>
              <c:numCache>
                <c:formatCode>General</c:formatCode>
                <c:ptCount val="144"/>
                <c:pt idx="0">
                  <c:v>-7.0047284893671877</c:v>
                </c:pt>
                <c:pt idx="1">
                  <c:v>-4.6868598995851904</c:v>
                </c:pt>
                <c:pt idx="2">
                  <c:v>-4.1526948243374111</c:v>
                </c:pt>
                <c:pt idx="3">
                  <c:v>-3.6875242113072275</c:v>
                </c:pt>
                <c:pt idx="4">
                  <c:v>-3.3442885744124804</c:v>
                </c:pt>
                <c:pt idx="5">
                  <c:v>-3.1231512210139143</c:v>
                </c:pt>
                <c:pt idx="6">
                  <c:v>-2.9682787226250409</c:v>
                </c:pt>
                <c:pt idx="7">
                  <c:v>-2.5680570998352561</c:v>
                </c:pt>
                <c:pt idx="8">
                  <c:v>-2.5280472836281653</c:v>
                </c:pt>
                <c:pt idx="9">
                  <c:v>-2.5046976641667626</c:v>
                </c:pt>
                <c:pt idx="10">
                  <c:v>-2.2568118607420633</c:v>
                </c:pt>
                <c:pt idx="11">
                  <c:v>-1.9001782009329338</c:v>
                </c:pt>
                <c:pt idx="12">
                  <c:v>-1.8423176925388944</c:v>
                </c:pt>
                <c:pt idx="13">
                  <c:v>-1.8267949190726551</c:v>
                </c:pt>
                <c:pt idx="14">
                  <c:v>-1.7163787658669345</c:v>
                </c:pt>
                <c:pt idx="15">
                  <c:v>-1.7024670003016547</c:v>
                </c:pt>
                <c:pt idx="16">
                  <c:v>-1.4912303020014905</c:v>
                </c:pt>
                <c:pt idx="17">
                  <c:v>-1.4816122688402813</c:v>
                </c:pt>
                <c:pt idx="18">
                  <c:v>-1.3850399013585131</c:v>
                </c:pt>
                <c:pt idx="19">
                  <c:v>-1.3845334693391671</c:v>
                </c:pt>
                <c:pt idx="20">
                  <c:v>-1.3312319193447704</c:v>
                </c:pt>
                <c:pt idx="21">
                  <c:v>-1.2793531068196276</c:v>
                </c:pt>
                <c:pt idx="22">
                  <c:v>-1.1425691586862545</c:v>
                </c:pt>
                <c:pt idx="23">
                  <c:v>-1.1072210028407516</c:v>
                </c:pt>
                <c:pt idx="24">
                  <c:v>-1.0801430002995103</c:v>
                </c:pt>
                <c:pt idx="25">
                  <c:v>-0.94912629185626851</c:v>
                </c:pt>
                <c:pt idx="26">
                  <c:v>-0.93339874585644023</c:v>
                </c:pt>
                <c:pt idx="27">
                  <c:v>-0.8739297602339734</c:v>
                </c:pt>
                <c:pt idx="28">
                  <c:v>-0.85098504001589137</c:v>
                </c:pt>
                <c:pt idx="29">
                  <c:v>-0.84486748191592764</c:v>
                </c:pt>
                <c:pt idx="30">
                  <c:v>-0.83998798555617005</c:v>
                </c:pt>
                <c:pt idx="31">
                  <c:v>-0.82038765576752415</c:v>
                </c:pt>
                <c:pt idx="32">
                  <c:v>-0.73047275946122014</c:v>
                </c:pt>
                <c:pt idx="33">
                  <c:v>-0.72114034769675106</c:v>
                </c:pt>
                <c:pt idx="34">
                  <c:v>-0.70844610563042631</c:v>
                </c:pt>
                <c:pt idx="35">
                  <c:v>-0.63980558944311527</c:v>
                </c:pt>
                <c:pt idx="36">
                  <c:v>-0.63321922178810008</c:v>
                </c:pt>
                <c:pt idx="37">
                  <c:v>-0.62523746935851443</c:v>
                </c:pt>
                <c:pt idx="38">
                  <c:v>-0.60205936122706527</c:v>
                </c:pt>
                <c:pt idx="39">
                  <c:v>-0.49649597275839152</c:v>
                </c:pt>
                <c:pt idx="40">
                  <c:v>-0.45287219230992509</c:v>
                </c:pt>
                <c:pt idx="41">
                  <c:v>-0.44945692130845749</c:v>
                </c:pt>
                <c:pt idx="42">
                  <c:v>-0.42414010254649709</c:v>
                </c:pt>
                <c:pt idx="43">
                  <c:v>-0.40587403799491967</c:v>
                </c:pt>
                <c:pt idx="44">
                  <c:v>-0.38364685529762182</c:v>
                </c:pt>
                <c:pt idx="45">
                  <c:v>-0.34952011853591453</c:v>
                </c:pt>
                <c:pt idx="46">
                  <c:v>-0.32059917407416511</c:v>
                </c:pt>
                <c:pt idx="47">
                  <c:v>-0.25809067214290327</c:v>
                </c:pt>
                <c:pt idx="48">
                  <c:v>-0.23417506109101072</c:v>
                </c:pt>
                <c:pt idx="49">
                  <c:v>-0.18651939975316809</c:v>
                </c:pt>
                <c:pt idx="50">
                  <c:v>-0.16023377056929605</c:v>
                </c:pt>
                <c:pt idx="51">
                  <c:v>-0.15960421366991845</c:v>
                </c:pt>
                <c:pt idx="52">
                  <c:v>-0.12574664360828455</c:v>
                </c:pt>
                <c:pt idx="53">
                  <c:v>-3.7635693365227305E-2</c:v>
                </c:pt>
                <c:pt idx="54">
                  <c:v>-2.8872892422191813E-2</c:v>
                </c:pt>
                <c:pt idx="55">
                  <c:v>-2.1093949631446327E-2</c:v>
                </c:pt>
                <c:pt idx="56">
                  <c:v>2.1744398396726858E-3</c:v>
                </c:pt>
                <c:pt idx="57">
                  <c:v>1.3361896540353232E-2</c:v>
                </c:pt>
                <c:pt idx="58">
                  <c:v>1.5244628300109645E-2</c:v>
                </c:pt>
                <c:pt idx="59">
                  <c:v>4.5162099813618559E-2</c:v>
                </c:pt>
                <c:pt idx="60">
                  <c:v>5.5182858323510636E-2</c:v>
                </c:pt>
                <c:pt idx="61">
                  <c:v>6.2862567183433013E-2</c:v>
                </c:pt>
                <c:pt idx="62">
                  <c:v>6.4450144874432388E-2</c:v>
                </c:pt>
                <c:pt idx="63">
                  <c:v>0.17050584189129772</c:v>
                </c:pt>
                <c:pt idx="64">
                  <c:v>0.20128346879376346</c:v>
                </c:pt>
                <c:pt idx="65">
                  <c:v>0.25176219913533959</c:v>
                </c:pt>
                <c:pt idx="66">
                  <c:v>0.27937046819359035</c:v>
                </c:pt>
                <c:pt idx="67">
                  <c:v>0.29248739326307094</c:v>
                </c:pt>
                <c:pt idx="68">
                  <c:v>0.32195109833132546</c:v>
                </c:pt>
                <c:pt idx="69">
                  <c:v>0.3416951439283733</c:v>
                </c:pt>
                <c:pt idx="70">
                  <c:v>0.3941440510082177</c:v>
                </c:pt>
                <c:pt idx="71">
                  <c:v>0.39463790345239053</c:v>
                </c:pt>
                <c:pt idx="72">
                  <c:v>0.44664249623499269</c:v>
                </c:pt>
                <c:pt idx="73">
                  <c:v>0.44906329589973976</c:v>
                </c:pt>
                <c:pt idx="74">
                  <c:v>0.51269214936388086</c:v>
                </c:pt>
                <c:pt idx="75">
                  <c:v>0.54311279831289316</c:v>
                </c:pt>
                <c:pt idx="76">
                  <c:v>0.64991632276644051</c:v>
                </c:pt>
                <c:pt idx="77">
                  <c:v>0.74520035393408268</c:v>
                </c:pt>
                <c:pt idx="78">
                  <c:v>0.76476526172699799</c:v>
                </c:pt>
                <c:pt idx="79">
                  <c:v>0.76715041455256716</c:v>
                </c:pt>
                <c:pt idx="80">
                  <c:v>0.77913542886387466</c:v>
                </c:pt>
                <c:pt idx="81">
                  <c:v>0.79790760681101336</c:v>
                </c:pt>
                <c:pt idx="82">
                  <c:v>0.79930043255834871</c:v>
                </c:pt>
                <c:pt idx="83">
                  <c:v>0.80909571022157933</c:v>
                </c:pt>
                <c:pt idx="84">
                  <c:v>0.8173714702258239</c:v>
                </c:pt>
                <c:pt idx="85">
                  <c:v>0.8220675256694463</c:v>
                </c:pt>
                <c:pt idx="86">
                  <c:v>0.94080499762717185</c:v>
                </c:pt>
                <c:pt idx="87">
                  <c:v>0.98384974618307341</c:v>
                </c:pt>
                <c:pt idx="88">
                  <c:v>1.084910181769061</c:v>
                </c:pt>
                <c:pt idx="89">
                  <c:v>1.088562294937061</c:v>
                </c:pt>
                <c:pt idx="90">
                  <c:v>1.1252408849651883</c:v>
                </c:pt>
                <c:pt idx="91">
                  <c:v>1.1573512190828252</c:v>
                </c:pt>
                <c:pt idx="92">
                  <c:v>1.1607317321410837</c:v>
                </c:pt>
                <c:pt idx="93">
                  <c:v>1.1935119946777377</c:v>
                </c:pt>
                <c:pt idx="94">
                  <c:v>1.2933080083597004</c:v>
                </c:pt>
                <c:pt idx="95">
                  <c:v>1.3006576888791135</c:v>
                </c:pt>
                <c:pt idx="96">
                  <c:v>1.3072997744824202</c:v>
                </c:pt>
                <c:pt idx="97">
                  <c:v>1.3201728926043841</c:v>
                </c:pt>
                <c:pt idx="98">
                  <c:v>1.3282751471537555</c:v>
                </c:pt>
                <c:pt idx="99">
                  <c:v>1.3592930931331151</c:v>
                </c:pt>
                <c:pt idx="100">
                  <c:v>1.3893836371301047</c:v>
                </c:pt>
                <c:pt idx="101">
                  <c:v>1.4570599695124704</c:v>
                </c:pt>
                <c:pt idx="102">
                  <c:v>1.4746501612318974</c:v>
                </c:pt>
                <c:pt idx="103">
                  <c:v>1.4799167353491935</c:v>
                </c:pt>
                <c:pt idx="104">
                  <c:v>1.5120608050198472</c:v>
                </c:pt>
                <c:pt idx="105">
                  <c:v>1.5632378548125487</c:v>
                </c:pt>
                <c:pt idx="106">
                  <c:v>1.5752476292840976</c:v>
                </c:pt>
                <c:pt idx="107">
                  <c:v>1.7130121087748451</c:v>
                </c:pt>
                <c:pt idx="108">
                  <c:v>1.8101887790863302</c:v>
                </c:pt>
                <c:pt idx="109">
                  <c:v>1.8519535193189707</c:v>
                </c:pt>
                <c:pt idx="110">
                  <c:v>1.9551601207275044</c:v>
                </c:pt>
                <c:pt idx="111">
                  <c:v>1.9636320377819911</c:v>
                </c:pt>
                <c:pt idx="112">
                  <c:v>1.9965489332311821</c:v>
                </c:pt>
                <c:pt idx="113">
                  <c:v>2.1127325139720563</c:v>
                </c:pt>
                <c:pt idx="114">
                  <c:v>2.1320616401803507</c:v>
                </c:pt>
                <c:pt idx="115">
                  <c:v>2.1528110708148573</c:v>
                </c:pt>
                <c:pt idx="116">
                  <c:v>2.1554149374730458</c:v>
                </c:pt>
                <c:pt idx="117">
                  <c:v>2.1937669383125291</c:v>
                </c:pt>
                <c:pt idx="118">
                  <c:v>2.2441569439350513</c:v>
                </c:pt>
                <c:pt idx="119">
                  <c:v>2.3109716137805942</c:v>
                </c:pt>
                <c:pt idx="120">
                  <c:v>2.3644571963769208</c:v>
                </c:pt>
                <c:pt idx="121">
                  <c:v>2.3878145236429944</c:v>
                </c:pt>
                <c:pt idx="122">
                  <c:v>2.4047017706743326</c:v>
                </c:pt>
                <c:pt idx="123">
                  <c:v>2.4711222871909655</c:v>
                </c:pt>
                <c:pt idx="124">
                  <c:v>2.5118747000438195</c:v>
                </c:pt>
                <c:pt idx="125">
                  <c:v>2.5198681337412903</c:v>
                </c:pt>
                <c:pt idx="126">
                  <c:v>2.5257042870557784</c:v>
                </c:pt>
                <c:pt idx="127">
                  <c:v>2.5343167951715437</c:v>
                </c:pt>
                <c:pt idx="128">
                  <c:v>2.6303236664701828</c:v>
                </c:pt>
                <c:pt idx="129">
                  <c:v>2.6535892327475388</c:v>
                </c:pt>
                <c:pt idx="130">
                  <c:v>2.664630651168546</c:v>
                </c:pt>
                <c:pt idx="131">
                  <c:v>2.683391280512204</c:v>
                </c:pt>
                <c:pt idx="132">
                  <c:v>2.7070180675265525</c:v>
                </c:pt>
                <c:pt idx="133">
                  <c:v>2.8438546235537174</c:v>
                </c:pt>
                <c:pt idx="134">
                  <c:v>2.8609360739223297</c:v>
                </c:pt>
                <c:pt idx="135">
                  <c:v>3.0698713827378343</c:v>
                </c:pt>
                <c:pt idx="136">
                  <c:v>3.1095108983661892</c:v>
                </c:pt>
                <c:pt idx="137">
                  <c:v>3.1666873562985165</c:v>
                </c:pt>
                <c:pt idx="138">
                  <c:v>3.3950819422879635</c:v>
                </c:pt>
                <c:pt idx="139">
                  <c:v>3.4388141552305238</c:v>
                </c:pt>
                <c:pt idx="140">
                  <c:v>3.580071379617352</c:v>
                </c:pt>
                <c:pt idx="141">
                  <c:v>3.8214888861569447</c:v>
                </c:pt>
                <c:pt idx="142">
                  <c:v>4.5018822436456931</c:v>
                </c:pt>
                <c:pt idx="143">
                  <c:v>5.5867022964527608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02-5F45-9625-801844F274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9650208"/>
        <c:axId val="779651936"/>
      </c:scatterChart>
      <c:valAx>
        <c:axId val="779650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79651936"/>
        <c:crosses val="autoZero"/>
        <c:crossBetween val="midCat"/>
      </c:valAx>
      <c:valAx>
        <c:axId val="7796519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Asset Returns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79650208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IG Credit Spread (%)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Data!$W$2:$W$145</c:f>
              <c:numCache>
                <c:formatCode>0.0000</c:formatCode>
                <c:ptCount val="144"/>
                <c:pt idx="0">
                  <c:v>-5.1387194346069833</c:v>
                </c:pt>
                <c:pt idx="1">
                  <c:v>2.3484491421995508</c:v>
                </c:pt>
                <c:pt idx="2">
                  <c:v>-0.92319478819390199</c:v>
                </c:pt>
                <c:pt idx="3">
                  <c:v>0.82434767702086331</c:v>
                </c:pt>
                <c:pt idx="4">
                  <c:v>2.0252115715454142</c:v>
                </c:pt>
                <c:pt idx="5">
                  <c:v>-1.4083021680096535</c:v>
                </c:pt>
                <c:pt idx="6">
                  <c:v>-0.89531690384682072</c:v>
                </c:pt>
                <c:pt idx="7">
                  <c:v>2.0846292055168538</c:v>
                </c:pt>
                <c:pt idx="8">
                  <c:v>0.18815829103602541</c:v>
                </c:pt>
                <c:pt idx="9">
                  <c:v>-0.30403984882426438</c:v>
                </c:pt>
                <c:pt idx="10">
                  <c:v>1.2224064307019109</c:v>
                </c:pt>
                <c:pt idx="11">
                  <c:v>1.1188106566869516</c:v>
                </c:pt>
                <c:pt idx="12">
                  <c:v>-0.39386738542473537</c:v>
                </c:pt>
                <c:pt idx="13">
                  <c:v>0.23199314515441699</c:v>
                </c:pt>
                <c:pt idx="14">
                  <c:v>3.0510319131719719</c:v>
                </c:pt>
                <c:pt idx="15">
                  <c:v>-0.57569475557887417</c:v>
                </c:pt>
                <c:pt idx="16">
                  <c:v>0.34508593485068878</c:v>
                </c:pt>
                <c:pt idx="17">
                  <c:v>2.4668637873530348</c:v>
                </c:pt>
                <c:pt idx="18">
                  <c:v>1.3828982966028573</c:v>
                </c:pt>
                <c:pt idx="19">
                  <c:v>5.9348906527047323</c:v>
                </c:pt>
                <c:pt idx="20">
                  <c:v>-3.7396932352934624</c:v>
                </c:pt>
                <c:pt idx="21">
                  <c:v>1.0994857308880885</c:v>
                </c:pt>
                <c:pt idx="22">
                  <c:v>-2.3264834455409638</c:v>
                </c:pt>
                <c:pt idx="23">
                  <c:v>0.27399978476401698</c:v>
                </c:pt>
                <c:pt idx="24">
                  <c:v>-3.7708043023703515</c:v>
                </c:pt>
                <c:pt idx="25">
                  <c:v>2.4312561086316236</c:v>
                </c:pt>
                <c:pt idx="26">
                  <c:v>-2.163876747359093</c:v>
                </c:pt>
                <c:pt idx="27">
                  <c:v>0.5025858772171532</c:v>
                </c:pt>
                <c:pt idx="28">
                  <c:v>1.5012701524955124E-2</c:v>
                </c:pt>
                <c:pt idx="29">
                  <c:v>2.0734306549589543</c:v>
                </c:pt>
                <c:pt idx="30">
                  <c:v>-1.4165022256805997</c:v>
                </c:pt>
                <c:pt idx="31">
                  <c:v>0.66815720708482551</c:v>
                </c:pt>
                <c:pt idx="32">
                  <c:v>-0.80775400785913054</c:v>
                </c:pt>
                <c:pt idx="33">
                  <c:v>3.5954167685518694</c:v>
                </c:pt>
                <c:pt idx="34">
                  <c:v>0.91190414214845739</c:v>
                </c:pt>
                <c:pt idx="35">
                  <c:v>0.85468808124803441</c:v>
                </c:pt>
                <c:pt idx="36">
                  <c:v>3.5664770305249829</c:v>
                </c:pt>
                <c:pt idx="37">
                  <c:v>5.0465169683722939</c:v>
                </c:pt>
                <c:pt idx="38">
                  <c:v>3.4210472846484357</c:v>
                </c:pt>
                <c:pt idx="39">
                  <c:v>-1.9050206096671818</c:v>
                </c:pt>
                <c:pt idx="40">
                  <c:v>-4.4556526959210885</c:v>
                </c:pt>
                <c:pt idx="41">
                  <c:v>-1.6600067055434231</c:v>
                </c:pt>
                <c:pt idx="42">
                  <c:v>2.9503559863160107</c:v>
                </c:pt>
                <c:pt idx="43">
                  <c:v>-1.5202579266307075</c:v>
                </c:pt>
                <c:pt idx="44">
                  <c:v>2.6350509941130018</c:v>
                </c:pt>
                <c:pt idx="45">
                  <c:v>-0.17390455263532517</c:v>
                </c:pt>
                <c:pt idx="46">
                  <c:v>0.72625925846252182</c:v>
                </c:pt>
                <c:pt idx="47">
                  <c:v>1.5534992085354618</c:v>
                </c:pt>
                <c:pt idx="48">
                  <c:v>-1.3128763768352263</c:v>
                </c:pt>
                <c:pt idx="49">
                  <c:v>1.0235515044919676</c:v>
                </c:pt>
                <c:pt idx="50">
                  <c:v>0.87915557139737288</c:v>
                </c:pt>
                <c:pt idx="51">
                  <c:v>-2.0519560737810645</c:v>
                </c:pt>
                <c:pt idx="52">
                  <c:v>0.34628136161819018</c:v>
                </c:pt>
                <c:pt idx="53">
                  <c:v>-0.35419358995709715</c:v>
                </c:pt>
                <c:pt idx="54">
                  <c:v>1.858001601839639</c:v>
                </c:pt>
                <c:pt idx="55">
                  <c:v>-0.8877688063153264</c:v>
                </c:pt>
                <c:pt idx="56">
                  <c:v>-1.3769514272096248</c:v>
                </c:pt>
                <c:pt idx="57">
                  <c:v>0.20136749777207796</c:v>
                </c:pt>
                <c:pt idx="58">
                  <c:v>0.12731740286215751</c:v>
                </c:pt>
                <c:pt idx="59">
                  <c:v>-0.371473926792939</c:v>
                </c:pt>
                <c:pt idx="60">
                  <c:v>-0.41320150136606915</c:v>
                </c:pt>
                <c:pt idx="61">
                  <c:v>0.2551971584802315</c:v>
                </c:pt>
                <c:pt idx="62">
                  <c:v>0.54532839444733927</c:v>
                </c:pt>
                <c:pt idx="63">
                  <c:v>-1.1987084485525838</c:v>
                </c:pt>
                <c:pt idx="64">
                  <c:v>0.20365796077345244</c:v>
                </c:pt>
                <c:pt idx="65">
                  <c:v>-2.1905269483508447</c:v>
                </c:pt>
                <c:pt idx="66">
                  <c:v>1.357859374712971</c:v>
                </c:pt>
                <c:pt idx="67">
                  <c:v>1.0678641457547986</c:v>
                </c:pt>
                <c:pt idx="68">
                  <c:v>-4.062169850005945E-3</c:v>
                </c:pt>
                <c:pt idx="69">
                  <c:v>-0.25340601070870289</c:v>
                </c:pt>
                <c:pt idx="70">
                  <c:v>-0.20371933742089599</c:v>
                </c:pt>
                <c:pt idx="71">
                  <c:v>-6.8036926882462212E-2</c:v>
                </c:pt>
                <c:pt idx="72">
                  <c:v>3.0998066900760599</c:v>
                </c:pt>
                <c:pt idx="73">
                  <c:v>-1.5756409548922983</c:v>
                </c:pt>
                <c:pt idx="74">
                  <c:v>-6.5893968100260576</c:v>
                </c:pt>
                <c:pt idx="75">
                  <c:v>7.3665586735762902</c:v>
                </c:pt>
                <c:pt idx="76">
                  <c:v>1.0916617932992878</c:v>
                </c:pt>
                <c:pt idx="77">
                  <c:v>1.0163751457846373</c:v>
                </c:pt>
                <c:pt idx="78">
                  <c:v>2.1435700279400138</c:v>
                </c:pt>
                <c:pt idx="79">
                  <c:v>-1.204767361587278</c:v>
                </c:pt>
                <c:pt idx="80">
                  <c:v>-1.9469169716171044E-3</c:v>
                </c:pt>
                <c:pt idx="81">
                  <c:v>0.28979934223811843</c:v>
                </c:pt>
                <c:pt idx="82">
                  <c:v>2.3639052440224098</c:v>
                </c:pt>
                <c:pt idx="83">
                  <c:v>1.5490140567033936</c:v>
                </c:pt>
                <c:pt idx="84">
                  <c:v>-1.6477775578392471</c:v>
                </c:pt>
                <c:pt idx="85">
                  <c:v>-3.4798493915758022</c:v>
                </c:pt>
                <c:pt idx="86">
                  <c:v>1.7190145145590065E-2</c:v>
                </c:pt>
                <c:pt idx="87">
                  <c:v>0.3804319559628988</c:v>
                </c:pt>
                <c:pt idx="88">
                  <c:v>0.31001431749484604</c:v>
                </c:pt>
                <c:pt idx="89">
                  <c:v>0.85502216530240871</c:v>
                </c:pt>
                <c:pt idx="90">
                  <c:v>1.6132309956574875</c:v>
                </c:pt>
                <c:pt idx="91">
                  <c:v>-0.22870458134476115</c:v>
                </c:pt>
                <c:pt idx="92">
                  <c:v>-2.8087660797989829</c:v>
                </c:pt>
                <c:pt idx="93">
                  <c:v>0.69722145982741013</c:v>
                </c:pt>
                <c:pt idx="94">
                  <c:v>0.99547551042253035</c:v>
                </c:pt>
                <c:pt idx="95">
                  <c:v>-1.12353903746557</c:v>
                </c:pt>
                <c:pt idx="96">
                  <c:v>-4.0342794589013895</c:v>
                </c:pt>
                <c:pt idx="97">
                  <c:v>-3.1651689144312303</c:v>
                </c:pt>
                <c:pt idx="98">
                  <c:v>0.13326767049501004</c:v>
                </c:pt>
                <c:pt idx="99">
                  <c:v>-3.8653528730622675</c:v>
                </c:pt>
                <c:pt idx="100">
                  <c:v>-1.556403524525015</c:v>
                </c:pt>
                <c:pt idx="101">
                  <c:v>-3.4565692008015478</c:v>
                </c:pt>
                <c:pt idx="102">
                  <c:v>4.373127894277208</c:v>
                </c:pt>
                <c:pt idx="103">
                  <c:v>-8.1411935429504894</c:v>
                </c:pt>
                <c:pt idx="104">
                  <c:v>-9.1415438687040886</c:v>
                </c:pt>
                <c:pt idx="105">
                  <c:v>4.9981561061963475</c:v>
                </c:pt>
                <c:pt idx="106">
                  <c:v>3.7315693621188237</c:v>
                </c:pt>
                <c:pt idx="107">
                  <c:v>-1.6930601373866518</c:v>
                </c:pt>
                <c:pt idx="108">
                  <c:v>3.2693974797429637</c:v>
                </c:pt>
                <c:pt idx="109">
                  <c:v>-3.4044713219137206</c:v>
                </c:pt>
                <c:pt idx="110">
                  <c:v>1.1229372544900045</c:v>
                </c:pt>
                <c:pt idx="111">
                  <c:v>-4.5251950847142508E-2</c:v>
                </c:pt>
                <c:pt idx="112">
                  <c:v>-3.2207902839867755</c:v>
                </c:pt>
                <c:pt idx="113">
                  <c:v>-1.5304704600210068</c:v>
                </c:pt>
                <c:pt idx="114">
                  <c:v>2.0217015238879137</c:v>
                </c:pt>
                <c:pt idx="115">
                  <c:v>-0.73548575994241516</c:v>
                </c:pt>
                <c:pt idx="116">
                  <c:v>-0.41335762746622851</c:v>
                </c:pt>
                <c:pt idx="117">
                  <c:v>-0.46656124638286833</c:v>
                </c:pt>
                <c:pt idx="118">
                  <c:v>3.4138089910941942</c:v>
                </c:pt>
                <c:pt idx="119">
                  <c:v>4.4012225363925044</c:v>
                </c:pt>
                <c:pt idx="120">
                  <c:v>-1.5196917747234271</c:v>
                </c:pt>
                <c:pt idx="121">
                  <c:v>-1.062073375074631</c:v>
                </c:pt>
                <c:pt idx="122">
                  <c:v>1.477489362217179</c:v>
                </c:pt>
                <c:pt idx="123">
                  <c:v>-2.3781283099238917</c:v>
                </c:pt>
                <c:pt idx="124">
                  <c:v>0.47811004572060589</c:v>
                </c:pt>
                <c:pt idx="125">
                  <c:v>0.44551959930867541</c:v>
                </c:pt>
                <c:pt idx="126">
                  <c:v>1.3614075313738643</c:v>
                </c:pt>
                <c:pt idx="127">
                  <c:v>-7.7650136808625758E-3</c:v>
                </c:pt>
                <c:pt idx="128">
                  <c:v>-0.12972116439056908</c:v>
                </c:pt>
                <c:pt idx="129">
                  <c:v>-1.6695833580904584</c:v>
                </c:pt>
                <c:pt idx="130">
                  <c:v>1.4530967525660716</c:v>
                </c:pt>
                <c:pt idx="131">
                  <c:v>-0.78143310266141697</c:v>
                </c:pt>
                <c:pt idx="132">
                  <c:v>0.34908255979636738</c:v>
                </c:pt>
                <c:pt idx="133">
                  <c:v>0.13535969057984193</c:v>
                </c:pt>
                <c:pt idx="134">
                  <c:v>-1.8716624465378884</c:v>
                </c:pt>
                <c:pt idx="135">
                  <c:v>1.2656565827966442</c:v>
                </c:pt>
                <c:pt idx="136">
                  <c:v>-0.42014204580768427</c:v>
                </c:pt>
                <c:pt idx="137">
                  <c:v>1.4055246320234833</c:v>
                </c:pt>
                <c:pt idx="138">
                  <c:v>-2.3798636141916241E-2</c:v>
                </c:pt>
                <c:pt idx="139">
                  <c:v>-0.94564972218921284</c:v>
                </c:pt>
                <c:pt idx="140">
                  <c:v>0.73546966098117694</c:v>
                </c:pt>
                <c:pt idx="141">
                  <c:v>1.7116922764778253</c:v>
                </c:pt>
                <c:pt idx="142">
                  <c:v>-0.26362362275971585</c:v>
                </c:pt>
                <c:pt idx="143">
                  <c:v>0.22777557059858333</c:v>
                </c:pt>
              </c:numCache>
            </c:numRef>
          </c:xVal>
          <c:yVal>
            <c:numRef>
              <c:f>'Credit, Dinflation, DVIX'!$C$28:$C$171</c:f>
              <c:numCache>
                <c:formatCode>General</c:formatCode>
                <c:ptCount val="144"/>
                <c:pt idx="0">
                  <c:v>-1.8900143657798336</c:v>
                </c:pt>
                <c:pt idx="1">
                  <c:v>0.95318379687917565</c:v>
                </c:pt>
                <c:pt idx="2">
                  <c:v>-0.98199999891194456</c:v>
                </c:pt>
                <c:pt idx="3">
                  <c:v>-0.32269757828738643</c:v>
                </c:pt>
                <c:pt idx="4">
                  <c:v>0.55925456938323492</c:v>
                </c:pt>
                <c:pt idx="5">
                  <c:v>-0.18698890433568557</c:v>
                </c:pt>
                <c:pt idx="6">
                  <c:v>-0.11494049684276181</c:v>
                </c:pt>
                <c:pt idx="7">
                  <c:v>-1.3931113058690214</c:v>
                </c:pt>
                <c:pt idx="8">
                  <c:v>0.56040642139941266</c:v>
                </c:pt>
                <c:pt idx="9">
                  <c:v>-0.78859268236382318</c:v>
                </c:pt>
                <c:pt idx="10">
                  <c:v>-0.31772555853967444</c:v>
                </c:pt>
                <c:pt idx="11">
                  <c:v>0.31635325465199005</c:v>
                </c:pt>
                <c:pt idx="12">
                  <c:v>-0.72520513655832208</c:v>
                </c:pt>
                <c:pt idx="13">
                  <c:v>1.1010353808033058</c:v>
                </c:pt>
                <c:pt idx="14">
                  <c:v>-0.18142357023220601</c:v>
                </c:pt>
                <c:pt idx="15">
                  <c:v>0.39830122199364504</c:v>
                </c:pt>
                <c:pt idx="16">
                  <c:v>-0.47312837348176884</c:v>
                </c:pt>
                <c:pt idx="17">
                  <c:v>1.4436446971129924</c:v>
                </c:pt>
                <c:pt idx="18">
                  <c:v>0.2543717575453347</c:v>
                </c:pt>
                <c:pt idx="19">
                  <c:v>8.6803364869123989E-2</c:v>
                </c:pt>
                <c:pt idx="20">
                  <c:v>0.30149915935478677</c:v>
                </c:pt>
                <c:pt idx="21">
                  <c:v>0.23295887666527693</c:v>
                </c:pt>
                <c:pt idx="22">
                  <c:v>-0.17255433521367475</c:v>
                </c:pt>
                <c:pt idx="23">
                  <c:v>0.2146378052437069</c:v>
                </c:pt>
                <c:pt idx="24">
                  <c:v>-1.2906894906031519</c:v>
                </c:pt>
                <c:pt idx="25">
                  <c:v>0.23821207521029497</c:v>
                </c:pt>
                <c:pt idx="26">
                  <c:v>0.2212466489492857</c:v>
                </c:pt>
                <c:pt idx="27">
                  <c:v>-0.85962134967478676</c:v>
                </c:pt>
                <c:pt idx="28">
                  <c:v>0.79236133787274077</c:v>
                </c:pt>
                <c:pt idx="29">
                  <c:v>0.69934013828173214</c:v>
                </c:pt>
                <c:pt idx="30">
                  <c:v>0.28855751730076229</c:v>
                </c:pt>
                <c:pt idx="31">
                  <c:v>-1.3245779729693707</c:v>
                </c:pt>
                <c:pt idx="32">
                  <c:v>0.42272713071840451</c:v>
                </c:pt>
                <c:pt idx="33">
                  <c:v>-1.3719094158934948</c:v>
                </c:pt>
                <c:pt idx="34">
                  <c:v>-0.85646925337328716</c:v>
                </c:pt>
                <c:pt idx="35">
                  <c:v>-0.11108284317178652</c:v>
                </c:pt>
                <c:pt idx="36">
                  <c:v>1.5739867737909883</c:v>
                </c:pt>
                <c:pt idx="37">
                  <c:v>-0.33822777891417788</c:v>
                </c:pt>
                <c:pt idx="38">
                  <c:v>-0.71719105728231347</c:v>
                </c:pt>
                <c:pt idx="39">
                  <c:v>0.90941240923271915</c:v>
                </c:pt>
                <c:pt idx="40">
                  <c:v>1.4761905536391564</c:v>
                </c:pt>
                <c:pt idx="41">
                  <c:v>-0.99562498070714978</c:v>
                </c:pt>
                <c:pt idx="42">
                  <c:v>0.65218289605895841</c:v>
                </c:pt>
                <c:pt idx="43">
                  <c:v>-0.84401704692647495</c:v>
                </c:pt>
                <c:pt idx="44">
                  <c:v>1.1581021870455659</c:v>
                </c:pt>
                <c:pt idx="45">
                  <c:v>1.4168129917210226E-2</c:v>
                </c:pt>
                <c:pt idx="46">
                  <c:v>-1.4557667869808615</c:v>
                </c:pt>
                <c:pt idx="47">
                  <c:v>0.60430567529533774</c:v>
                </c:pt>
                <c:pt idx="48">
                  <c:v>-0.61399726625187223</c:v>
                </c:pt>
                <c:pt idx="49">
                  <c:v>-0.34710807905214913</c:v>
                </c:pt>
                <c:pt idx="50">
                  <c:v>0.43470466296521759</c:v>
                </c:pt>
                <c:pt idx="51">
                  <c:v>-1.0764906050636203</c:v>
                </c:pt>
                <c:pt idx="52">
                  <c:v>0.86093179780770424</c:v>
                </c:pt>
                <c:pt idx="53">
                  <c:v>-0.28188211169174576</c:v>
                </c:pt>
                <c:pt idx="54">
                  <c:v>1.1298711440518392</c:v>
                </c:pt>
                <c:pt idx="55">
                  <c:v>-4.0246927230468188E-2</c:v>
                </c:pt>
                <c:pt idx="56">
                  <c:v>8.5381733203337085E-2</c:v>
                </c:pt>
                <c:pt idx="57">
                  <c:v>-2.0476854699055336</c:v>
                </c:pt>
                <c:pt idx="58">
                  <c:v>1.4964861569290633</c:v>
                </c:pt>
                <c:pt idx="59">
                  <c:v>1.2180638445667555</c:v>
                </c:pt>
                <c:pt idx="60">
                  <c:v>0.56603013934680013</c:v>
                </c:pt>
                <c:pt idx="61">
                  <c:v>-1.2401289192385478E-2</c:v>
                </c:pt>
                <c:pt idx="62">
                  <c:v>-0.45040458650850873</c:v>
                </c:pt>
                <c:pt idx="63">
                  <c:v>-0.33335480562204806</c:v>
                </c:pt>
                <c:pt idx="64">
                  <c:v>-1.402032020631208</c:v>
                </c:pt>
                <c:pt idx="65">
                  <c:v>-0.38114345877801703</c:v>
                </c:pt>
                <c:pt idx="66">
                  <c:v>-2.342931554002345</c:v>
                </c:pt>
                <c:pt idx="67">
                  <c:v>-2.8759673060916304</c:v>
                </c:pt>
                <c:pt idx="68">
                  <c:v>0.53093926411168235</c:v>
                </c:pt>
                <c:pt idx="69">
                  <c:v>-1.2257532932979214</c:v>
                </c:pt>
                <c:pt idx="70">
                  <c:v>0.87163081680005106</c:v>
                </c:pt>
                <c:pt idx="71">
                  <c:v>-0.28218840789450506</c:v>
                </c:pt>
                <c:pt idx="72">
                  <c:v>-0.8170575558692067</c:v>
                </c:pt>
                <c:pt idx="73">
                  <c:v>-1.4119251583589074</c:v>
                </c:pt>
                <c:pt idx="74">
                  <c:v>-9.0642959741860096E-4</c:v>
                </c:pt>
                <c:pt idx="75">
                  <c:v>-0.70452567205641348</c:v>
                </c:pt>
                <c:pt idx="76">
                  <c:v>0.12410233702144291</c:v>
                </c:pt>
                <c:pt idx="77">
                  <c:v>0.79089380664415432</c:v>
                </c:pt>
                <c:pt idx="78">
                  <c:v>-2.924436085032343</c:v>
                </c:pt>
                <c:pt idx="79">
                  <c:v>1.1195043588871911</c:v>
                </c:pt>
                <c:pt idx="80">
                  <c:v>-0.38781996597426033</c:v>
                </c:pt>
                <c:pt idx="81">
                  <c:v>-1.8272418110476489</c:v>
                </c:pt>
                <c:pt idx="82">
                  <c:v>2.2065043533241324</c:v>
                </c:pt>
                <c:pt idx="83">
                  <c:v>0.71009999129296464</c:v>
                </c:pt>
                <c:pt idx="84">
                  <c:v>6.6659979896796173E-2</c:v>
                </c:pt>
                <c:pt idx="85">
                  <c:v>0.37743073067806165</c:v>
                </c:pt>
                <c:pt idx="86">
                  <c:v>0.72974364859920282</c:v>
                </c:pt>
                <c:pt idx="87">
                  <c:v>1.7461017364577849</c:v>
                </c:pt>
                <c:pt idx="88">
                  <c:v>-0.75501027195528025</c:v>
                </c:pt>
                <c:pt idx="89">
                  <c:v>0.25220829350966123</c:v>
                </c:pt>
                <c:pt idx="90">
                  <c:v>0.16448672620754468</c:v>
                </c:pt>
                <c:pt idx="91">
                  <c:v>0.78094548237811323</c:v>
                </c:pt>
                <c:pt idx="92">
                  <c:v>-0.306128667538486</c:v>
                </c:pt>
                <c:pt idx="93">
                  <c:v>0.33321309690091394</c:v>
                </c:pt>
                <c:pt idx="94">
                  <c:v>0.92019277364602536</c:v>
                </c:pt>
                <c:pt idx="95">
                  <c:v>0.40581607517683205</c:v>
                </c:pt>
                <c:pt idx="96">
                  <c:v>0.12729643994736151</c:v>
                </c:pt>
                <c:pt idx="97">
                  <c:v>5.4808427293393969E-2</c:v>
                </c:pt>
                <c:pt idx="98">
                  <c:v>0.81732719687217648</c:v>
                </c:pt>
                <c:pt idx="99">
                  <c:v>1.7208362131888904</c:v>
                </c:pt>
                <c:pt idx="100">
                  <c:v>-0.59914052345437963</c:v>
                </c:pt>
                <c:pt idx="101">
                  <c:v>0.47920757005825187</c:v>
                </c:pt>
                <c:pt idx="102">
                  <c:v>-0.67959077331272955</c:v>
                </c:pt>
                <c:pt idx="103">
                  <c:v>1.4281030419651664</c:v>
                </c:pt>
                <c:pt idx="104">
                  <c:v>-5.214191409297797E-2</c:v>
                </c:pt>
                <c:pt idx="105">
                  <c:v>-0.56050052293165553</c:v>
                </c:pt>
                <c:pt idx="106">
                  <c:v>-6.4435764807333928E-2</c:v>
                </c:pt>
                <c:pt idx="107">
                  <c:v>-0.23155837012256386</c:v>
                </c:pt>
                <c:pt idx="108">
                  <c:v>0.93965904873498562</c:v>
                </c:pt>
                <c:pt idx="109">
                  <c:v>0.84370936410967312</c:v>
                </c:pt>
                <c:pt idx="110">
                  <c:v>-1.4680322571852074</c:v>
                </c:pt>
                <c:pt idx="111">
                  <c:v>0.43506438931445679</c:v>
                </c:pt>
                <c:pt idx="112">
                  <c:v>-0.84674212309814512</c:v>
                </c:pt>
                <c:pt idx="113">
                  <c:v>0.34528189756428229</c:v>
                </c:pt>
                <c:pt idx="114">
                  <c:v>0.75950608276167331</c:v>
                </c:pt>
                <c:pt idx="115">
                  <c:v>-1.2048135253485697</c:v>
                </c:pt>
                <c:pt idx="116">
                  <c:v>0.47590958989625742</c:v>
                </c:pt>
                <c:pt idx="117">
                  <c:v>-1.613502303525477</c:v>
                </c:pt>
                <c:pt idx="118">
                  <c:v>0.2711115007661502</c:v>
                </c:pt>
                <c:pt idx="119">
                  <c:v>0.65246956199067307</c:v>
                </c:pt>
                <c:pt idx="120">
                  <c:v>0.19880310782710822</c:v>
                </c:pt>
                <c:pt idx="121">
                  <c:v>0.73788719781937862</c:v>
                </c:pt>
                <c:pt idx="122">
                  <c:v>1.1909420893962332</c:v>
                </c:pt>
                <c:pt idx="123">
                  <c:v>0.13581429530494737</c:v>
                </c:pt>
                <c:pt idx="124">
                  <c:v>0.24313884529056329</c:v>
                </c:pt>
                <c:pt idx="125">
                  <c:v>0.69575632303934098</c:v>
                </c:pt>
                <c:pt idx="126">
                  <c:v>0.43168684778491073</c:v>
                </c:pt>
                <c:pt idx="127">
                  <c:v>-1.5814025750366638</c:v>
                </c:pt>
                <c:pt idx="128">
                  <c:v>-1.0316252697351702</c:v>
                </c:pt>
                <c:pt idx="129">
                  <c:v>0.62531267861968365</c:v>
                </c:pt>
                <c:pt idx="130">
                  <c:v>0.48027116603117248</c:v>
                </c:pt>
                <c:pt idx="131">
                  <c:v>-0.19687756488805952</c:v>
                </c:pt>
                <c:pt idx="132">
                  <c:v>1.6869325840748117</c:v>
                </c:pt>
                <c:pt idx="133">
                  <c:v>-0.93535645124652245</c:v>
                </c:pt>
                <c:pt idx="134">
                  <c:v>-2.1465117272027241</c:v>
                </c:pt>
                <c:pt idx="135">
                  <c:v>-0.55330715452626866</c:v>
                </c:pt>
                <c:pt idx="136">
                  <c:v>1.432141102518961</c:v>
                </c:pt>
                <c:pt idx="137">
                  <c:v>0.36731502272340877</c:v>
                </c:pt>
                <c:pt idx="138">
                  <c:v>1.6675414168507112</c:v>
                </c:pt>
                <c:pt idx="139">
                  <c:v>-0.37015032087903399</c:v>
                </c:pt>
                <c:pt idx="140">
                  <c:v>0.64834940315461231</c:v>
                </c:pt>
                <c:pt idx="141">
                  <c:v>1.8023466018680079</c:v>
                </c:pt>
                <c:pt idx="142">
                  <c:v>-0.38662261785719443</c:v>
                </c:pt>
                <c:pt idx="143">
                  <c:v>-5.20489557808268E-3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F44-0843-BC49-0A881B0DC8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9567536"/>
        <c:axId val="779406864"/>
      </c:scatterChart>
      <c:valAx>
        <c:axId val="779567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IG Credit Spread (%)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779406864"/>
        <c:crosses val="autoZero"/>
        <c:crossBetween val="midCat"/>
      </c:valAx>
      <c:valAx>
        <c:axId val="7794068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79567536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IG Credit Spread (%)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Asset Returns (%)</c:v>
          </c:tx>
          <c:spPr>
            <a:ln w="19050">
              <a:noFill/>
            </a:ln>
          </c:spPr>
          <c:xVal>
            <c:numRef>
              <c:f>Data!$W$2:$W$145</c:f>
              <c:numCache>
                <c:formatCode>0.0000</c:formatCode>
                <c:ptCount val="144"/>
                <c:pt idx="0">
                  <c:v>-5.1387194346069833</c:v>
                </c:pt>
                <c:pt idx="1">
                  <c:v>2.3484491421995508</c:v>
                </c:pt>
                <c:pt idx="2">
                  <c:v>-0.92319478819390199</c:v>
                </c:pt>
                <c:pt idx="3">
                  <c:v>0.82434767702086331</c:v>
                </c:pt>
                <c:pt idx="4">
                  <c:v>2.0252115715454142</c:v>
                </c:pt>
                <c:pt idx="5">
                  <c:v>-1.4083021680096535</c:v>
                </c:pt>
                <c:pt idx="6">
                  <c:v>-0.89531690384682072</c:v>
                </c:pt>
                <c:pt idx="7">
                  <c:v>2.0846292055168538</c:v>
                </c:pt>
                <c:pt idx="8">
                  <c:v>0.18815829103602541</c:v>
                </c:pt>
                <c:pt idx="9">
                  <c:v>-0.30403984882426438</c:v>
                </c:pt>
                <c:pt idx="10">
                  <c:v>1.2224064307019109</c:v>
                </c:pt>
                <c:pt idx="11">
                  <c:v>1.1188106566869516</c:v>
                </c:pt>
                <c:pt idx="12">
                  <c:v>-0.39386738542473537</c:v>
                </c:pt>
                <c:pt idx="13">
                  <c:v>0.23199314515441699</c:v>
                </c:pt>
                <c:pt idx="14">
                  <c:v>3.0510319131719719</c:v>
                </c:pt>
                <c:pt idx="15">
                  <c:v>-0.57569475557887417</c:v>
                </c:pt>
                <c:pt idx="16">
                  <c:v>0.34508593485068878</c:v>
                </c:pt>
                <c:pt idx="17">
                  <c:v>2.4668637873530348</c:v>
                </c:pt>
                <c:pt idx="18">
                  <c:v>1.3828982966028573</c:v>
                </c:pt>
                <c:pt idx="19">
                  <c:v>5.9348906527047323</c:v>
                </c:pt>
                <c:pt idx="20">
                  <c:v>-3.7396932352934624</c:v>
                </c:pt>
                <c:pt idx="21">
                  <c:v>1.0994857308880885</c:v>
                </c:pt>
                <c:pt idx="22">
                  <c:v>-2.3264834455409638</c:v>
                </c:pt>
                <c:pt idx="23">
                  <c:v>0.27399978476401698</c:v>
                </c:pt>
                <c:pt idx="24">
                  <c:v>-3.7708043023703515</c:v>
                </c:pt>
                <c:pt idx="25">
                  <c:v>2.4312561086316236</c:v>
                </c:pt>
                <c:pt idx="26">
                  <c:v>-2.163876747359093</c:v>
                </c:pt>
                <c:pt idx="27">
                  <c:v>0.5025858772171532</c:v>
                </c:pt>
                <c:pt idx="28">
                  <c:v>1.5012701524955124E-2</c:v>
                </c:pt>
                <c:pt idx="29">
                  <c:v>2.0734306549589543</c:v>
                </c:pt>
                <c:pt idx="30">
                  <c:v>-1.4165022256805997</c:v>
                </c:pt>
                <c:pt idx="31">
                  <c:v>0.66815720708482551</c:v>
                </c:pt>
                <c:pt idx="32">
                  <c:v>-0.80775400785913054</c:v>
                </c:pt>
                <c:pt idx="33">
                  <c:v>3.5954167685518694</c:v>
                </c:pt>
                <c:pt idx="34">
                  <c:v>0.91190414214845739</c:v>
                </c:pt>
                <c:pt idx="35">
                  <c:v>0.85468808124803441</c:v>
                </c:pt>
                <c:pt idx="36">
                  <c:v>3.5664770305249829</c:v>
                </c:pt>
                <c:pt idx="37">
                  <c:v>5.0465169683722939</c:v>
                </c:pt>
                <c:pt idx="38">
                  <c:v>3.4210472846484357</c:v>
                </c:pt>
                <c:pt idx="39">
                  <c:v>-1.9050206096671818</c:v>
                </c:pt>
                <c:pt idx="40">
                  <c:v>-4.4556526959210885</c:v>
                </c:pt>
                <c:pt idx="41">
                  <c:v>-1.6600067055434231</c:v>
                </c:pt>
                <c:pt idx="42">
                  <c:v>2.9503559863160107</c:v>
                </c:pt>
                <c:pt idx="43">
                  <c:v>-1.5202579266307075</c:v>
                </c:pt>
                <c:pt idx="44">
                  <c:v>2.6350509941130018</c:v>
                </c:pt>
                <c:pt idx="45">
                  <c:v>-0.17390455263532517</c:v>
                </c:pt>
                <c:pt idx="46">
                  <c:v>0.72625925846252182</c:v>
                </c:pt>
                <c:pt idx="47">
                  <c:v>1.5534992085354618</c:v>
                </c:pt>
                <c:pt idx="48">
                  <c:v>-1.3128763768352263</c:v>
                </c:pt>
                <c:pt idx="49">
                  <c:v>1.0235515044919676</c:v>
                </c:pt>
                <c:pt idx="50">
                  <c:v>0.87915557139737288</c:v>
                </c:pt>
                <c:pt idx="51">
                  <c:v>-2.0519560737810645</c:v>
                </c:pt>
                <c:pt idx="52">
                  <c:v>0.34628136161819018</c:v>
                </c:pt>
                <c:pt idx="53">
                  <c:v>-0.35419358995709715</c:v>
                </c:pt>
                <c:pt idx="54">
                  <c:v>1.858001601839639</c:v>
                </c:pt>
                <c:pt idx="55">
                  <c:v>-0.8877688063153264</c:v>
                </c:pt>
                <c:pt idx="56">
                  <c:v>-1.3769514272096248</c:v>
                </c:pt>
                <c:pt idx="57">
                  <c:v>0.20136749777207796</c:v>
                </c:pt>
                <c:pt idx="58">
                  <c:v>0.12731740286215751</c:v>
                </c:pt>
                <c:pt idx="59">
                  <c:v>-0.371473926792939</c:v>
                </c:pt>
                <c:pt idx="60">
                  <c:v>-0.41320150136606915</c:v>
                </c:pt>
                <c:pt idx="61">
                  <c:v>0.2551971584802315</c:v>
                </c:pt>
                <c:pt idx="62">
                  <c:v>0.54532839444733927</c:v>
                </c:pt>
                <c:pt idx="63">
                  <c:v>-1.1987084485525838</c:v>
                </c:pt>
                <c:pt idx="64">
                  <c:v>0.20365796077345244</c:v>
                </c:pt>
                <c:pt idx="65">
                  <c:v>-2.1905269483508447</c:v>
                </c:pt>
                <c:pt idx="66">
                  <c:v>1.357859374712971</c:v>
                </c:pt>
                <c:pt idx="67">
                  <c:v>1.0678641457547986</c:v>
                </c:pt>
                <c:pt idx="68">
                  <c:v>-4.062169850005945E-3</c:v>
                </c:pt>
                <c:pt idx="69">
                  <c:v>-0.25340601070870289</c:v>
                </c:pt>
                <c:pt idx="70">
                  <c:v>-0.20371933742089599</c:v>
                </c:pt>
                <c:pt idx="71">
                  <c:v>-6.8036926882462212E-2</c:v>
                </c:pt>
                <c:pt idx="72">
                  <c:v>3.0998066900760599</c:v>
                </c:pt>
                <c:pt idx="73">
                  <c:v>-1.5756409548922983</c:v>
                </c:pt>
                <c:pt idx="74">
                  <c:v>-6.5893968100260576</c:v>
                </c:pt>
                <c:pt idx="75">
                  <c:v>7.3665586735762902</c:v>
                </c:pt>
                <c:pt idx="76">
                  <c:v>1.0916617932992878</c:v>
                </c:pt>
                <c:pt idx="77">
                  <c:v>1.0163751457846373</c:v>
                </c:pt>
                <c:pt idx="78">
                  <c:v>2.1435700279400138</c:v>
                </c:pt>
                <c:pt idx="79">
                  <c:v>-1.204767361587278</c:v>
                </c:pt>
                <c:pt idx="80">
                  <c:v>-1.9469169716171044E-3</c:v>
                </c:pt>
                <c:pt idx="81">
                  <c:v>0.28979934223811843</c:v>
                </c:pt>
                <c:pt idx="82">
                  <c:v>2.3639052440224098</c:v>
                </c:pt>
                <c:pt idx="83">
                  <c:v>1.5490140567033936</c:v>
                </c:pt>
                <c:pt idx="84">
                  <c:v>-1.6477775578392471</c:v>
                </c:pt>
                <c:pt idx="85">
                  <c:v>-3.4798493915758022</c:v>
                </c:pt>
                <c:pt idx="86">
                  <c:v>1.7190145145590065E-2</c:v>
                </c:pt>
                <c:pt idx="87">
                  <c:v>0.3804319559628988</c:v>
                </c:pt>
                <c:pt idx="88">
                  <c:v>0.31001431749484604</c:v>
                </c:pt>
                <c:pt idx="89">
                  <c:v>0.85502216530240871</c:v>
                </c:pt>
                <c:pt idx="90">
                  <c:v>1.6132309956574875</c:v>
                </c:pt>
                <c:pt idx="91">
                  <c:v>-0.22870458134476115</c:v>
                </c:pt>
                <c:pt idx="92">
                  <c:v>-2.8087660797989829</c:v>
                </c:pt>
                <c:pt idx="93">
                  <c:v>0.69722145982741013</c:v>
                </c:pt>
                <c:pt idx="94">
                  <c:v>0.99547551042253035</c:v>
                </c:pt>
                <c:pt idx="95">
                  <c:v>-1.12353903746557</c:v>
                </c:pt>
                <c:pt idx="96">
                  <c:v>-4.0342794589013895</c:v>
                </c:pt>
                <c:pt idx="97">
                  <c:v>-3.1651689144312303</c:v>
                </c:pt>
                <c:pt idx="98">
                  <c:v>0.13326767049501004</c:v>
                </c:pt>
                <c:pt idx="99">
                  <c:v>-3.8653528730622675</c:v>
                </c:pt>
                <c:pt idx="100">
                  <c:v>-1.556403524525015</c:v>
                </c:pt>
                <c:pt idx="101">
                  <c:v>-3.4565692008015478</c:v>
                </c:pt>
                <c:pt idx="102">
                  <c:v>4.373127894277208</c:v>
                </c:pt>
                <c:pt idx="103">
                  <c:v>-8.1411935429504894</c:v>
                </c:pt>
                <c:pt idx="104">
                  <c:v>-9.1415438687040886</c:v>
                </c:pt>
                <c:pt idx="105">
                  <c:v>4.9981561061963475</c:v>
                </c:pt>
                <c:pt idx="106">
                  <c:v>3.7315693621188237</c:v>
                </c:pt>
                <c:pt idx="107">
                  <c:v>-1.6930601373866518</c:v>
                </c:pt>
                <c:pt idx="108">
                  <c:v>3.2693974797429637</c:v>
                </c:pt>
                <c:pt idx="109">
                  <c:v>-3.4044713219137206</c:v>
                </c:pt>
                <c:pt idx="110">
                  <c:v>1.1229372544900045</c:v>
                </c:pt>
                <c:pt idx="111">
                  <c:v>-4.5251950847142508E-2</c:v>
                </c:pt>
                <c:pt idx="112">
                  <c:v>-3.2207902839867755</c:v>
                </c:pt>
                <c:pt idx="113">
                  <c:v>-1.5304704600210068</c:v>
                </c:pt>
                <c:pt idx="114">
                  <c:v>2.0217015238879137</c:v>
                </c:pt>
                <c:pt idx="115">
                  <c:v>-0.73548575994241516</c:v>
                </c:pt>
                <c:pt idx="116">
                  <c:v>-0.41335762746622851</c:v>
                </c:pt>
                <c:pt idx="117">
                  <c:v>-0.46656124638286833</c:v>
                </c:pt>
                <c:pt idx="118">
                  <c:v>3.4138089910941942</c:v>
                </c:pt>
                <c:pt idx="119">
                  <c:v>4.4012225363925044</c:v>
                </c:pt>
                <c:pt idx="120">
                  <c:v>-1.5196917747234271</c:v>
                </c:pt>
                <c:pt idx="121">
                  <c:v>-1.062073375074631</c:v>
                </c:pt>
                <c:pt idx="122">
                  <c:v>1.477489362217179</c:v>
                </c:pt>
                <c:pt idx="123">
                  <c:v>-2.3781283099238917</c:v>
                </c:pt>
                <c:pt idx="124">
                  <c:v>0.47811004572060589</c:v>
                </c:pt>
                <c:pt idx="125">
                  <c:v>0.44551959930867541</c:v>
                </c:pt>
                <c:pt idx="126">
                  <c:v>1.3614075313738643</c:v>
                </c:pt>
                <c:pt idx="127">
                  <c:v>-7.7650136808625758E-3</c:v>
                </c:pt>
                <c:pt idx="128">
                  <c:v>-0.12972116439056908</c:v>
                </c:pt>
                <c:pt idx="129">
                  <c:v>-1.6695833580904584</c:v>
                </c:pt>
                <c:pt idx="130">
                  <c:v>1.4530967525660716</c:v>
                </c:pt>
                <c:pt idx="131">
                  <c:v>-0.78143310266141697</c:v>
                </c:pt>
                <c:pt idx="132">
                  <c:v>0.34908255979636738</c:v>
                </c:pt>
                <c:pt idx="133">
                  <c:v>0.13535969057984193</c:v>
                </c:pt>
                <c:pt idx="134">
                  <c:v>-1.8716624465378884</c:v>
                </c:pt>
                <c:pt idx="135">
                  <c:v>1.2656565827966442</c:v>
                </c:pt>
                <c:pt idx="136">
                  <c:v>-0.42014204580768427</c:v>
                </c:pt>
                <c:pt idx="137">
                  <c:v>1.4055246320234833</c:v>
                </c:pt>
                <c:pt idx="138">
                  <c:v>-2.3798636141916241E-2</c:v>
                </c:pt>
                <c:pt idx="139">
                  <c:v>-0.94564972218921284</c:v>
                </c:pt>
                <c:pt idx="140">
                  <c:v>0.73546966098117694</c:v>
                </c:pt>
                <c:pt idx="141">
                  <c:v>1.7116922764778253</c:v>
                </c:pt>
                <c:pt idx="142">
                  <c:v>-0.26362362275971585</c:v>
                </c:pt>
                <c:pt idx="143">
                  <c:v>0.22777557059858333</c:v>
                </c:pt>
              </c:numCache>
            </c:numRef>
          </c:xVal>
          <c:yVal>
            <c:numRef>
              <c:f>Data!$O$2:$O$145</c:f>
              <c:numCache>
                <c:formatCode>0.0000</c:formatCode>
                <c:ptCount val="144"/>
                <c:pt idx="0">
                  <c:v>-3.1231512210139143</c:v>
                </c:pt>
                <c:pt idx="1">
                  <c:v>3.4388141552305238</c:v>
                </c:pt>
                <c:pt idx="2">
                  <c:v>-1.8423176925388944</c:v>
                </c:pt>
                <c:pt idx="3">
                  <c:v>0.76476526172699799</c:v>
                </c:pt>
                <c:pt idx="4">
                  <c:v>2.8438546235537174</c:v>
                </c:pt>
                <c:pt idx="5">
                  <c:v>-0.40587403799491967</c:v>
                </c:pt>
                <c:pt idx="6">
                  <c:v>0.39463790345239053</c:v>
                </c:pt>
                <c:pt idx="7">
                  <c:v>-0.84486748191592764</c:v>
                </c:pt>
                <c:pt idx="8">
                  <c:v>2.1320616401803507</c:v>
                </c:pt>
                <c:pt idx="9">
                  <c:v>-0.42414010254649709</c:v>
                </c:pt>
                <c:pt idx="10">
                  <c:v>0.74520035393408268</c:v>
                </c:pt>
                <c:pt idx="11">
                  <c:v>1.3893836371301047</c:v>
                </c:pt>
                <c:pt idx="12">
                  <c:v>-0.15960421366991845</c:v>
                </c:pt>
                <c:pt idx="13">
                  <c:v>2.1744398396726858E-3</c:v>
                </c:pt>
                <c:pt idx="14">
                  <c:v>2.1528110708148573</c:v>
                </c:pt>
                <c:pt idx="15">
                  <c:v>-0.63321922178810008</c:v>
                </c:pt>
                <c:pt idx="16">
                  <c:v>0.54311279831289316</c:v>
                </c:pt>
                <c:pt idx="17">
                  <c:v>2.6535892327475388</c:v>
                </c:pt>
                <c:pt idx="18">
                  <c:v>-0.18651939975316809</c:v>
                </c:pt>
                <c:pt idx="19">
                  <c:v>2.4047017706743326</c:v>
                </c:pt>
                <c:pt idx="20">
                  <c:v>0.8220675256694463</c:v>
                </c:pt>
                <c:pt idx="21">
                  <c:v>0.79790760681101336</c:v>
                </c:pt>
                <c:pt idx="22">
                  <c:v>-0.23417506109101072</c:v>
                </c:pt>
                <c:pt idx="23">
                  <c:v>0.44906329589973976</c:v>
                </c:pt>
                <c:pt idx="24">
                  <c:v>-3.3442885744124804</c:v>
                </c:pt>
                <c:pt idx="25">
                  <c:v>1.9551601207275044</c:v>
                </c:pt>
                <c:pt idx="26">
                  <c:v>-2.9682787226250409</c:v>
                </c:pt>
                <c:pt idx="27">
                  <c:v>-0.94912629185626851</c:v>
                </c:pt>
                <c:pt idx="28">
                  <c:v>2.683391280512204</c:v>
                </c:pt>
                <c:pt idx="29">
                  <c:v>1.084910181769061</c:v>
                </c:pt>
                <c:pt idx="30">
                  <c:v>-0.60205936122706527</c:v>
                </c:pt>
                <c:pt idx="31">
                  <c:v>-1.3845334693391671</c:v>
                </c:pt>
                <c:pt idx="32">
                  <c:v>0.51269214936388086</c:v>
                </c:pt>
                <c:pt idx="33">
                  <c:v>2.1127325139720563</c:v>
                </c:pt>
                <c:pt idx="34">
                  <c:v>0.44664249623499269</c:v>
                </c:pt>
                <c:pt idx="35">
                  <c:v>0.80909571022157933</c:v>
                </c:pt>
                <c:pt idx="36">
                  <c:v>3.3950819422879635</c:v>
                </c:pt>
                <c:pt idx="37">
                  <c:v>3.1095108983661892</c:v>
                </c:pt>
                <c:pt idx="38">
                  <c:v>1.5752476292840976</c:v>
                </c:pt>
                <c:pt idx="39">
                  <c:v>0.3941440510082177</c:v>
                </c:pt>
                <c:pt idx="40">
                  <c:v>0.29248739326307094</c:v>
                </c:pt>
                <c:pt idx="41">
                  <c:v>-0.93339874585644023</c:v>
                </c:pt>
                <c:pt idx="42">
                  <c:v>2.8609360739223297</c:v>
                </c:pt>
                <c:pt idx="43">
                  <c:v>-0.44945692130845749</c:v>
                </c:pt>
                <c:pt idx="44">
                  <c:v>2.5257042870557784</c:v>
                </c:pt>
                <c:pt idx="45">
                  <c:v>0.32195109833132546</c:v>
                </c:pt>
                <c:pt idx="46">
                  <c:v>-0.38364685529762182</c:v>
                </c:pt>
                <c:pt idx="47">
                  <c:v>1.8101887790863302</c:v>
                </c:pt>
                <c:pt idx="48">
                  <c:v>-0.8739297602339734</c:v>
                </c:pt>
                <c:pt idx="49">
                  <c:v>0.77913542886387466</c:v>
                </c:pt>
                <c:pt idx="50">
                  <c:v>1.1252408849651883</c:v>
                </c:pt>
                <c:pt idx="51">
                  <c:v>-1.0801430002995103</c:v>
                </c:pt>
                <c:pt idx="52">
                  <c:v>1.2933080083597004</c:v>
                </c:pt>
                <c:pt idx="53">
                  <c:v>-0.34952011853591453</c:v>
                </c:pt>
                <c:pt idx="54">
                  <c:v>2.1937669383125291</c:v>
                </c:pt>
                <c:pt idx="55">
                  <c:v>-0.70844610563042631</c:v>
                </c:pt>
                <c:pt idx="56">
                  <c:v>-1.1425691586862545</c:v>
                </c:pt>
                <c:pt idx="57">
                  <c:v>-1.4912303020014905</c:v>
                </c:pt>
                <c:pt idx="58">
                  <c:v>2.4711222871909655</c:v>
                </c:pt>
                <c:pt idx="59">
                  <c:v>1.5632378548125487</c:v>
                </c:pt>
                <c:pt idx="60">
                  <c:v>0.17050584189129772</c:v>
                </c:pt>
                <c:pt idx="61">
                  <c:v>1.3282751471537555</c:v>
                </c:pt>
                <c:pt idx="62">
                  <c:v>1.3361896540353232E-2</c:v>
                </c:pt>
                <c:pt idx="63">
                  <c:v>4.5162099813618559E-2</c:v>
                </c:pt>
                <c:pt idx="64">
                  <c:v>-2.5280472836281653</c:v>
                </c:pt>
                <c:pt idx="65">
                  <c:v>-0.85098504001589137</c:v>
                </c:pt>
                <c:pt idx="66">
                  <c:v>-2.5046976641667626</c:v>
                </c:pt>
                <c:pt idx="67">
                  <c:v>-1.2793531068196276</c:v>
                </c:pt>
                <c:pt idx="68">
                  <c:v>1.3201728926043841</c:v>
                </c:pt>
                <c:pt idx="69">
                  <c:v>-0.83998798555617005</c:v>
                </c:pt>
                <c:pt idx="70">
                  <c:v>1.3072997744824202</c:v>
                </c:pt>
                <c:pt idx="71">
                  <c:v>0.79930043255834871</c:v>
                </c:pt>
                <c:pt idx="72">
                  <c:v>-2.1093949631446327E-2</c:v>
                </c:pt>
                <c:pt idx="73">
                  <c:v>-4.1526948243374111</c:v>
                </c:pt>
                <c:pt idx="74">
                  <c:v>-7.0047284893671877</c:v>
                </c:pt>
                <c:pt idx="75">
                  <c:v>4.5018822436456931</c:v>
                </c:pt>
                <c:pt idx="76">
                  <c:v>2.7070180675265525</c:v>
                </c:pt>
                <c:pt idx="77">
                  <c:v>1.4570599695124704</c:v>
                </c:pt>
                <c:pt idx="78">
                  <c:v>-0.45287219230992509</c:v>
                </c:pt>
                <c:pt idx="79">
                  <c:v>1.4746501612318974</c:v>
                </c:pt>
                <c:pt idx="80">
                  <c:v>-0.32059917407416511</c:v>
                </c:pt>
                <c:pt idx="81">
                  <c:v>-1.9001782009329338</c:v>
                </c:pt>
                <c:pt idx="82">
                  <c:v>5.5867022964527608</c:v>
                </c:pt>
                <c:pt idx="83">
                  <c:v>1.8519535193189707</c:v>
                </c:pt>
                <c:pt idx="84">
                  <c:v>-0.72114034769675106</c:v>
                </c:pt>
                <c:pt idx="85">
                  <c:v>-2.8872892422191813E-2</c:v>
                </c:pt>
                <c:pt idx="86">
                  <c:v>2.1554149374730458</c:v>
                </c:pt>
                <c:pt idx="87">
                  <c:v>2.3109716137805942</c:v>
                </c:pt>
                <c:pt idx="88">
                  <c:v>0.25176219913533959</c:v>
                </c:pt>
                <c:pt idx="89">
                  <c:v>1.1935119946777377</c:v>
                </c:pt>
                <c:pt idx="90">
                  <c:v>1.088562294937061</c:v>
                </c:pt>
                <c:pt idx="91">
                  <c:v>1.4799167353491935</c:v>
                </c:pt>
                <c:pt idx="92">
                  <c:v>-1.3312319193447704</c:v>
                </c:pt>
                <c:pt idx="93">
                  <c:v>1.7130121087748451</c:v>
                </c:pt>
                <c:pt idx="94">
                  <c:v>0.3416951439283733</c:v>
                </c:pt>
                <c:pt idx="95">
                  <c:v>1.3592930931331151</c:v>
                </c:pt>
                <c:pt idx="96">
                  <c:v>-2.2568118607420633</c:v>
                </c:pt>
                <c:pt idx="97">
                  <c:v>-1.1072210028407516</c:v>
                </c:pt>
                <c:pt idx="98">
                  <c:v>1.9965489332311821</c:v>
                </c:pt>
                <c:pt idx="99">
                  <c:v>-1.7163787658669345</c:v>
                </c:pt>
                <c:pt idx="100">
                  <c:v>-0.82038765576752415</c:v>
                </c:pt>
                <c:pt idx="101">
                  <c:v>-3.6875242113072275</c:v>
                </c:pt>
                <c:pt idx="102">
                  <c:v>3.8214888861569447</c:v>
                </c:pt>
                <c:pt idx="103">
                  <c:v>-1.8267949190726551</c:v>
                </c:pt>
                <c:pt idx="104">
                  <c:v>-4.6868598995851904</c:v>
                </c:pt>
                <c:pt idx="105">
                  <c:v>2.2441569439350513</c:v>
                </c:pt>
                <c:pt idx="106">
                  <c:v>2.5198681337412903</c:v>
                </c:pt>
                <c:pt idx="107">
                  <c:v>-1.3850399013585131</c:v>
                </c:pt>
                <c:pt idx="108">
                  <c:v>3.0698713827378343</c:v>
                </c:pt>
                <c:pt idx="109">
                  <c:v>-0.16023377056929605</c:v>
                </c:pt>
                <c:pt idx="110">
                  <c:v>-0.25809067214290327</c:v>
                </c:pt>
                <c:pt idx="111">
                  <c:v>0.94080499762717185</c:v>
                </c:pt>
                <c:pt idx="112">
                  <c:v>-1.4816122688402813</c:v>
                </c:pt>
                <c:pt idx="113">
                  <c:v>0.76715041455256716</c:v>
                </c:pt>
                <c:pt idx="114">
                  <c:v>1.9636320377819911</c:v>
                </c:pt>
                <c:pt idx="115">
                  <c:v>-0.62523746935851443</c:v>
                </c:pt>
                <c:pt idx="116">
                  <c:v>0.27937046819359035</c:v>
                </c:pt>
                <c:pt idx="117">
                  <c:v>-1.7024670003016547</c:v>
                </c:pt>
                <c:pt idx="118">
                  <c:v>3.1666873562985165</c:v>
                </c:pt>
                <c:pt idx="119">
                  <c:v>3.580071379617352</c:v>
                </c:pt>
                <c:pt idx="120">
                  <c:v>5.5182858323510636E-2</c:v>
                </c:pt>
                <c:pt idx="121">
                  <c:v>0.8173714702258239</c:v>
                </c:pt>
                <c:pt idx="122">
                  <c:v>2.5343167951715437</c:v>
                </c:pt>
                <c:pt idx="123">
                  <c:v>-0.49649597275839152</c:v>
                </c:pt>
                <c:pt idx="124">
                  <c:v>1.1573512190828252</c:v>
                </c:pt>
                <c:pt idx="125">
                  <c:v>1.1607317321410837</c:v>
                </c:pt>
                <c:pt idx="126">
                  <c:v>0.98384974618307341</c:v>
                </c:pt>
                <c:pt idx="127">
                  <c:v>0.20128346879376346</c:v>
                </c:pt>
                <c:pt idx="128">
                  <c:v>6.2862567183433013E-2</c:v>
                </c:pt>
                <c:pt idx="129">
                  <c:v>1.5244628300109645E-2</c:v>
                </c:pt>
                <c:pt idx="130">
                  <c:v>2.5118747000438195</c:v>
                </c:pt>
                <c:pt idx="131">
                  <c:v>-0.73047275946122014</c:v>
                </c:pt>
                <c:pt idx="132">
                  <c:v>2.664630651168546</c:v>
                </c:pt>
                <c:pt idx="133">
                  <c:v>-0.63980558944311527</c:v>
                </c:pt>
                <c:pt idx="134">
                  <c:v>-2.5680570998352561</c:v>
                </c:pt>
                <c:pt idx="135">
                  <c:v>-0.12574664360828455</c:v>
                </c:pt>
                <c:pt idx="136">
                  <c:v>2.3878145236429944</c:v>
                </c:pt>
                <c:pt idx="137">
                  <c:v>1.3006576888791135</c:v>
                </c:pt>
                <c:pt idx="138">
                  <c:v>2.3644571963769208</c:v>
                </c:pt>
                <c:pt idx="139">
                  <c:v>-3.7635693365227305E-2</c:v>
                </c:pt>
                <c:pt idx="140">
                  <c:v>1.5120608050198472</c:v>
                </c:pt>
                <c:pt idx="141">
                  <c:v>2.6303236664701828</c:v>
                </c:pt>
                <c:pt idx="142">
                  <c:v>6.4450144874432388E-2</c:v>
                </c:pt>
                <c:pt idx="143">
                  <c:v>0.64991632276644051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0E-044A-BAF6-75A55EFD1E03}"/>
            </c:ext>
          </c:extLst>
        </c:ser>
        <c:ser>
          <c:idx val="1"/>
          <c:order val="1"/>
          <c:tx>
            <c:v>Predicted Asset Returns (%)</c:v>
          </c:tx>
          <c:spPr>
            <a:ln w="19050">
              <a:noFill/>
            </a:ln>
          </c:spPr>
          <c:xVal>
            <c:numRef>
              <c:f>Data!$W$2:$W$145</c:f>
              <c:numCache>
                <c:formatCode>0.0000</c:formatCode>
                <c:ptCount val="144"/>
                <c:pt idx="0">
                  <c:v>-5.1387194346069833</c:v>
                </c:pt>
                <c:pt idx="1">
                  <c:v>2.3484491421995508</c:v>
                </c:pt>
                <c:pt idx="2">
                  <c:v>-0.92319478819390199</c:v>
                </c:pt>
                <c:pt idx="3">
                  <c:v>0.82434767702086331</c:v>
                </c:pt>
                <c:pt idx="4">
                  <c:v>2.0252115715454142</c:v>
                </c:pt>
                <c:pt idx="5">
                  <c:v>-1.4083021680096535</c:v>
                </c:pt>
                <c:pt idx="6">
                  <c:v>-0.89531690384682072</c:v>
                </c:pt>
                <c:pt idx="7">
                  <c:v>2.0846292055168538</c:v>
                </c:pt>
                <c:pt idx="8">
                  <c:v>0.18815829103602541</c:v>
                </c:pt>
                <c:pt idx="9">
                  <c:v>-0.30403984882426438</c:v>
                </c:pt>
                <c:pt idx="10">
                  <c:v>1.2224064307019109</c:v>
                </c:pt>
                <c:pt idx="11">
                  <c:v>1.1188106566869516</c:v>
                </c:pt>
                <c:pt idx="12">
                  <c:v>-0.39386738542473537</c:v>
                </c:pt>
                <c:pt idx="13">
                  <c:v>0.23199314515441699</c:v>
                </c:pt>
                <c:pt idx="14">
                  <c:v>3.0510319131719719</c:v>
                </c:pt>
                <c:pt idx="15">
                  <c:v>-0.57569475557887417</c:v>
                </c:pt>
                <c:pt idx="16">
                  <c:v>0.34508593485068878</c:v>
                </c:pt>
                <c:pt idx="17">
                  <c:v>2.4668637873530348</c:v>
                </c:pt>
                <c:pt idx="18">
                  <c:v>1.3828982966028573</c:v>
                </c:pt>
                <c:pt idx="19">
                  <c:v>5.9348906527047323</c:v>
                </c:pt>
                <c:pt idx="20">
                  <c:v>-3.7396932352934624</c:v>
                </c:pt>
                <c:pt idx="21">
                  <c:v>1.0994857308880885</c:v>
                </c:pt>
                <c:pt idx="22">
                  <c:v>-2.3264834455409638</c:v>
                </c:pt>
                <c:pt idx="23">
                  <c:v>0.27399978476401698</c:v>
                </c:pt>
                <c:pt idx="24">
                  <c:v>-3.7708043023703515</c:v>
                </c:pt>
                <c:pt idx="25">
                  <c:v>2.4312561086316236</c:v>
                </c:pt>
                <c:pt idx="26">
                  <c:v>-2.163876747359093</c:v>
                </c:pt>
                <c:pt idx="27">
                  <c:v>0.5025858772171532</c:v>
                </c:pt>
                <c:pt idx="28">
                  <c:v>1.5012701524955124E-2</c:v>
                </c:pt>
                <c:pt idx="29">
                  <c:v>2.0734306549589543</c:v>
                </c:pt>
                <c:pt idx="30">
                  <c:v>-1.4165022256805997</c:v>
                </c:pt>
                <c:pt idx="31">
                  <c:v>0.66815720708482551</c:v>
                </c:pt>
                <c:pt idx="32">
                  <c:v>-0.80775400785913054</c:v>
                </c:pt>
                <c:pt idx="33">
                  <c:v>3.5954167685518694</c:v>
                </c:pt>
                <c:pt idx="34">
                  <c:v>0.91190414214845739</c:v>
                </c:pt>
                <c:pt idx="35">
                  <c:v>0.85468808124803441</c:v>
                </c:pt>
                <c:pt idx="36">
                  <c:v>3.5664770305249829</c:v>
                </c:pt>
                <c:pt idx="37">
                  <c:v>5.0465169683722939</c:v>
                </c:pt>
                <c:pt idx="38">
                  <c:v>3.4210472846484357</c:v>
                </c:pt>
                <c:pt idx="39">
                  <c:v>-1.9050206096671818</c:v>
                </c:pt>
                <c:pt idx="40">
                  <c:v>-4.4556526959210885</c:v>
                </c:pt>
                <c:pt idx="41">
                  <c:v>-1.6600067055434231</c:v>
                </c:pt>
                <c:pt idx="42">
                  <c:v>2.9503559863160107</c:v>
                </c:pt>
                <c:pt idx="43">
                  <c:v>-1.5202579266307075</c:v>
                </c:pt>
                <c:pt idx="44">
                  <c:v>2.6350509941130018</c:v>
                </c:pt>
                <c:pt idx="45">
                  <c:v>-0.17390455263532517</c:v>
                </c:pt>
                <c:pt idx="46">
                  <c:v>0.72625925846252182</c:v>
                </c:pt>
                <c:pt idx="47">
                  <c:v>1.5534992085354618</c:v>
                </c:pt>
                <c:pt idx="48">
                  <c:v>-1.3128763768352263</c:v>
                </c:pt>
                <c:pt idx="49">
                  <c:v>1.0235515044919676</c:v>
                </c:pt>
                <c:pt idx="50">
                  <c:v>0.87915557139737288</c:v>
                </c:pt>
                <c:pt idx="51">
                  <c:v>-2.0519560737810645</c:v>
                </c:pt>
                <c:pt idx="52">
                  <c:v>0.34628136161819018</c:v>
                </c:pt>
                <c:pt idx="53">
                  <c:v>-0.35419358995709715</c:v>
                </c:pt>
                <c:pt idx="54">
                  <c:v>1.858001601839639</c:v>
                </c:pt>
                <c:pt idx="55">
                  <c:v>-0.8877688063153264</c:v>
                </c:pt>
                <c:pt idx="56">
                  <c:v>-1.3769514272096248</c:v>
                </c:pt>
                <c:pt idx="57">
                  <c:v>0.20136749777207796</c:v>
                </c:pt>
                <c:pt idx="58">
                  <c:v>0.12731740286215751</c:v>
                </c:pt>
                <c:pt idx="59">
                  <c:v>-0.371473926792939</c:v>
                </c:pt>
                <c:pt idx="60">
                  <c:v>-0.41320150136606915</c:v>
                </c:pt>
                <c:pt idx="61">
                  <c:v>0.2551971584802315</c:v>
                </c:pt>
                <c:pt idx="62">
                  <c:v>0.54532839444733927</c:v>
                </c:pt>
                <c:pt idx="63">
                  <c:v>-1.1987084485525838</c:v>
                </c:pt>
                <c:pt idx="64">
                  <c:v>0.20365796077345244</c:v>
                </c:pt>
                <c:pt idx="65">
                  <c:v>-2.1905269483508447</c:v>
                </c:pt>
                <c:pt idx="66">
                  <c:v>1.357859374712971</c:v>
                </c:pt>
                <c:pt idx="67">
                  <c:v>1.0678641457547986</c:v>
                </c:pt>
                <c:pt idx="68">
                  <c:v>-4.062169850005945E-3</c:v>
                </c:pt>
                <c:pt idx="69">
                  <c:v>-0.25340601070870289</c:v>
                </c:pt>
                <c:pt idx="70">
                  <c:v>-0.20371933742089599</c:v>
                </c:pt>
                <c:pt idx="71">
                  <c:v>-6.8036926882462212E-2</c:v>
                </c:pt>
                <c:pt idx="72">
                  <c:v>3.0998066900760599</c:v>
                </c:pt>
                <c:pt idx="73">
                  <c:v>-1.5756409548922983</c:v>
                </c:pt>
                <c:pt idx="74">
                  <c:v>-6.5893968100260576</c:v>
                </c:pt>
                <c:pt idx="75">
                  <c:v>7.3665586735762902</c:v>
                </c:pt>
                <c:pt idx="76">
                  <c:v>1.0916617932992878</c:v>
                </c:pt>
                <c:pt idx="77">
                  <c:v>1.0163751457846373</c:v>
                </c:pt>
                <c:pt idx="78">
                  <c:v>2.1435700279400138</c:v>
                </c:pt>
                <c:pt idx="79">
                  <c:v>-1.204767361587278</c:v>
                </c:pt>
                <c:pt idx="80">
                  <c:v>-1.9469169716171044E-3</c:v>
                </c:pt>
                <c:pt idx="81">
                  <c:v>0.28979934223811843</c:v>
                </c:pt>
                <c:pt idx="82">
                  <c:v>2.3639052440224098</c:v>
                </c:pt>
                <c:pt idx="83">
                  <c:v>1.5490140567033936</c:v>
                </c:pt>
                <c:pt idx="84">
                  <c:v>-1.6477775578392471</c:v>
                </c:pt>
                <c:pt idx="85">
                  <c:v>-3.4798493915758022</c:v>
                </c:pt>
                <c:pt idx="86">
                  <c:v>1.7190145145590065E-2</c:v>
                </c:pt>
                <c:pt idx="87">
                  <c:v>0.3804319559628988</c:v>
                </c:pt>
                <c:pt idx="88">
                  <c:v>0.31001431749484604</c:v>
                </c:pt>
                <c:pt idx="89">
                  <c:v>0.85502216530240871</c:v>
                </c:pt>
                <c:pt idx="90">
                  <c:v>1.6132309956574875</c:v>
                </c:pt>
                <c:pt idx="91">
                  <c:v>-0.22870458134476115</c:v>
                </c:pt>
                <c:pt idx="92">
                  <c:v>-2.8087660797989829</c:v>
                </c:pt>
                <c:pt idx="93">
                  <c:v>0.69722145982741013</c:v>
                </c:pt>
                <c:pt idx="94">
                  <c:v>0.99547551042253035</c:v>
                </c:pt>
                <c:pt idx="95">
                  <c:v>-1.12353903746557</c:v>
                </c:pt>
                <c:pt idx="96">
                  <c:v>-4.0342794589013895</c:v>
                </c:pt>
                <c:pt idx="97">
                  <c:v>-3.1651689144312303</c:v>
                </c:pt>
                <c:pt idx="98">
                  <c:v>0.13326767049501004</c:v>
                </c:pt>
                <c:pt idx="99">
                  <c:v>-3.8653528730622675</c:v>
                </c:pt>
                <c:pt idx="100">
                  <c:v>-1.556403524525015</c:v>
                </c:pt>
                <c:pt idx="101">
                  <c:v>-3.4565692008015478</c:v>
                </c:pt>
                <c:pt idx="102">
                  <c:v>4.373127894277208</c:v>
                </c:pt>
                <c:pt idx="103">
                  <c:v>-8.1411935429504894</c:v>
                </c:pt>
                <c:pt idx="104">
                  <c:v>-9.1415438687040886</c:v>
                </c:pt>
                <c:pt idx="105">
                  <c:v>4.9981561061963475</c:v>
                </c:pt>
                <c:pt idx="106">
                  <c:v>3.7315693621188237</c:v>
                </c:pt>
                <c:pt idx="107">
                  <c:v>-1.6930601373866518</c:v>
                </c:pt>
                <c:pt idx="108">
                  <c:v>3.2693974797429637</c:v>
                </c:pt>
                <c:pt idx="109">
                  <c:v>-3.4044713219137206</c:v>
                </c:pt>
                <c:pt idx="110">
                  <c:v>1.1229372544900045</c:v>
                </c:pt>
                <c:pt idx="111">
                  <c:v>-4.5251950847142508E-2</c:v>
                </c:pt>
                <c:pt idx="112">
                  <c:v>-3.2207902839867755</c:v>
                </c:pt>
                <c:pt idx="113">
                  <c:v>-1.5304704600210068</c:v>
                </c:pt>
                <c:pt idx="114">
                  <c:v>2.0217015238879137</c:v>
                </c:pt>
                <c:pt idx="115">
                  <c:v>-0.73548575994241516</c:v>
                </c:pt>
                <c:pt idx="116">
                  <c:v>-0.41335762746622851</c:v>
                </c:pt>
                <c:pt idx="117">
                  <c:v>-0.46656124638286833</c:v>
                </c:pt>
                <c:pt idx="118">
                  <c:v>3.4138089910941942</c:v>
                </c:pt>
                <c:pt idx="119">
                  <c:v>4.4012225363925044</c:v>
                </c:pt>
                <c:pt idx="120">
                  <c:v>-1.5196917747234271</c:v>
                </c:pt>
                <c:pt idx="121">
                  <c:v>-1.062073375074631</c:v>
                </c:pt>
                <c:pt idx="122">
                  <c:v>1.477489362217179</c:v>
                </c:pt>
                <c:pt idx="123">
                  <c:v>-2.3781283099238917</c:v>
                </c:pt>
                <c:pt idx="124">
                  <c:v>0.47811004572060589</c:v>
                </c:pt>
                <c:pt idx="125">
                  <c:v>0.44551959930867541</c:v>
                </c:pt>
                <c:pt idx="126">
                  <c:v>1.3614075313738643</c:v>
                </c:pt>
                <c:pt idx="127">
                  <c:v>-7.7650136808625758E-3</c:v>
                </c:pt>
                <c:pt idx="128">
                  <c:v>-0.12972116439056908</c:v>
                </c:pt>
                <c:pt idx="129">
                  <c:v>-1.6695833580904584</c:v>
                </c:pt>
                <c:pt idx="130">
                  <c:v>1.4530967525660716</c:v>
                </c:pt>
                <c:pt idx="131">
                  <c:v>-0.78143310266141697</c:v>
                </c:pt>
                <c:pt idx="132">
                  <c:v>0.34908255979636738</c:v>
                </c:pt>
                <c:pt idx="133">
                  <c:v>0.13535969057984193</c:v>
                </c:pt>
                <c:pt idx="134">
                  <c:v>-1.8716624465378884</c:v>
                </c:pt>
                <c:pt idx="135">
                  <c:v>1.2656565827966442</c:v>
                </c:pt>
                <c:pt idx="136">
                  <c:v>-0.42014204580768427</c:v>
                </c:pt>
                <c:pt idx="137">
                  <c:v>1.4055246320234833</c:v>
                </c:pt>
                <c:pt idx="138">
                  <c:v>-2.3798636141916241E-2</c:v>
                </c:pt>
                <c:pt idx="139">
                  <c:v>-0.94564972218921284</c:v>
                </c:pt>
                <c:pt idx="140">
                  <c:v>0.73546966098117694</c:v>
                </c:pt>
                <c:pt idx="141">
                  <c:v>1.7116922764778253</c:v>
                </c:pt>
                <c:pt idx="142">
                  <c:v>-0.26362362275971585</c:v>
                </c:pt>
                <c:pt idx="143">
                  <c:v>0.22777557059858333</c:v>
                </c:pt>
              </c:numCache>
            </c:numRef>
          </c:xVal>
          <c:yVal>
            <c:numRef>
              <c:f>'Credit, Dinflation, DVIX'!$B$28:$B$171</c:f>
              <c:numCache>
                <c:formatCode>General</c:formatCode>
                <c:ptCount val="144"/>
                <c:pt idx="0">
                  <c:v>-1.2331368552340807</c:v>
                </c:pt>
                <c:pt idx="1">
                  <c:v>2.4856303583513482</c:v>
                </c:pt>
                <c:pt idx="2">
                  <c:v>-0.86031769362694988</c:v>
                </c:pt>
                <c:pt idx="3">
                  <c:v>1.0874628400143844</c:v>
                </c:pt>
                <c:pt idx="4">
                  <c:v>2.2846000541704825</c:v>
                </c:pt>
                <c:pt idx="5">
                  <c:v>-0.21888513365923409</c:v>
                </c:pt>
                <c:pt idx="6">
                  <c:v>0.50957840029515233</c:v>
                </c:pt>
                <c:pt idx="7">
                  <c:v>0.5482438239530939</c:v>
                </c:pt>
                <c:pt idx="8">
                  <c:v>1.5716552187809381</c:v>
                </c:pt>
                <c:pt idx="9">
                  <c:v>0.36445257981732609</c:v>
                </c:pt>
                <c:pt idx="10">
                  <c:v>1.0629259124737571</c:v>
                </c:pt>
                <c:pt idx="11">
                  <c:v>1.0730303824781147</c:v>
                </c:pt>
                <c:pt idx="12">
                  <c:v>0.56560092288840369</c:v>
                </c:pt>
                <c:pt idx="13">
                  <c:v>-1.0988609409636332</c:v>
                </c:pt>
                <c:pt idx="14">
                  <c:v>2.3342346410470634</c:v>
                </c:pt>
                <c:pt idx="15">
                  <c:v>-1.0315204437817451</c:v>
                </c:pt>
                <c:pt idx="16">
                  <c:v>1.016241171794662</c:v>
                </c:pt>
                <c:pt idx="17">
                  <c:v>1.2099445356345464</c:v>
                </c:pt>
                <c:pt idx="18">
                  <c:v>-0.44089115729850281</c:v>
                </c:pt>
                <c:pt idx="19">
                  <c:v>2.3178984058052086</c:v>
                </c:pt>
                <c:pt idx="20">
                  <c:v>0.52056836631465953</c:v>
                </c:pt>
                <c:pt idx="21">
                  <c:v>0.56494873014573643</c:v>
                </c:pt>
                <c:pt idx="22">
                  <c:v>-6.1620725877335983E-2</c:v>
                </c:pt>
                <c:pt idx="23">
                  <c:v>0.23442549065603285</c:v>
                </c:pt>
                <c:pt idx="24">
                  <c:v>-2.0535990838093285</c:v>
                </c:pt>
                <c:pt idx="25">
                  <c:v>1.7169480455172095</c:v>
                </c:pt>
                <c:pt idx="26">
                  <c:v>-3.1895253715743266</c:v>
                </c:pt>
                <c:pt idx="27">
                  <c:v>-8.9504942181481723E-2</c:v>
                </c:pt>
                <c:pt idx="28">
                  <c:v>1.8910299426394632</c:v>
                </c:pt>
                <c:pt idx="29">
                  <c:v>0.38557004348732882</c:v>
                </c:pt>
                <c:pt idx="30">
                  <c:v>-0.89061687852782756</c:v>
                </c:pt>
                <c:pt idx="31">
                  <c:v>-5.9955496369796274E-2</c:v>
                </c:pt>
                <c:pt idx="32">
                  <c:v>8.9965018645476319E-2</c:v>
                </c:pt>
                <c:pt idx="33">
                  <c:v>3.4846419298655511</c:v>
                </c:pt>
                <c:pt idx="34">
                  <c:v>1.3031117496082798</c:v>
                </c:pt>
                <c:pt idx="35">
                  <c:v>0.92017855339336585</c:v>
                </c:pt>
                <c:pt idx="36">
                  <c:v>1.8210951684969752</c:v>
                </c:pt>
                <c:pt idx="37">
                  <c:v>3.4477386772803671</c:v>
                </c:pt>
                <c:pt idx="38">
                  <c:v>2.292438686566411</c:v>
                </c:pt>
                <c:pt idx="39">
                  <c:v>-0.51526835822450145</c:v>
                </c:pt>
                <c:pt idx="40">
                  <c:v>-1.1837031603760855</c:v>
                </c:pt>
                <c:pt idx="41">
                  <c:v>6.222623485070955E-2</c:v>
                </c:pt>
                <c:pt idx="42">
                  <c:v>2.2087531778633713</c:v>
                </c:pt>
                <c:pt idx="43">
                  <c:v>0.3945601256180174</c:v>
                </c:pt>
                <c:pt idx="44">
                  <c:v>1.3676021000102125</c:v>
                </c:pt>
                <c:pt idx="45">
                  <c:v>0.30778296841411523</c:v>
                </c:pt>
                <c:pt idx="46">
                  <c:v>1.0721199316832397</c:v>
                </c:pt>
                <c:pt idx="47">
                  <c:v>1.2058831037909925</c:v>
                </c:pt>
                <c:pt idx="48">
                  <c:v>-0.25993249398210111</c:v>
                </c:pt>
                <c:pt idx="49">
                  <c:v>1.1262435079160238</c:v>
                </c:pt>
                <c:pt idx="50">
                  <c:v>0.69053622199997067</c:v>
                </c:pt>
                <c:pt idx="51">
                  <c:v>-3.6523952358900463E-3</c:v>
                </c:pt>
                <c:pt idx="52">
                  <c:v>0.4323762105519961</c:v>
                </c:pt>
                <c:pt idx="53">
                  <c:v>-6.7638006844168763E-2</c:v>
                </c:pt>
                <c:pt idx="54">
                  <c:v>1.0638957942606899</c:v>
                </c:pt>
                <c:pt idx="55">
                  <c:v>-0.66819917839995813</c:v>
                </c:pt>
                <c:pt idx="56">
                  <c:v>-1.2279508918895916</c:v>
                </c:pt>
                <c:pt idx="57">
                  <c:v>0.55645516790404281</c:v>
                </c:pt>
                <c:pt idx="58">
                  <c:v>0.97463613026190221</c:v>
                </c:pt>
                <c:pt idx="59">
                  <c:v>0.34517401024579325</c:v>
                </c:pt>
                <c:pt idx="60">
                  <c:v>-0.39552429745550244</c:v>
                </c:pt>
                <c:pt idx="61">
                  <c:v>1.340676436346141</c:v>
                </c:pt>
                <c:pt idx="62">
                  <c:v>0.46376648304886198</c:v>
                </c:pt>
                <c:pt idx="63">
                  <c:v>0.37851690543566663</c:v>
                </c:pt>
                <c:pt idx="64">
                  <c:v>-1.1260152629969573</c:v>
                </c:pt>
                <c:pt idx="65">
                  <c:v>-0.46984158123787434</c:v>
                </c:pt>
                <c:pt idx="66">
                  <c:v>-0.16176611016441778</c:v>
                </c:pt>
                <c:pt idx="67">
                  <c:v>1.5966141992720031</c:v>
                </c:pt>
                <c:pt idx="68">
                  <c:v>0.78923362849270173</c:v>
                </c:pt>
                <c:pt idx="69">
                  <c:v>0.38576530774175138</c:v>
                </c:pt>
                <c:pt idx="70">
                  <c:v>0.43566895768236913</c:v>
                </c:pt>
                <c:pt idx="71">
                  <c:v>1.0814888404528538</c:v>
                </c:pt>
                <c:pt idx="72">
                  <c:v>0.79596360623776041</c:v>
                </c:pt>
                <c:pt idx="73">
                  <c:v>-2.7407696659785037</c:v>
                </c:pt>
                <c:pt idx="74">
                  <c:v>-7.0038220597697691</c:v>
                </c:pt>
                <c:pt idx="75">
                  <c:v>5.2064079157021066</c:v>
                </c:pt>
                <c:pt idx="76">
                  <c:v>2.5829157305051096</c:v>
                </c:pt>
                <c:pt idx="77">
                  <c:v>0.66616616286831609</c:v>
                </c:pt>
                <c:pt idx="78">
                  <c:v>2.4715638927224179</c:v>
                </c:pt>
                <c:pt idx="79">
                  <c:v>0.35514580234470627</c:v>
                </c:pt>
                <c:pt idx="80">
                  <c:v>6.7220791900095236E-2</c:v>
                </c:pt>
                <c:pt idx="81">
                  <c:v>-7.2936389885284725E-2</c:v>
                </c:pt>
                <c:pt idx="82">
                  <c:v>3.3801979431286284</c:v>
                </c:pt>
                <c:pt idx="83">
                  <c:v>1.141853528026006</c:v>
                </c:pt>
                <c:pt idx="84">
                  <c:v>-0.78780032759354723</c:v>
                </c:pt>
                <c:pt idx="85">
                  <c:v>-0.40630362310025347</c:v>
                </c:pt>
                <c:pt idx="86">
                  <c:v>1.425671288873843</c:v>
                </c:pt>
                <c:pt idx="87">
                  <c:v>0.56486987732280924</c:v>
                </c:pt>
                <c:pt idx="88">
                  <c:v>1.0067724710906198</c:v>
                </c:pt>
                <c:pt idx="89">
                  <c:v>0.94130370116807649</c:v>
                </c:pt>
                <c:pt idx="90">
                  <c:v>0.92407556872951635</c:v>
                </c:pt>
                <c:pt idx="91">
                  <c:v>0.69897125297108031</c:v>
                </c:pt>
                <c:pt idx="92">
                  <c:v>-1.0251032518062844</c:v>
                </c:pt>
                <c:pt idx="93">
                  <c:v>1.3797990118739312</c:v>
                </c:pt>
                <c:pt idx="94">
                  <c:v>-0.57849762971765206</c:v>
                </c:pt>
                <c:pt idx="95">
                  <c:v>0.95347701795628304</c:v>
                </c:pt>
                <c:pt idx="96">
                  <c:v>-2.3841083006894248</c:v>
                </c:pt>
                <c:pt idx="97">
                  <c:v>-1.1620294301341456</c:v>
                </c:pt>
                <c:pt idx="98">
                  <c:v>1.1792217363590056</c:v>
                </c:pt>
                <c:pt idx="99">
                  <c:v>-3.4372149790558248</c:v>
                </c:pt>
                <c:pt idx="100">
                  <c:v>-0.22124713231314452</c:v>
                </c:pt>
                <c:pt idx="101">
                  <c:v>-4.1667317813654794</c:v>
                </c:pt>
                <c:pt idx="102">
                  <c:v>4.5010796594696743</c:v>
                </c:pt>
                <c:pt idx="103">
                  <c:v>-3.2548979610378215</c:v>
                </c:pt>
                <c:pt idx="104">
                  <c:v>-4.6347179854922125</c:v>
                </c:pt>
                <c:pt idx="105">
                  <c:v>2.8046574668667068</c:v>
                </c:pt>
                <c:pt idx="106">
                  <c:v>2.5843038985486242</c:v>
                </c:pt>
                <c:pt idx="107">
                  <c:v>-1.1534815312359492</c:v>
                </c:pt>
                <c:pt idx="108">
                  <c:v>2.1302123340028487</c:v>
                </c:pt>
                <c:pt idx="109">
                  <c:v>-1.0039431346789691</c:v>
                </c:pt>
                <c:pt idx="110">
                  <c:v>1.2099415850423041</c:v>
                </c:pt>
                <c:pt idx="111">
                  <c:v>0.50574060831271506</c:v>
                </c:pt>
                <c:pt idx="112">
                  <c:v>-0.63487014574213618</c:v>
                </c:pt>
                <c:pt idx="113">
                  <c:v>0.42186851698828487</c:v>
                </c:pt>
                <c:pt idx="114">
                  <c:v>1.2041259550203178</c:v>
                </c:pt>
                <c:pt idx="115">
                  <c:v>0.57957605599005513</c:v>
                </c:pt>
                <c:pt idx="116">
                  <c:v>-0.19653912170266707</c:v>
                </c:pt>
                <c:pt idx="117">
                  <c:v>-8.8964696776177743E-2</c:v>
                </c:pt>
                <c:pt idx="118">
                  <c:v>2.8955758555323663</c:v>
                </c:pt>
                <c:pt idx="119">
                  <c:v>2.9276018176266789</c:v>
                </c:pt>
                <c:pt idx="120">
                  <c:v>-0.14362024950359759</c:v>
                </c:pt>
                <c:pt idx="121">
                  <c:v>7.9484272406445303E-2</c:v>
                </c:pt>
                <c:pt idx="122">
                  <c:v>1.3433747057753105</c:v>
                </c:pt>
                <c:pt idx="123">
                  <c:v>-0.6323102680633389</c:v>
                </c:pt>
                <c:pt idx="124">
                  <c:v>0.91421237379226195</c:v>
                </c:pt>
                <c:pt idx="125">
                  <c:v>0.46497540910174273</c:v>
                </c:pt>
                <c:pt idx="126">
                  <c:v>0.55216289839816268</c:v>
                </c:pt>
                <c:pt idx="127">
                  <c:v>1.7826860438304273</c:v>
                </c:pt>
                <c:pt idx="128">
                  <c:v>1.0944878369186033</c:v>
                </c:pt>
                <c:pt idx="129">
                  <c:v>-0.61006805031957401</c:v>
                </c:pt>
                <c:pt idx="130">
                  <c:v>2.031603534012647</c:v>
                </c:pt>
                <c:pt idx="131">
                  <c:v>-0.53359519457316062</c:v>
                </c:pt>
                <c:pt idx="132">
                  <c:v>0.9776980670937343</c:v>
                </c:pt>
                <c:pt idx="133">
                  <c:v>0.29555086180340712</c:v>
                </c:pt>
                <c:pt idx="134">
                  <c:v>-0.42154537263253206</c:v>
                </c:pt>
                <c:pt idx="135">
                  <c:v>0.42756051091798414</c:v>
                </c:pt>
                <c:pt idx="136">
                  <c:v>0.95567342112403342</c:v>
                </c:pt>
                <c:pt idx="137">
                  <c:v>0.93334266615570471</c:v>
                </c:pt>
                <c:pt idx="138">
                  <c:v>0.69691577952620942</c:v>
                </c:pt>
                <c:pt idx="139">
                  <c:v>0.33251462751380667</c:v>
                </c:pt>
                <c:pt idx="140">
                  <c:v>0.86371140186523487</c:v>
                </c:pt>
                <c:pt idx="141">
                  <c:v>0.82797706460217479</c:v>
                </c:pt>
                <c:pt idx="142">
                  <c:v>0.45107276273162683</c:v>
                </c:pt>
                <c:pt idx="143">
                  <c:v>0.65512121834452319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E0E-044A-BAF6-75A55EFD1E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624560"/>
        <c:axId val="832595216"/>
      </c:scatterChart>
      <c:valAx>
        <c:axId val="8326245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IG Credit Spread (%)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832595216"/>
        <c:crosses val="autoZero"/>
        <c:crossBetween val="midCat"/>
      </c:valAx>
      <c:valAx>
        <c:axId val="8325952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Asset Returns (%)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83262456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'Credit, Dinflation, DVIX'!$F$28:$F$171</c:f>
              <c:numCache>
                <c:formatCode>General</c:formatCode>
                <c:ptCount val="144"/>
                <c:pt idx="0">
                  <c:v>0.34722222222222221</c:v>
                </c:pt>
                <c:pt idx="1">
                  <c:v>1.0416666666666665</c:v>
                </c:pt>
                <c:pt idx="2">
                  <c:v>1.7361111111111112</c:v>
                </c:pt>
                <c:pt idx="3">
                  <c:v>2.4305555555555554</c:v>
                </c:pt>
                <c:pt idx="4">
                  <c:v>3.125</c:v>
                </c:pt>
                <c:pt idx="5">
                  <c:v>3.8194444444444446</c:v>
                </c:pt>
                <c:pt idx="6">
                  <c:v>4.5138888888888884</c:v>
                </c:pt>
                <c:pt idx="7">
                  <c:v>5.208333333333333</c:v>
                </c:pt>
                <c:pt idx="8">
                  <c:v>5.9027777777777777</c:v>
                </c:pt>
                <c:pt idx="9">
                  <c:v>6.5972222222222223</c:v>
                </c:pt>
                <c:pt idx="10">
                  <c:v>7.291666666666667</c:v>
                </c:pt>
                <c:pt idx="11">
                  <c:v>7.9861111111111107</c:v>
                </c:pt>
                <c:pt idx="12">
                  <c:v>8.6805555555555536</c:v>
                </c:pt>
                <c:pt idx="13">
                  <c:v>9.3749999999999982</c:v>
                </c:pt>
                <c:pt idx="14">
                  <c:v>10.069444444444443</c:v>
                </c:pt>
                <c:pt idx="15">
                  <c:v>10.763888888888888</c:v>
                </c:pt>
                <c:pt idx="16">
                  <c:v>11.458333333333332</c:v>
                </c:pt>
                <c:pt idx="17">
                  <c:v>12.152777777777777</c:v>
                </c:pt>
                <c:pt idx="18">
                  <c:v>12.847222222222221</c:v>
                </c:pt>
                <c:pt idx="19">
                  <c:v>13.541666666666666</c:v>
                </c:pt>
                <c:pt idx="20">
                  <c:v>14.236111111111111</c:v>
                </c:pt>
                <c:pt idx="21">
                  <c:v>14.930555555555554</c:v>
                </c:pt>
                <c:pt idx="22">
                  <c:v>15.624999999999998</c:v>
                </c:pt>
                <c:pt idx="23">
                  <c:v>16.319444444444443</c:v>
                </c:pt>
                <c:pt idx="24">
                  <c:v>17.013888888888886</c:v>
                </c:pt>
                <c:pt idx="25">
                  <c:v>17.708333333333332</c:v>
                </c:pt>
                <c:pt idx="26">
                  <c:v>18.402777777777775</c:v>
                </c:pt>
                <c:pt idx="27">
                  <c:v>19.097222222222221</c:v>
                </c:pt>
                <c:pt idx="28">
                  <c:v>19.791666666666664</c:v>
                </c:pt>
                <c:pt idx="29">
                  <c:v>20.486111111111111</c:v>
                </c:pt>
                <c:pt idx="30">
                  <c:v>21.180555555555554</c:v>
                </c:pt>
                <c:pt idx="31">
                  <c:v>21.875</c:v>
                </c:pt>
                <c:pt idx="32">
                  <c:v>22.569444444444443</c:v>
                </c:pt>
                <c:pt idx="33">
                  <c:v>23.263888888888886</c:v>
                </c:pt>
                <c:pt idx="34">
                  <c:v>23.958333333333332</c:v>
                </c:pt>
                <c:pt idx="35">
                  <c:v>24.652777777777775</c:v>
                </c:pt>
                <c:pt idx="36">
                  <c:v>25.347222222222221</c:v>
                </c:pt>
                <c:pt idx="37">
                  <c:v>26.041666666666664</c:v>
                </c:pt>
                <c:pt idx="38">
                  <c:v>26.736111111111111</c:v>
                </c:pt>
                <c:pt idx="39">
                  <c:v>27.430555555555554</c:v>
                </c:pt>
                <c:pt idx="40">
                  <c:v>28.125</c:v>
                </c:pt>
                <c:pt idx="41">
                  <c:v>28.819444444444443</c:v>
                </c:pt>
                <c:pt idx="42">
                  <c:v>29.513888888888886</c:v>
                </c:pt>
                <c:pt idx="43">
                  <c:v>30.208333333333332</c:v>
                </c:pt>
                <c:pt idx="44">
                  <c:v>30.902777777777775</c:v>
                </c:pt>
                <c:pt idx="45">
                  <c:v>31.597222222222221</c:v>
                </c:pt>
                <c:pt idx="46">
                  <c:v>32.291666666666664</c:v>
                </c:pt>
                <c:pt idx="47">
                  <c:v>32.986111111111107</c:v>
                </c:pt>
                <c:pt idx="48">
                  <c:v>33.68055555555555</c:v>
                </c:pt>
                <c:pt idx="49">
                  <c:v>34.375</c:v>
                </c:pt>
                <c:pt idx="50">
                  <c:v>35.069444444444443</c:v>
                </c:pt>
                <c:pt idx="51">
                  <c:v>35.763888888888886</c:v>
                </c:pt>
                <c:pt idx="52">
                  <c:v>36.458333333333329</c:v>
                </c:pt>
                <c:pt idx="53">
                  <c:v>37.152777777777779</c:v>
                </c:pt>
                <c:pt idx="54">
                  <c:v>37.847222222222221</c:v>
                </c:pt>
                <c:pt idx="55">
                  <c:v>38.541666666666664</c:v>
                </c:pt>
                <c:pt idx="56">
                  <c:v>39.236111111111107</c:v>
                </c:pt>
                <c:pt idx="57">
                  <c:v>39.93055555555555</c:v>
                </c:pt>
                <c:pt idx="58">
                  <c:v>40.625</c:v>
                </c:pt>
                <c:pt idx="59">
                  <c:v>41.319444444444443</c:v>
                </c:pt>
                <c:pt idx="60">
                  <c:v>42.013888888888886</c:v>
                </c:pt>
                <c:pt idx="61">
                  <c:v>42.708333333333329</c:v>
                </c:pt>
                <c:pt idx="62">
                  <c:v>43.402777777777779</c:v>
                </c:pt>
                <c:pt idx="63">
                  <c:v>44.097222222222221</c:v>
                </c:pt>
                <c:pt idx="64">
                  <c:v>44.791666666666664</c:v>
                </c:pt>
                <c:pt idx="65">
                  <c:v>45.486111111111107</c:v>
                </c:pt>
                <c:pt idx="66">
                  <c:v>46.18055555555555</c:v>
                </c:pt>
                <c:pt idx="67">
                  <c:v>46.875</c:v>
                </c:pt>
                <c:pt idx="68">
                  <c:v>47.569444444444443</c:v>
                </c:pt>
                <c:pt idx="69">
                  <c:v>48.263888888888886</c:v>
                </c:pt>
                <c:pt idx="70">
                  <c:v>48.958333333333329</c:v>
                </c:pt>
                <c:pt idx="71">
                  <c:v>49.652777777777779</c:v>
                </c:pt>
                <c:pt idx="72">
                  <c:v>50.347222222222221</c:v>
                </c:pt>
                <c:pt idx="73">
                  <c:v>51.041666666666664</c:v>
                </c:pt>
                <c:pt idx="74">
                  <c:v>51.736111111111107</c:v>
                </c:pt>
                <c:pt idx="75">
                  <c:v>52.43055555555555</c:v>
                </c:pt>
                <c:pt idx="76">
                  <c:v>53.125</c:v>
                </c:pt>
                <c:pt idx="77">
                  <c:v>53.819444444444443</c:v>
                </c:pt>
                <c:pt idx="78">
                  <c:v>54.513888888888886</c:v>
                </c:pt>
                <c:pt idx="79">
                  <c:v>55.208333333333329</c:v>
                </c:pt>
                <c:pt idx="80">
                  <c:v>55.902777777777779</c:v>
                </c:pt>
                <c:pt idx="81">
                  <c:v>56.597222222222221</c:v>
                </c:pt>
                <c:pt idx="82">
                  <c:v>57.291666666666664</c:v>
                </c:pt>
                <c:pt idx="83">
                  <c:v>57.986111111111107</c:v>
                </c:pt>
                <c:pt idx="84">
                  <c:v>58.68055555555555</c:v>
                </c:pt>
                <c:pt idx="85">
                  <c:v>59.375</c:v>
                </c:pt>
                <c:pt idx="86">
                  <c:v>60.069444444444443</c:v>
                </c:pt>
                <c:pt idx="87">
                  <c:v>60.763888888888886</c:v>
                </c:pt>
                <c:pt idx="88">
                  <c:v>61.458333333333329</c:v>
                </c:pt>
                <c:pt idx="89">
                  <c:v>62.152777777777771</c:v>
                </c:pt>
                <c:pt idx="90">
                  <c:v>62.847222222222221</c:v>
                </c:pt>
                <c:pt idx="91">
                  <c:v>63.541666666666664</c:v>
                </c:pt>
                <c:pt idx="92">
                  <c:v>64.236111111111114</c:v>
                </c:pt>
                <c:pt idx="93">
                  <c:v>64.930555555555557</c:v>
                </c:pt>
                <c:pt idx="94">
                  <c:v>65.625</c:v>
                </c:pt>
                <c:pt idx="95">
                  <c:v>66.319444444444443</c:v>
                </c:pt>
                <c:pt idx="96">
                  <c:v>67.013888888888886</c:v>
                </c:pt>
                <c:pt idx="97">
                  <c:v>67.708333333333343</c:v>
                </c:pt>
                <c:pt idx="98">
                  <c:v>68.402777777777786</c:v>
                </c:pt>
                <c:pt idx="99">
                  <c:v>69.097222222222229</c:v>
                </c:pt>
                <c:pt idx="100">
                  <c:v>69.791666666666671</c:v>
                </c:pt>
                <c:pt idx="101">
                  <c:v>70.486111111111114</c:v>
                </c:pt>
                <c:pt idx="102">
                  <c:v>71.180555555555557</c:v>
                </c:pt>
                <c:pt idx="103">
                  <c:v>71.875</c:v>
                </c:pt>
                <c:pt idx="104">
                  <c:v>72.569444444444443</c:v>
                </c:pt>
                <c:pt idx="105">
                  <c:v>73.263888888888886</c:v>
                </c:pt>
                <c:pt idx="106">
                  <c:v>73.958333333333343</c:v>
                </c:pt>
                <c:pt idx="107">
                  <c:v>74.652777777777786</c:v>
                </c:pt>
                <c:pt idx="108">
                  <c:v>75.347222222222229</c:v>
                </c:pt>
                <c:pt idx="109">
                  <c:v>76.041666666666671</c:v>
                </c:pt>
                <c:pt idx="110">
                  <c:v>76.736111111111114</c:v>
                </c:pt>
                <c:pt idx="111">
                  <c:v>77.430555555555557</c:v>
                </c:pt>
                <c:pt idx="112">
                  <c:v>78.125</c:v>
                </c:pt>
                <c:pt idx="113">
                  <c:v>78.819444444444443</c:v>
                </c:pt>
                <c:pt idx="114">
                  <c:v>79.513888888888886</c:v>
                </c:pt>
                <c:pt idx="115">
                  <c:v>80.208333333333343</c:v>
                </c:pt>
                <c:pt idx="116">
                  <c:v>80.902777777777786</c:v>
                </c:pt>
                <c:pt idx="117">
                  <c:v>81.597222222222229</c:v>
                </c:pt>
                <c:pt idx="118">
                  <c:v>82.291666666666671</c:v>
                </c:pt>
                <c:pt idx="119">
                  <c:v>82.986111111111114</c:v>
                </c:pt>
                <c:pt idx="120">
                  <c:v>83.680555555555557</c:v>
                </c:pt>
                <c:pt idx="121">
                  <c:v>84.375</c:v>
                </c:pt>
                <c:pt idx="122">
                  <c:v>85.069444444444443</c:v>
                </c:pt>
                <c:pt idx="123">
                  <c:v>85.763888888888886</c:v>
                </c:pt>
                <c:pt idx="124">
                  <c:v>86.458333333333343</c:v>
                </c:pt>
                <c:pt idx="125">
                  <c:v>87.152777777777786</c:v>
                </c:pt>
                <c:pt idx="126">
                  <c:v>87.847222222222229</c:v>
                </c:pt>
                <c:pt idx="127">
                  <c:v>88.541666666666671</c:v>
                </c:pt>
                <c:pt idx="128">
                  <c:v>89.236111111111114</c:v>
                </c:pt>
                <c:pt idx="129">
                  <c:v>89.930555555555557</c:v>
                </c:pt>
                <c:pt idx="130">
                  <c:v>90.625</c:v>
                </c:pt>
                <c:pt idx="131">
                  <c:v>91.319444444444443</c:v>
                </c:pt>
                <c:pt idx="132">
                  <c:v>92.013888888888886</c:v>
                </c:pt>
                <c:pt idx="133">
                  <c:v>92.708333333333343</c:v>
                </c:pt>
                <c:pt idx="134">
                  <c:v>93.402777777777786</c:v>
                </c:pt>
                <c:pt idx="135">
                  <c:v>94.097222222222229</c:v>
                </c:pt>
                <c:pt idx="136">
                  <c:v>94.791666666666671</c:v>
                </c:pt>
                <c:pt idx="137">
                  <c:v>95.486111111111114</c:v>
                </c:pt>
                <c:pt idx="138">
                  <c:v>96.180555555555557</c:v>
                </c:pt>
                <c:pt idx="139">
                  <c:v>96.875</c:v>
                </c:pt>
                <c:pt idx="140">
                  <c:v>97.569444444444443</c:v>
                </c:pt>
                <c:pt idx="141">
                  <c:v>98.263888888888886</c:v>
                </c:pt>
                <c:pt idx="142">
                  <c:v>98.958333333333343</c:v>
                </c:pt>
                <c:pt idx="143">
                  <c:v>99.652777777777786</c:v>
                </c:pt>
              </c:numCache>
            </c:numRef>
          </c:xVal>
          <c:yVal>
            <c:numRef>
              <c:f>'Credit, Dinflation, DVIX'!$G$28:$G$171</c:f>
              <c:numCache>
                <c:formatCode>General</c:formatCode>
                <c:ptCount val="144"/>
                <c:pt idx="0">
                  <c:v>-7.0047284893671877</c:v>
                </c:pt>
                <c:pt idx="1">
                  <c:v>-4.6868598995851904</c:v>
                </c:pt>
                <c:pt idx="2">
                  <c:v>-4.1526948243374111</c:v>
                </c:pt>
                <c:pt idx="3">
                  <c:v>-3.6875242113072275</c:v>
                </c:pt>
                <c:pt idx="4">
                  <c:v>-3.3442885744124804</c:v>
                </c:pt>
                <c:pt idx="5">
                  <c:v>-3.1231512210139143</c:v>
                </c:pt>
                <c:pt idx="6">
                  <c:v>-2.9682787226250409</c:v>
                </c:pt>
                <c:pt idx="7">
                  <c:v>-2.5680570998352561</c:v>
                </c:pt>
                <c:pt idx="8">
                  <c:v>-2.5280472836281653</c:v>
                </c:pt>
                <c:pt idx="9">
                  <c:v>-2.5046976641667626</c:v>
                </c:pt>
                <c:pt idx="10">
                  <c:v>-2.2568118607420633</c:v>
                </c:pt>
                <c:pt idx="11">
                  <c:v>-1.9001782009329338</c:v>
                </c:pt>
                <c:pt idx="12">
                  <c:v>-1.8423176925388944</c:v>
                </c:pt>
                <c:pt idx="13">
                  <c:v>-1.8267949190726551</c:v>
                </c:pt>
                <c:pt idx="14">
                  <c:v>-1.7163787658669345</c:v>
                </c:pt>
                <c:pt idx="15">
                  <c:v>-1.7024670003016547</c:v>
                </c:pt>
                <c:pt idx="16">
                  <c:v>-1.4912303020014905</c:v>
                </c:pt>
                <c:pt idx="17">
                  <c:v>-1.4816122688402813</c:v>
                </c:pt>
                <c:pt idx="18">
                  <c:v>-1.3850399013585131</c:v>
                </c:pt>
                <c:pt idx="19">
                  <c:v>-1.3845334693391671</c:v>
                </c:pt>
                <c:pt idx="20">
                  <c:v>-1.3312319193447704</c:v>
                </c:pt>
                <c:pt idx="21">
                  <c:v>-1.2793531068196276</c:v>
                </c:pt>
                <c:pt idx="22">
                  <c:v>-1.1425691586862545</c:v>
                </c:pt>
                <c:pt idx="23">
                  <c:v>-1.1072210028407516</c:v>
                </c:pt>
                <c:pt idx="24">
                  <c:v>-1.0801430002995103</c:v>
                </c:pt>
                <c:pt idx="25">
                  <c:v>-0.94912629185626851</c:v>
                </c:pt>
                <c:pt idx="26">
                  <c:v>-0.93339874585644023</c:v>
                </c:pt>
                <c:pt idx="27">
                  <c:v>-0.8739297602339734</c:v>
                </c:pt>
                <c:pt idx="28">
                  <c:v>-0.85098504001589137</c:v>
                </c:pt>
                <c:pt idx="29">
                  <c:v>-0.84486748191592764</c:v>
                </c:pt>
                <c:pt idx="30">
                  <c:v>-0.83998798555617005</c:v>
                </c:pt>
                <c:pt idx="31">
                  <c:v>-0.82038765576752415</c:v>
                </c:pt>
                <c:pt idx="32">
                  <c:v>-0.73047275946122014</c:v>
                </c:pt>
                <c:pt idx="33">
                  <c:v>-0.72114034769675106</c:v>
                </c:pt>
                <c:pt idx="34">
                  <c:v>-0.70844610563042631</c:v>
                </c:pt>
                <c:pt idx="35">
                  <c:v>-0.63980558944311527</c:v>
                </c:pt>
                <c:pt idx="36">
                  <c:v>-0.63321922178810008</c:v>
                </c:pt>
                <c:pt idx="37">
                  <c:v>-0.62523746935851443</c:v>
                </c:pt>
                <c:pt idx="38">
                  <c:v>-0.60205936122706527</c:v>
                </c:pt>
                <c:pt idx="39">
                  <c:v>-0.49649597275839152</c:v>
                </c:pt>
                <c:pt idx="40">
                  <c:v>-0.45287219230992509</c:v>
                </c:pt>
                <c:pt idx="41">
                  <c:v>-0.44945692130845749</c:v>
                </c:pt>
                <c:pt idx="42">
                  <c:v>-0.42414010254649709</c:v>
                </c:pt>
                <c:pt idx="43">
                  <c:v>-0.40587403799491967</c:v>
                </c:pt>
                <c:pt idx="44">
                  <c:v>-0.38364685529762182</c:v>
                </c:pt>
                <c:pt idx="45">
                  <c:v>-0.34952011853591453</c:v>
                </c:pt>
                <c:pt idx="46">
                  <c:v>-0.32059917407416511</c:v>
                </c:pt>
                <c:pt idx="47">
                  <c:v>-0.25809067214290327</c:v>
                </c:pt>
                <c:pt idx="48">
                  <c:v>-0.23417506109101072</c:v>
                </c:pt>
                <c:pt idx="49">
                  <c:v>-0.18651939975316809</c:v>
                </c:pt>
                <c:pt idx="50">
                  <c:v>-0.16023377056929605</c:v>
                </c:pt>
                <c:pt idx="51">
                  <c:v>-0.15960421366991845</c:v>
                </c:pt>
                <c:pt idx="52">
                  <c:v>-0.12574664360828455</c:v>
                </c:pt>
                <c:pt idx="53">
                  <c:v>-3.7635693365227305E-2</c:v>
                </c:pt>
                <c:pt idx="54">
                  <c:v>-2.8872892422191813E-2</c:v>
                </c:pt>
                <c:pt idx="55">
                  <c:v>-2.1093949631446327E-2</c:v>
                </c:pt>
                <c:pt idx="56">
                  <c:v>2.1744398396726858E-3</c:v>
                </c:pt>
                <c:pt idx="57">
                  <c:v>1.3361896540353232E-2</c:v>
                </c:pt>
                <c:pt idx="58">
                  <c:v>1.5244628300109645E-2</c:v>
                </c:pt>
                <c:pt idx="59">
                  <c:v>4.5162099813618559E-2</c:v>
                </c:pt>
                <c:pt idx="60">
                  <c:v>5.5182858323510636E-2</c:v>
                </c:pt>
                <c:pt idx="61">
                  <c:v>6.2862567183433013E-2</c:v>
                </c:pt>
                <c:pt idx="62">
                  <c:v>6.4450144874432388E-2</c:v>
                </c:pt>
                <c:pt idx="63">
                  <c:v>0.17050584189129772</c:v>
                </c:pt>
                <c:pt idx="64">
                  <c:v>0.20128346879376346</c:v>
                </c:pt>
                <c:pt idx="65">
                  <c:v>0.25176219913533959</c:v>
                </c:pt>
                <c:pt idx="66">
                  <c:v>0.27937046819359035</c:v>
                </c:pt>
                <c:pt idx="67">
                  <c:v>0.29248739326307094</c:v>
                </c:pt>
                <c:pt idx="68">
                  <c:v>0.32195109833132546</c:v>
                </c:pt>
                <c:pt idx="69">
                  <c:v>0.3416951439283733</c:v>
                </c:pt>
                <c:pt idx="70">
                  <c:v>0.3941440510082177</c:v>
                </c:pt>
                <c:pt idx="71">
                  <c:v>0.39463790345239053</c:v>
                </c:pt>
                <c:pt idx="72">
                  <c:v>0.44664249623499269</c:v>
                </c:pt>
                <c:pt idx="73">
                  <c:v>0.44906329589973976</c:v>
                </c:pt>
                <c:pt idx="74">
                  <c:v>0.51269214936388086</c:v>
                </c:pt>
                <c:pt idx="75">
                  <c:v>0.54311279831289316</c:v>
                </c:pt>
                <c:pt idx="76">
                  <c:v>0.64991632276644051</c:v>
                </c:pt>
                <c:pt idx="77">
                  <c:v>0.74520035393408268</c:v>
                </c:pt>
                <c:pt idx="78">
                  <c:v>0.76476526172699799</c:v>
                </c:pt>
                <c:pt idx="79">
                  <c:v>0.76715041455256716</c:v>
                </c:pt>
                <c:pt idx="80">
                  <c:v>0.77913542886387466</c:v>
                </c:pt>
                <c:pt idx="81">
                  <c:v>0.79790760681101336</c:v>
                </c:pt>
                <c:pt idx="82">
                  <c:v>0.79930043255834871</c:v>
                </c:pt>
                <c:pt idx="83">
                  <c:v>0.80909571022157933</c:v>
                </c:pt>
                <c:pt idx="84">
                  <c:v>0.8173714702258239</c:v>
                </c:pt>
                <c:pt idx="85">
                  <c:v>0.8220675256694463</c:v>
                </c:pt>
                <c:pt idx="86">
                  <c:v>0.94080499762717185</c:v>
                </c:pt>
                <c:pt idx="87">
                  <c:v>0.98384974618307341</c:v>
                </c:pt>
                <c:pt idx="88">
                  <c:v>1.084910181769061</c:v>
                </c:pt>
                <c:pt idx="89">
                  <c:v>1.088562294937061</c:v>
                </c:pt>
                <c:pt idx="90">
                  <c:v>1.1252408849651883</c:v>
                </c:pt>
                <c:pt idx="91">
                  <c:v>1.1573512190828252</c:v>
                </c:pt>
                <c:pt idx="92">
                  <c:v>1.1607317321410837</c:v>
                </c:pt>
                <c:pt idx="93">
                  <c:v>1.1935119946777377</c:v>
                </c:pt>
                <c:pt idx="94">
                  <c:v>1.2933080083597004</c:v>
                </c:pt>
                <c:pt idx="95">
                  <c:v>1.3006576888791135</c:v>
                </c:pt>
                <c:pt idx="96">
                  <c:v>1.3072997744824202</c:v>
                </c:pt>
                <c:pt idx="97">
                  <c:v>1.3201728926043841</c:v>
                </c:pt>
                <c:pt idx="98">
                  <c:v>1.3282751471537555</c:v>
                </c:pt>
                <c:pt idx="99">
                  <c:v>1.3592930931331151</c:v>
                </c:pt>
                <c:pt idx="100">
                  <c:v>1.3893836371301047</c:v>
                </c:pt>
                <c:pt idx="101">
                  <c:v>1.4570599695124704</c:v>
                </c:pt>
                <c:pt idx="102">
                  <c:v>1.4746501612318974</c:v>
                </c:pt>
                <c:pt idx="103">
                  <c:v>1.4799167353491935</c:v>
                </c:pt>
                <c:pt idx="104">
                  <c:v>1.5120608050198472</c:v>
                </c:pt>
                <c:pt idx="105">
                  <c:v>1.5632378548125487</c:v>
                </c:pt>
                <c:pt idx="106">
                  <c:v>1.5752476292840976</c:v>
                </c:pt>
                <c:pt idx="107">
                  <c:v>1.7130121087748451</c:v>
                </c:pt>
                <c:pt idx="108">
                  <c:v>1.8101887790863302</c:v>
                </c:pt>
                <c:pt idx="109">
                  <c:v>1.8519535193189707</c:v>
                </c:pt>
                <c:pt idx="110">
                  <c:v>1.9551601207275044</c:v>
                </c:pt>
                <c:pt idx="111">
                  <c:v>1.9636320377819911</c:v>
                </c:pt>
                <c:pt idx="112">
                  <c:v>1.9965489332311821</c:v>
                </c:pt>
                <c:pt idx="113">
                  <c:v>2.1127325139720563</c:v>
                </c:pt>
                <c:pt idx="114">
                  <c:v>2.1320616401803507</c:v>
                </c:pt>
                <c:pt idx="115">
                  <c:v>2.1528110708148573</c:v>
                </c:pt>
                <c:pt idx="116">
                  <c:v>2.1554149374730458</c:v>
                </c:pt>
                <c:pt idx="117">
                  <c:v>2.1937669383125291</c:v>
                </c:pt>
                <c:pt idx="118">
                  <c:v>2.2441569439350513</c:v>
                </c:pt>
                <c:pt idx="119">
                  <c:v>2.3109716137805942</c:v>
                </c:pt>
                <c:pt idx="120">
                  <c:v>2.3644571963769208</c:v>
                </c:pt>
                <c:pt idx="121">
                  <c:v>2.3878145236429944</c:v>
                </c:pt>
                <c:pt idx="122">
                  <c:v>2.4047017706743326</c:v>
                </c:pt>
                <c:pt idx="123">
                  <c:v>2.4711222871909655</c:v>
                </c:pt>
                <c:pt idx="124">
                  <c:v>2.5118747000438195</c:v>
                </c:pt>
                <c:pt idx="125">
                  <c:v>2.5198681337412903</c:v>
                </c:pt>
                <c:pt idx="126">
                  <c:v>2.5257042870557784</c:v>
                </c:pt>
                <c:pt idx="127">
                  <c:v>2.5343167951715437</c:v>
                </c:pt>
                <c:pt idx="128">
                  <c:v>2.6303236664701828</c:v>
                </c:pt>
                <c:pt idx="129">
                  <c:v>2.6535892327475388</c:v>
                </c:pt>
                <c:pt idx="130">
                  <c:v>2.664630651168546</c:v>
                </c:pt>
                <c:pt idx="131">
                  <c:v>2.683391280512204</c:v>
                </c:pt>
                <c:pt idx="132">
                  <c:v>2.7070180675265525</c:v>
                </c:pt>
                <c:pt idx="133">
                  <c:v>2.8438546235537174</c:v>
                </c:pt>
                <c:pt idx="134">
                  <c:v>2.8609360739223297</c:v>
                </c:pt>
                <c:pt idx="135">
                  <c:v>3.0698713827378343</c:v>
                </c:pt>
                <c:pt idx="136">
                  <c:v>3.1095108983661892</c:v>
                </c:pt>
                <c:pt idx="137">
                  <c:v>3.1666873562985165</c:v>
                </c:pt>
                <c:pt idx="138">
                  <c:v>3.3950819422879635</c:v>
                </c:pt>
                <c:pt idx="139">
                  <c:v>3.4388141552305238</c:v>
                </c:pt>
                <c:pt idx="140">
                  <c:v>3.580071379617352</c:v>
                </c:pt>
                <c:pt idx="141">
                  <c:v>3.8214888861569447</c:v>
                </c:pt>
                <c:pt idx="142">
                  <c:v>4.5018822436456931</c:v>
                </c:pt>
                <c:pt idx="143">
                  <c:v>5.5867022964527608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BF-D746-9062-297983B9D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5408304"/>
        <c:axId val="795124992"/>
      </c:scatterChart>
      <c:valAx>
        <c:axId val="795408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95124992"/>
        <c:crosses val="autoZero"/>
        <c:crossBetween val="midCat"/>
      </c:valAx>
      <c:valAx>
        <c:axId val="7951249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Asset Returns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95408304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IG Credit Spread (%)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Data!$W$2:$W$145</c:f>
              <c:numCache>
                <c:formatCode>0.0000</c:formatCode>
                <c:ptCount val="144"/>
                <c:pt idx="0">
                  <c:v>-5.1387194346069833</c:v>
                </c:pt>
                <c:pt idx="1">
                  <c:v>2.3484491421995508</c:v>
                </c:pt>
                <c:pt idx="2">
                  <c:v>-0.92319478819390199</c:v>
                </c:pt>
                <c:pt idx="3">
                  <c:v>0.82434767702086331</c:v>
                </c:pt>
                <c:pt idx="4">
                  <c:v>2.0252115715454142</c:v>
                </c:pt>
                <c:pt idx="5">
                  <c:v>-1.4083021680096535</c:v>
                </c:pt>
                <c:pt idx="6">
                  <c:v>-0.89531690384682072</c:v>
                </c:pt>
                <c:pt idx="7">
                  <c:v>2.0846292055168538</c:v>
                </c:pt>
                <c:pt idx="8">
                  <c:v>0.18815829103602541</c:v>
                </c:pt>
                <c:pt idx="9">
                  <c:v>-0.30403984882426438</c:v>
                </c:pt>
                <c:pt idx="10">
                  <c:v>1.2224064307019109</c:v>
                </c:pt>
                <c:pt idx="11">
                  <c:v>1.1188106566869516</c:v>
                </c:pt>
                <c:pt idx="12">
                  <c:v>-0.39386738542473537</c:v>
                </c:pt>
                <c:pt idx="13">
                  <c:v>0.23199314515441699</c:v>
                </c:pt>
                <c:pt idx="14">
                  <c:v>3.0510319131719719</c:v>
                </c:pt>
                <c:pt idx="15">
                  <c:v>-0.57569475557887417</c:v>
                </c:pt>
                <c:pt idx="16">
                  <c:v>0.34508593485068878</c:v>
                </c:pt>
                <c:pt idx="17">
                  <c:v>2.4668637873530348</c:v>
                </c:pt>
                <c:pt idx="18">
                  <c:v>1.3828982966028573</c:v>
                </c:pt>
                <c:pt idx="19">
                  <c:v>5.9348906527047323</c:v>
                </c:pt>
                <c:pt idx="20">
                  <c:v>-3.7396932352934624</c:v>
                </c:pt>
                <c:pt idx="21">
                  <c:v>1.0994857308880885</c:v>
                </c:pt>
                <c:pt idx="22">
                  <c:v>-2.3264834455409638</c:v>
                </c:pt>
                <c:pt idx="23">
                  <c:v>0.27399978476401698</c:v>
                </c:pt>
                <c:pt idx="24">
                  <c:v>-3.7708043023703515</c:v>
                </c:pt>
                <c:pt idx="25">
                  <c:v>2.4312561086316236</c:v>
                </c:pt>
                <c:pt idx="26">
                  <c:v>-2.163876747359093</c:v>
                </c:pt>
                <c:pt idx="27">
                  <c:v>0.5025858772171532</c:v>
                </c:pt>
                <c:pt idx="28">
                  <c:v>1.5012701524955124E-2</c:v>
                </c:pt>
                <c:pt idx="29">
                  <c:v>2.0734306549589543</c:v>
                </c:pt>
                <c:pt idx="30">
                  <c:v>-1.4165022256805997</c:v>
                </c:pt>
                <c:pt idx="31">
                  <c:v>0.66815720708482551</c:v>
                </c:pt>
                <c:pt idx="32">
                  <c:v>-0.80775400785913054</c:v>
                </c:pt>
                <c:pt idx="33">
                  <c:v>3.5954167685518694</c:v>
                </c:pt>
                <c:pt idx="34">
                  <c:v>0.91190414214845739</c:v>
                </c:pt>
                <c:pt idx="35">
                  <c:v>0.85468808124803441</c:v>
                </c:pt>
                <c:pt idx="36">
                  <c:v>3.5664770305249829</c:v>
                </c:pt>
                <c:pt idx="37">
                  <c:v>5.0465169683722939</c:v>
                </c:pt>
                <c:pt idx="38">
                  <c:v>3.4210472846484357</c:v>
                </c:pt>
                <c:pt idx="39">
                  <c:v>-1.9050206096671818</c:v>
                </c:pt>
                <c:pt idx="40">
                  <c:v>-4.4556526959210885</c:v>
                </c:pt>
                <c:pt idx="41">
                  <c:v>-1.6600067055434231</c:v>
                </c:pt>
                <c:pt idx="42">
                  <c:v>2.9503559863160107</c:v>
                </c:pt>
                <c:pt idx="43">
                  <c:v>-1.5202579266307075</c:v>
                </c:pt>
                <c:pt idx="44">
                  <c:v>2.6350509941130018</c:v>
                </c:pt>
                <c:pt idx="45">
                  <c:v>-0.17390455263532517</c:v>
                </c:pt>
                <c:pt idx="46">
                  <c:v>0.72625925846252182</c:v>
                </c:pt>
                <c:pt idx="47">
                  <c:v>1.5534992085354618</c:v>
                </c:pt>
                <c:pt idx="48">
                  <c:v>-1.3128763768352263</c:v>
                </c:pt>
                <c:pt idx="49">
                  <c:v>1.0235515044919676</c:v>
                </c:pt>
                <c:pt idx="50">
                  <c:v>0.87915557139737288</c:v>
                </c:pt>
                <c:pt idx="51">
                  <c:v>-2.0519560737810645</c:v>
                </c:pt>
                <c:pt idx="52">
                  <c:v>0.34628136161819018</c:v>
                </c:pt>
                <c:pt idx="53">
                  <c:v>-0.35419358995709715</c:v>
                </c:pt>
                <c:pt idx="54">
                  <c:v>1.858001601839639</c:v>
                </c:pt>
                <c:pt idx="55">
                  <c:v>-0.8877688063153264</c:v>
                </c:pt>
                <c:pt idx="56">
                  <c:v>-1.3769514272096248</c:v>
                </c:pt>
                <c:pt idx="57">
                  <c:v>0.20136749777207796</c:v>
                </c:pt>
                <c:pt idx="58">
                  <c:v>0.12731740286215751</c:v>
                </c:pt>
                <c:pt idx="59">
                  <c:v>-0.371473926792939</c:v>
                </c:pt>
                <c:pt idx="60">
                  <c:v>-0.41320150136606915</c:v>
                </c:pt>
                <c:pt idx="61">
                  <c:v>0.2551971584802315</c:v>
                </c:pt>
                <c:pt idx="62">
                  <c:v>0.54532839444733927</c:v>
                </c:pt>
                <c:pt idx="63">
                  <c:v>-1.1987084485525838</c:v>
                </c:pt>
                <c:pt idx="64">
                  <c:v>0.20365796077345244</c:v>
                </c:pt>
                <c:pt idx="65">
                  <c:v>-2.1905269483508447</c:v>
                </c:pt>
                <c:pt idx="66">
                  <c:v>1.357859374712971</c:v>
                </c:pt>
                <c:pt idx="67">
                  <c:v>1.0678641457547986</c:v>
                </c:pt>
                <c:pt idx="68">
                  <c:v>-4.062169850005945E-3</c:v>
                </c:pt>
                <c:pt idx="69">
                  <c:v>-0.25340601070870289</c:v>
                </c:pt>
                <c:pt idx="70">
                  <c:v>-0.20371933742089599</c:v>
                </c:pt>
                <c:pt idx="71">
                  <c:v>-6.8036926882462212E-2</c:v>
                </c:pt>
                <c:pt idx="72">
                  <c:v>3.0998066900760599</c:v>
                </c:pt>
                <c:pt idx="73">
                  <c:v>-1.5756409548922983</c:v>
                </c:pt>
                <c:pt idx="74">
                  <c:v>-6.5893968100260576</c:v>
                </c:pt>
                <c:pt idx="75">
                  <c:v>7.3665586735762902</c:v>
                </c:pt>
                <c:pt idx="76">
                  <c:v>1.0916617932992878</c:v>
                </c:pt>
                <c:pt idx="77">
                  <c:v>1.0163751457846373</c:v>
                </c:pt>
                <c:pt idx="78">
                  <c:v>2.1435700279400138</c:v>
                </c:pt>
                <c:pt idx="79">
                  <c:v>-1.204767361587278</c:v>
                </c:pt>
                <c:pt idx="80">
                  <c:v>-1.9469169716171044E-3</c:v>
                </c:pt>
                <c:pt idx="81">
                  <c:v>0.28979934223811843</c:v>
                </c:pt>
                <c:pt idx="82">
                  <c:v>2.3639052440224098</c:v>
                </c:pt>
                <c:pt idx="83">
                  <c:v>1.5490140567033936</c:v>
                </c:pt>
                <c:pt idx="84">
                  <c:v>-1.6477775578392471</c:v>
                </c:pt>
                <c:pt idx="85">
                  <c:v>-3.4798493915758022</c:v>
                </c:pt>
                <c:pt idx="86">
                  <c:v>1.7190145145590065E-2</c:v>
                </c:pt>
                <c:pt idx="87">
                  <c:v>0.3804319559628988</c:v>
                </c:pt>
                <c:pt idx="88">
                  <c:v>0.31001431749484604</c:v>
                </c:pt>
                <c:pt idx="89">
                  <c:v>0.85502216530240871</c:v>
                </c:pt>
                <c:pt idx="90">
                  <c:v>1.6132309956574875</c:v>
                </c:pt>
                <c:pt idx="91">
                  <c:v>-0.22870458134476115</c:v>
                </c:pt>
                <c:pt idx="92">
                  <c:v>-2.8087660797989829</c:v>
                </c:pt>
                <c:pt idx="93">
                  <c:v>0.69722145982741013</c:v>
                </c:pt>
                <c:pt idx="94">
                  <c:v>0.99547551042253035</c:v>
                </c:pt>
                <c:pt idx="95">
                  <c:v>-1.12353903746557</c:v>
                </c:pt>
                <c:pt idx="96">
                  <c:v>-4.0342794589013895</c:v>
                </c:pt>
                <c:pt idx="97">
                  <c:v>-3.1651689144312303</c:v>
                </c:pt>
                <c:pt idx="98">
                  <c:v>0.13326767049501004</c:v>
                </c:pt>
                <c:pt idx="99">
                  <c:v>-3.8653528730622675</c:v>
                </c:pt>
                <c:pt idx="100">
                  <c:v>-1.556403524525015</c:v>
                </c:pt>
                <c:pt idx="101">
                  <c:v>-3.4565692008015478</c:v>
                </c:pt>
                <c:pt idx="102">
                  <c:v>4.373127894277208</c:v>
                </c:pt>
                <c:pt idx="103">
                  <c:v>-8.1411935429504894</c:v>
                </c:pt>
                <c:pt idx="104">
                  <c:v>-9.1415438687040886</c:v>
                </c:pt>
                <c:pt idx="105">
                  <c:v>4.9981561061963475</c:v>
                </c:pt>
                <c:pt idx="106">
                  <c:v>3.7315693621188237</c:v>
                </c:pt>
                <c:pt idx="107">
                  <c:v>-1.6930601373866518</c:v>
                </c:pt>
                <c:pt idx="108">
                  <c:v>3.2693974797429637</c:v>
                </c:pt>
                <c:pt idx="109">
                  <c:v>-3.4044713219137206</c:v>
                </c:pt>
                <c:pt idx="110">
                  <c:v>1.1229372544900045</c:v>
                </c:pt>
                <c:pt idx="111">
                  <c:v>-4.5251950847142508E-2</c:v>
                </c:pt>
                <c:pt idx="112">
                  <c:v>-3.2207902839867755</c:v>
                </c:pt>
                <c:pt idx="113">
                  <c:v>-1.5304704600210068</c:v>
                </c:pt>
                <c:pt idx="114">
                  <c:v>2.0217015238879137</c:v>
                </c:pt>
                <c:pt idx="115">
                  <c:v>-0.73548575994241516</c:v>
                </c:pt>
                <c:pt idx="116">
                  <c:v>-0.41335762746622851</c:v>
                </c:pt>
                <c:pt idx="117">
                  <c:v>-0.46656124638286833</c:v>
                </c:pt>
                <c:pt idx="118">
                  <c:v>3.4138089910941942</c:v>
                </c:pt>
                <c:pt idx="119">
                  <c:v>4.4012225363925044</c:v>
                </c:pt>
                <c:pt idx="120">
                  <c:v>-1.5196917747234271</c:v>
                </c:pt>
                <c:pt idx="121">
                  <c:v>-1.062073375074631</c:v>
                </c:pt>
                <c:pt idx="122">
                  <c:v>1.477489362217179</c:v>
                </c:pt>
                <c:pt idx="123">
                  <c:v>-2.3781283099238917</c:v>
                </c:pt>
                <c:pt idx="124">
                  <c:v>0.47811004572060589</c:v>
                </c:pt>
                <c:pt idx="125">
                  <c:v>0.44551959930867541</c:v>
                </c:pt>
                <c:pt idx="126">
                  <c:v>1.3614075313738643</c:v>
                </c:pt>
                <c:pt idx="127">
                  <c:v>-7.7650136808625758E-3</c:v>
                </c:pt>
                <c:pt idx="128">
                  <c:v>-0.12972116439056908</c:v>
                </c:pt>
                <c:pt idx="129">
                  <c:v>-1.6695833580904584</c:v>
                </c:pt>
                <c:pt idx="130">
                  <c:v>1.4530967525660716</c:v>
                </c:pt>
                <c:pt idx="131">
                  <c:v>-0.78143310266141697</c:v>
                </c:pt>
                <c:pt idx="132">
                  <c:v>0.34908255979636738</c:v>
                </c:pt>
                <c:pt idx="133">
                  <c:v>0.13535969057984193</c:v>
                </c:pt>
                <c:pt idx="134">
                  <c:v>-1.8716624465378884</c:v>
                </c:pt>
                <c:pt idx="135">
                  <c:v>1.2656565827966442</c:v>
                </c:pt>
                <c:pt idx="136">
                  <c:v>-0.42014204580768427</c:v>
                </c:pt>
                <c:pt idx="137">
                  <c:v>1.4055246320234833</c:v>
                </c:pt>
                <c:pt idx="138">
                  <c:v>-2.3798636141916241E-2</c:v>
                </c:pt>
                <c:pt idx="139">
                  <c:v>-0.94564972218921284</c:v>
                </c:pt>
                <c:pt idx="140">
                  <c:v>0.73546966098117694</c:v>
                </c:pt>
                <c:pt idx="141">
                  <c:v>1.7116922764778253</c:v>
                </c:pt>
                <c:pt idx="142">
                  <c:v>-0.26362362275971585</c:v>
                </c:pt>
                <c:pt idx="143">
                  <c:v>0.22777557059858333</c:v>
                </c:pt>
              </c:numCache>
            </c:numRef>
          </c:xVal>
          <c:yVal>
            <c:numRef>
              <c:f>'S&amp;P Returns on IG and HY'!$C$26:$C$169</c:f>
              <c:numCache>
                <c:formatCode>General</c:formatCode>
                <c:ptCount val="144"/>
                <c:pt idx="0">
                  <c:v>5.9807921467587843E-2</c:v>
                </c:pt>
                <c:pt idx="1">
                  <c:v>3.1759645645818235E-2</c:v>
                </c:pt>
                <c:pt idx="2">
                  <c:v>2.3056317159779294E-2</c:v>
                </c:pt>
                <c:pt idx="3">
                  <c:v>8.8132857742844184E-3</c:v>
                </c:pt>
                <c:pt idx="4">
                  <c:v>5.6656418341702874E-3</c:v>
                </c:pt>
                <c:pt idx="5">
                  <c:v>5.1745614666626194E-2</c:v>
                </c:pt>
                <c:pt idx="6">
                  <c:v>-2.632162908793978E-3</c:v>
                </c:pt>
                <c:pt idx="7">
                  <c:v>-8.5425969041914573E-3</c:v>
                </c:pt>
                <c:pt idx="8">
                  <c:v>-1.8904014711851991E-2</c:v>
                </c:pt>
                <c:pt idx="9">
                  <c:v>1.8712897957578301E-2</c:v>
                </c:pt>
                <c:pt idx="10">
                  <c:v>-1.8912290868084436E-2</c:v>
                </c:pt>
                <c:pt idx="11">
                  <c:v>2.1536764683283138E-4</c:v>
                </c:pt>
                <c:pt idx="12">
                  <c:v>8.0480258697499529E-3</c:v>
                </c:pt>
                <c:pt idx="13">
                  <c:v>2.7215778834053239E-3</c:v>
                </c:pt>
                <c:pt idx="14">
                  <c:v>-2.9612971199782123E-2</c:v>
                </c:pt>
                <c:pt idx="15">
                  <c:v>3.0328934097710869E-2</c:v>
                </c:pt>
                <c:pt idx="16">
                  <c:v>-2.5800153425766137E-2</c:v>
                </c:pt>
                <c:pt idx="17">
                  <c:v>7.8820850083320959E-2</c:v>
                </c:pt>
                <c:pt idx="18">
                  <c:v>4.9787058868847156E-2</c:v>
                </c:pt>
                <c:pt idx="19">
                  <c:v>9.5164916230303653E-3</c:v>
                </c:pt>
                <c:pt idx="20">
                  <c:v>7.5350565306969042E-2</c:v>
                </c:pt>
                <c:pt idx="21">
                  <c:v>5.251379709408277E-2</c:v>
                </c:pt>
                <c:pt idx="22">
                  <c:v>5.5242390334012681E-2</c:v>
                </c:pt>
                <c:pt idx="23">
                  <c:v>4.7375737047015698E-2</c:v>
                </c:pt>
                <c:pt idx="24">
                  <c:v>5.467749136773814E-2</c:v>
                </c:pt>
                <c:pt idx="25">
                  <c:v>1.1067273763859187E-2</c:v>
                </c:pt>
                <c:pt idx="26">
                  <c:v>3.187937278002817E-2</c:v>
                </c:pt>
                <c:pt idx="27">
                  <c:v>1.5333651568452122E-2</c:v>
                </c:pt>
                <c:pt idx="28">
                  <c:v>5.5173830880545172E-2</c:v>
                </c:pt>
                <c:pt idx="29">
                  <c:v>6.7620334891132172E-2</c:v>
                </c:pt>
                <c:pt idx="30">
                  <c:v>4.1051447247832495E-2</c:v>
                </c:pt>
                <c:pt idx="31">
                  <c:v>2.8253697709821335E-3</c:v>
                </c:pt>
                <c:pt idx="32">
                  <c:v>7.0463020006747201E-2</c:v>
                </c:pt>
                <c:pt idx="33">
                  <c:v>8.4878243903669937E-2</c:v>
                </c:pt>
                <c:pt idx="34">
                  <c:v>6.2712831386985801E-2</c:v>
                </c:pt>
                <c:pt idx="35">
                  <c:v>5.2059471081628228E-2</c:v>
                </c:pt>
                <c:pt idx="36">
                  <c:v>8.3160446184035841E-2</c:v>
                </c:pt>
                <c:pt idx="37">
                  <c:v>9.5536523027686115E-2</c:v>
                </c:pt>
                <c:pt idx="38">
                  <c:v>9.0822178113157737E-2</c:v>
                </c:pt>
                <c:pt idx="39">
                  <c:v>0.11708331070359668</c:v>
                </c:pt>
                <c:pt idx="40">
                  <c:v>0.10247861337315955</c:v>
                </c:pt>
                <c:pt idx="41">
                  <c:v>0.10604225622536301</c:v>
                </c:pt>
                <c:pt idx="42">
                  <c:v>9.6666083486833365E-2</c:v>
                </c:pt>
                <c:pt idx="43">
                  <c:v>9.5647665129640735E-2</c:v>
                </c:pt>
                <c:pt idx="44">
                  <c:v>9.8916168413270888E-2</c:v>
                </c:pt>
                <c:pt idx="45">
                  <c:v>0.11659833035506775</c:v>
                </c:pt>
                <c:pt idx="46">
                  <c:v>8.5608065480965001E-2</c:v>
                </c:pt>
                <c:pt idx="47">
                  <c:v>0.10173249809578666</c:v>
                </c:pt>
                <c:pt idx="48">
                  <c:v>0.10480467177418884</c:v>
                </c:pt>
                <c:pt idx="49">
                  <c:v>8.324333038292564E-2</c:v>
                </c:pt>
                <c:pt idx="50">
                  <c:v>9.36983648249059E-2</c:v>
                </c:pt>
                <c:pt idx="51">
                  <c:v>9.4818158921140538E-2</c:v>
                </c:pt>
                <c:pt idx="52">
                  <c:v>9.2449145987220982E-2</c:v>
                </c:pt>
                <c:pt idx="53">
                  <c:v>8.6354101241643194E-2</c:v>
                </c:pt>
                <c:pt idx="54">
                  <c:v>9.1737634137288637E-2</c:v>
                </c:pt>
                <c:pt idx="55">
                  <c:v>0.10288031149486909</c:v>
                </c:pt>
                <c:pt idx="56">
                  <c:v>3.1971821580475512E-2</c:v>
                </c:pt>
                <c:pt idx="57">
                  <c:v>5.3534653350442607E-2</c:v>
                </c:pt>
                <c:pt idx="58">
                  <c:v>2.8590568796071247E-2</c:v>
                </c:pt>
                <c:pt idx="59">
                  <c:v>8.7334605505164309E-2</c:v>
                </c:pt>
                <c:pt idx="60">
                  <c:v>8.3263440904631225E-2</c:v>
                </c:pt>
                <c:pt idx="61">
                  <c:v>5.5860275487364497E-2</c:v>
                </c:pt>
                <c:pt idx="62">
                  <c:v>7.3240436410692111E-2</c:v>
                </c:pt>
                <c:pt idx="63">
                  <c:v>6.4815374984146024E-2</c:v>
                </c:pt>
                <c:pt idx="64">
                  <c:v>2.435504229813934E-2</c:v>
                </c:pt>
                <c:pt idx="65">
                  <c:v>5.621533967294301E-2</c:v>
                </c:pt>
                <c:pt idx="66">
                  <c:v>4.2229287066397614E-3</c:v>
                </c:pt>
                <c:pt idx="67">
                  <c:v>0.22790626134429182</c:v>
                </c:pt>
                <c:pt idx="68">
                  <c:v>0.14180384681611424</c:v>
                </c:pt>
                <c:pt idx="69">
                  <c:v>9.9897722815979306E-2</c:v>
                </c:pt>
                <c:pt idx="70">
                  <c:v>0.13323383541744582</c:v>
                </c:pt>
                <c:pt idx="71">
                  <c:v>0.1027255995439178</c:v>
                </c:pt>
                <c:pt idx="72">
                  <c:v>0.11839706774229541</c:v>
                </c:pt>
                <c:pt idx="73">
                  <c:v>0.13081455681790399</c:v>
                </c:pt>
                <c:pt idx="74">
                  <c:v>5.4796809754483533E-2</c:v>
                </c:pt>
                <c:pt idx="75">
                  <c:v>8.9880988311702659E-2</c:v>
                </c:pt>
                <c:pt idx="76">
                  <c:v>0.16623718409647648</c:v>
                </c:pt>
                <c:pt idx="77">
                  <c:v>0.18985247153804519</c:v>
                </c:pt>
                <c:pt idx="78">
                  <c:v>0.14380677620482674</c:v>
                </c:pt>
                <c:pt idx="79">
                  <c:v>0.19109479202236712</c:v>
                </c:pt>
                <c:pt idx="80">
                  <c:v>0.13700952009602263</c:v>
                </c:pt>
                <c:pt idx="81">
                  <c:v>0.1493047925986416</c:v>
                </c:pt>
                <c:pt idx="82">
                  <c:v>0.12636134451243564</c:v>
                </c:pt>
                <c:pt idx="83">
                  <c:v>0.16373377003468192</c:v>
                </c:pt>
                <c:pt idx="84">
                  <c:v>0.17016909400918334</c:v>
                </c:pt>
                <c:pt idx="85">
                  <c:v>0.14902801981335245</c:v>
                </c:pt>
                <c:pt idx="86">
                  <c:v>0.10638954131253198</c:v>
                </c:pt>
                <c:pt idx="87">
                  <c:v>0.15610267216540885</c:v>
                </c:pt>
                <c:pt idx="88">
                  <c:v>0.10831244484937214</c:v>
                </c:pt>
                <c:pt idx="89">
                  <c:v>0.11342235492351149</c:v>
                </c:pt>
                <c:pt idx="90">
                  <c:v>0.13033336130898165</c:v>
                </c:pt>
                <c:pt idx="91">
                  <c:v>0.12763458763958058</c:v>
                </c:pt>
                <c:pt idx="92">
                  <c:v>0.10416458170831189</c:v>
                </c:pt>
                <c:pt idx="93">
                  <c:v>7.2299966108167801E-2</c:v>
                </c:pt>
                <c:pt idx="94">
                  <c:v>0.1373992560401962</c:v>
                </c:pt>
                <c:pt idx="95">
                  <c:v>7.1378320731882994E-2</c:v>
                </c:pt>
                <c:pt idx="96">
                  <c:v>6.5517003083895187E-2</c:v>
                </c:pt>
                <c:pt idx="97">
                  <c:v>3.9153482766389969E-2</c:v>
                </c:pt>
                <c:pt idx="98">
                  <c:v>1.0626165136167764E-2</c:v>
                </c:pt>
                <c:pt idx="99">
                  <c:v>4.5387078305060058E-2</c:v>
                </c:pt>
                <c:pt idx="100">
                  <c:v>-8.390409686539857E-2</c:v>
                </c:pt>
                <c:pt idx="101">
                  <c:v>2.4717627580290724E-3</c:v>
                </c:pt>
                <c:pt idx="102">
                  <c:v>-7.0983851294879052E-2</c:v>
                </c:pt>
                <c:pt idx="103">
                  <c:v>4.2855157512580178E-2</c:v>
                </c:pt>
                <c:pt idx="104">
                  <c:v>-0.21441835613088545</c:v>
                </c:pt>
                <c:pt idx="105">
                  <c:v>-0.227878400757624</c:v>
                </c:pt>
                <c:pt idx="106">
                  <c:v>-0.11450370876566152</c:v>
                </c:pt>
                <c:pt idx="107">
                  <c:v>-0.14835472850119469</c:v>
                </c:pt>
                <c:pt idx="108">
                  <c:v>-0.15942451334006869</c:v>
                </c:pt>
                <c:pt idx="109">
                  <c:v>-0.11615058845127724</c:v>
                </c:pt>
                <c:pt idx="110">
                  <c:v>-0.19076350659775365</c:v>
                </c:pt>
                <c:pt idx="111">
                  <c:v>-0.13252146648456684</c:v>
                </c:pt>
                <c:pt idx="112">
                  <c:v>-0.18129357579362826</c:v>
                </c:pt>
                <c:pt idx="113">
                  <c:v>-0.20677496845318499</c:v>
                </c:pt>
                <c:pt idx="114">
                  <c:v>-0.21619508173981861</c:v>
                </c:pt>
                <c:pt idx="115">
                  <c:v>-0.24046788625718618</c:v>
                </c:pt>
                <c:pt idx="116">
                  <c:v>-0.22841009076593155</c:v>
                </c:pt>
                <c:pt idx="117">
                  <c:v>-0.25013042265956176</c:v>
                </c:pt>
                <c:pt idx="118">
                  <c:v>-0.20698790702063885</c:v>
                </c:pt>
                <c:pt idx="119">
                  <c:v>-0.14800724596651715</c:v>
                </c:pt>
                <c:pt idx="120">
                  <c:v>-0.13433946769358385</c:v>
                </c:pt>
                <c:pt idx="121">
                  <c:v>-0.15327122372865132</c:v>
                </c:pt>
                <c:pt idx="122">
                  <c:v>-0.16698116263359242</c:v>
                </c:pt>
                <c:pt idx="123">
                  <c:v>-0.21221738477018626</c:v>
                </c:pt>
                <c:pt idx="124">
                  <c:v>-0.20119681631550757</c:v>
                </c:pt>
                <c:pt idx="125">
                  <c:v>-0.17357128883901307</c:v>
                </c:pt>
                <c:pt idx="126">
                  <c:v>-0.17635789410858904</c:v>
                </c:pt>
                <c:pt idx="127">
                  <c:v>-0.2006388864077806</c:v>
                </c:pt>
                <c:pt idx="128">
                  <c:v>-0.15938013331910295</c:v>
                </c:pt>
                <c:pt idx="129">
                  <c:v>-0.16781779135671304</c:v>
                </c:pt>
                <c:pt idx="130">
                  <c:v>-0.19154637782317407</c:v>
                </c:pt>
                <c:pt idx="131">
                  <c:v>-0.19908947347965766</c:v>
                </c:pt>
                <c:pt idx="132">
                  <c:v>-0.22393721408139289</c:v>
                </c:pt>
                <c:pt idx="133">
                  <c:v>-0.19864889934146068</c:v>
                </c:pt>
                <c:pt idx="134">
                  <c:v>-0.2522329649955134</c:v>
                </c:pt>
                <c:pt idx="135">
                  <c:v>-0.25370808588029004</c:v>
                </c:pt>
                <c:pt idx="136">
                  <c:v>-0.12936108442751904</c:v>
                </c:pt>
                <c:pt idx="137">
                  <c:v>-0.16718731664657915</c:v>
                </c:pt>
                <c:pt idx="138">
                  <c:v>-0.15698803054181021</c:v>
                </c:pt>
                <c:pt idx="139">
                  <c:v>-0.1850593154371718</c:v>
                </c:pt>
                <c:pt idx="140">
                  <c:v>-0.19007607029689866</c:v>
                </c:pt>
                <c:pt idx="141">
                  <c:v>-0.17894822840589275</c:v>
                </c:pt>
                <c:pt idx="142">
                  <c:v>-0.18702641382658644</c:v>
                </c:pt>
                <c:pt idx="143">
                  <c:v>-0.18125288367923609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913-1647-A5B2-9999254BF5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3409760"/>
        <c:axId val="772492496"/>
      </c:scatterChart>
      <c:valAx>
        <c:axId val="7934097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IG Credit Spread (%)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772492496"/>
        <c:crosses val="autoZero"/>
        <c:crossBetween val="midCat"/>
      </c:valAx>
      <c:valAx>
        <c:axId val="7724924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93409760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IG Credit Spread (%)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S&amp;P 500 Returns - HY (%)</c:v>
          </c:tx>
          <c:spPr>
            <a:ln w="19050">
              <a:noFill/>
            </a:ln>
          </c:spPr>
          <c:xVal>
            <c:numRef>
              <c:f>Data!$W$2:$W$145</c:f>
              <c:numCache>
                <c:formatCode>0.0000</c:formatCode>
                <c:ptCount val="144"/>
                <c:pt idx="0">
                  <c:v>-5.1387194346069833</c:v>
                </c:pt>
                <c:pt idx="1">
                  <c:v>2.3484491421995508</c:v>
                </c:pt>
                <c:pt idx="2">
                  <c:v>-0.92319478819390199</c:v>
                </c:pt>
                <c:pt idx="3">
                  <c:v>0.82434767702086331</c:v>
                </c:pt>
                <c:pt idx="4">
                  <c:v>2.0252115715454142</c:v>
                </c:pt>
                <c:pt idx="5">
                  <c:v>-1.4083021680096535</c:v>
                </c:pt>
                <c:pt idx="6">
                  <c:v>-0.89531690384682072</c:v>
                </c:pt>
                <c:pt idx="7">
                  <c:v>2.0846292055168538</c:v>
                </c:pt>
                <c:pt idx="8">
                  <c:v>0.18815829103602541</c:v>
                </c:pt>
                <c:pt idx="9">
                  <c:v>-0.30403984882426438</c:v>
                </c:pt>
                <c:pt idx="10">
                  <c:v>1.2224064307019109</c:v>
                </c:pt>
                <c:pt idx="11">
                  <c:v>1.1188106566869516</c:v>
                </c:pt>
                <c:pt idx="12">
                  <c:v>-0.39386738542473537</c:v>
                </c:pt>
                <c:pt idx="13">
                  <c:v>0.23199314515441699</c:v>
                </c:pt>
                <c:pt idx="14">
                  <c:v>3.0510319131719719</c:v>
                </c:pt>
                <c:pt idx="15">
                  <c:v>-0.57569475557887417</c:v>
                </c:pt>
                <c:pt idx="16">
                  <c:v>0.34508593485068878</c:v>
                </c:pt>
                <c:pt idx="17">
                  <c:v>2.4668637873530348</c:v>
                </c:pt>
                <c:pt idx="18">
                  <c:v>1.3828982966028573</c:v>
                </c:pt>
                <c:pt idx="19">
                  <c:v>5.9348906527047323</c:v>
                </c:pt>
                <c:pt idx="20">
                  <c:v>-3.7396932352934624</c:v>
                </c:pt>
                <c:pt idx="21">
                  <c:v>1.0994857308880885</c:v>
                </c:pt>
                <c:pt idx="22">
                  <c:v>-2.3264834455409638</c:v>
                </c:pt>
                <c:pt idx="23">
                  <c:v>0.27399978476401698</c:v>
                </c:pt>
                <c:pt idx="24">
                  <c:v>-3.7708043023703515</c:v>
                </c:pt>
                <c:pt idx="25">
                  <c:v>2.4312561086316236</c:v>
                </c:pt>
                <c:pt idx="26">
                  <c:v>-2.163876747359093</c:v>
                </c:pt>
                <c:pt idx="27">
                  <c:v>0.5025858772171532</c:v>
                </c:pt>
                <c:pt idx="28">
                  <c:v>1.5012701524955124E-2</c:v>
                </c:pt>
                <c:pt idx="29">
                  <c:v>2.0734306549589543</c:v>
                </c:pt>
                <c:pt idx="30">
                  <c:v>-1.4165022256805997</c:v>
                </c:pt>
                <c:pt idx="31">
                  <c:v>0.66815720708482551</c:v>
                </c:pt>
                <c:pt idx="32">
                  <c:v>-0.80775400785913054</c:v>
                </c:pt>
                <c:pt idx="33">
                  <c:v>3.5954167685518694</c:v>
                </c:pt>
                <c:pt idx="34">
                  <c:v>0.91190414214845739</c:v>
                </c:pt>
                <c:pt idx="35">
                  <c:v>0.85468808124803441</c:v>
                </c:pt>
                <c:pt idx="36">
                  <c:v>3.5664770305249829</c:v>
                </c:pt>
                <c:pt idx="37">
                  <c:v>5.0465169683722939</c:v>
                </c:pt>
                <c:pt idx="38">
                  <c:v>3.4210472846484357</c:v>
                </c:pt>
                <c:pt idx="39">
                  <c:v>-1.9050206096671818</c:v>
                </c:pt>
                <c:pt idx="40">
                  <c:v>-4.4556526959210885</c:v>
                </c:pt>
                <c:pt idx="41">
                  <c:v>-1.6600067055434231</c:v>
                </c:pt>
                <c:pt idx="42">
                  <c:v>2.9503559863160107</c:v>
                </c:pt>
                <c:pt idx="43">
                  <c:v>-1.5202579266307075</c:v>
                </c:pt>
                <c:pt idx="44">
                  <c:v>2.6350509941130018</c:v>
                </c:pt>
                <c:pt idx="45">
                  <c:v>-0.17390455263532517</c:v>
                </c:pt>
                <c:pt idx="46">
                  <c:v>0.72625925846252182</c:v>
                </c:pt>
                <c:pt idx="47">
                  <c:v>1.5534992085354618</c:v>
                </c:pt>
                <c:pt idx="48">
                  <c:v>-1.3128763768352263</c:v>
                </c:pt>
                <c:pt idx="49">
                  <c:v>1.0235515044919676</c:v>
                </c:pt>
                <c:pt idx="50">
                  <c:v>0.87915557139737288</c:v>
                </c:pt>
                <c:pt idx="51">
                  <c:v>-2.0519560737810645</c:v>
                </c:pt>
                <c:pt idx="52">
                  <c:v>0.34628136161819018</c:v>
                </c:pt>
                <c:pt idx="53">
                  <c:v>-0.35419358995709715</c:v>
                </c:pt>
                <c:pt idx="54">
                  <c:v>1.858001601839639</c:v>
                </c:pt>
                <c:pt idx="55">
                  <c:v>-0.8877688063153264</c:v>
                </c:pt>
                <c:pt idx="56">
                  <c:v>-1.3769514272096248</c:v>
                </c:pt>
                <c:pt idx="57">
                  <c:v>0.20136749777207796</c:v>
                </c:pt>
                <c:pt idx="58">
                  <c:v>0.12731740286215751</c:v>
                </c:pt>
                <c:pt idx="59">
                  <c:v>-0.371473926792939</c:v>
                </c:pt>
                <c:pt idx="60">
                  <c:v>-0.41320150136606915</c:v>
                </c:pt>
                <c:pt idx="61">
                  <c:v>0.2551971584802315</c:v>
                </c:pt>
                <c:pt idx="62">
                  <c:v>0.54532839444733927</c:v>
                </c:pt>
                <c:pt idx="63">
                  <c:v>-1.1987084485525838</c:v>
                </c:pt>
                <c:pt idx="64">
                  <c:v>0.20365796077345244</c:v>
                </c:pt>
                <c:pt idx="65">
                  <c:v>-2.1905269483508447</c:v>
                </c:pt>
                <c:pt idx="66">
                  <c:v>1.357859374712971</c:v>
                </c:pt>
                <c:pt idx="67">
                  <c:v>1.0678641457547986</c:v>
                </c:pt>
                <c:pt idx="68">
                  <c:v>-4.062169850005945E-3</c:v>
                </c:pt>
                <c:pt idx="69">
                  <c:v>-0.25340601070870289</c:v>
                </c:pt>
                <c:pt idx="70">
                  <c:v>-0.20371933742089599</c:v>
                </c:pt>
                <c:pt idx="71">
                  <c:v>-6.8036926882462212E-2</c:v>
                </c:pt>
                <c:pt idx="72">
                  <c:v>3.0998066900760599</c:v>
                </c:pt>
                <c:pt idx="73">
                  <c:v>-1.5756409548922983</c:v>
                </c:pt>
                <c:pt idx="74">
                  <c:v>-6.5893968100260576</c:v>
                </c:pt>
                <c:pt idx="75">
                  <c:v>7.3665586735762902</c:v>
                </c:pt>
                <c:pt idx="76">
                  <c:v>1.0916617932992878</c:v>
                </c:pt>
                <c:pt idx="77">
                  <c:v>1.0163751457846373</c:v>
                </c:pt>
                <c:pt idx="78">
                  <c:v>2.1435700279400138</c:v>
                </c:pt>
                <c:pt idx="79">
                  <c:v>-1.204767361587278</c:v>
                </c:pt>
                <c:pt idx="80">
                  <c:v>-1.9469169716171044E-3</c:v>
                </c:pt>
                <c:pt idx="81">
                  <c:v>0.28979934223811843</c:v>
                </c:pt>
                <c:pt idx="82">
                  <c:v>2.3639052440224098</c:v>
                </c:pt>
                <c:pt idx="83">
                  <c:v>1.5490140567033936</c:v>
                </c:pt>
                <c:pt idx="84">
                  <c:v>-1.6477775578392471</c:v>
                </c:pt>
                <c:pt idx="85">
                  <c:v>-3.4798493915758022</c:v>
                </c:pt>
                <c:pt idx="86">
                  <c:v>1.7190145145590065E-2</c:v>
                </c:pt>
                <c:pt idx="87">
                  <c:v>0.3804319559628988</c:v>
                </c:pt>
                <c:pt idx="88">
                  <c:v>0.31001431749484604</c:v>
                </c:pt>
                <c:pt idx="89">
                  <c:v>0.85502216530240871</c:v>
                </c:pt>
                <c:pt idx="90">
                  <c:v>1.6132309956574875</c:v>
                </c:pt>
                <c:pt idx="91">
                  <c:v>-0.22870458134476115</c:v>
                </c:pt>
                <c:pt idx="92">
                  <c:v>-2.8087660797989829</c:v>
                </c:pt>
                <c:pt idx="93">
                  <c:v>0.69722145982741013</c:v>
                </c:pt>
                <c:pt idx="94">
                  <c:v>0.99547551042253035</c:v>
                </c:pt>
                <c:pt idx="95">
                  <c:v>-1.12353903746557</c:v>
                </c:pt>
                <c:pt idx="96">
                  <c:v>-4.0342794589013895</c:v>
                </c:pt>
                <c:pt idx="97">
                  <c:v>-3.1651689144312303</c:v>
                </c:pt>
                <c:pt idx="98">
                  <c:v>0.13326767049501004</c:v>
                </c:pt>
                <c:pt idx="99">
                  <c:v>-3.8653528730622675</c:v>
                </c:pt>
                <c:pt idx="100">
                  <c:v>-1.556403524525015</c:v>
                </c:pt>
                <c:pt idx="101">
                  <c:v>-3.4565692008015478</c:v>
                </c:pt>
                <c:pt idx="102">
                  <c:v>4.373127894277208</c:v>
                </c:pt>
                <c:pt idx="103">
                  <c:v>-8.1411935429504894</c:v>
                </c:pt>
                <c:pt idx="104">
                  <c:v>-9.1415438687040886</c:v>
                </c:pt>
                <c:pt idx="105">
                  <c:v>4.9981561061963475</c:v>
                </c:pt>
                <c:pt idx="106">
                  <c:v>3.7315693621188237</c:v>
                </c:pt>
                <c:pt idx="107">
                  <c:v>-1.6930601373866518</c:v>
                </c:pt>
                <c:pt idx="108">
                  <c:v>3.2693974797429637</c:v>
                </c:pt>
                <c:pt idx="109">
                  <c:v>-3.4044713219137206</c:v>
                </c:pt>
                <c:pt idx="110">
                  <c:v>1.1229372544900045</c:v>
                </c:pt>
                <c:pt idx="111">
                  <c:v>-4.5251950847142508E-2</c:v>
                </c:pt>
                <c:pt idx="112">
                  <c:v>-3.2207902839867755</c:v>
                </c:pt>
                <c:pt idx="113">
                  <c:v>-1.5304704600210068</c:v>
                </c:pt>
                <c:pt idx="114">
                  <c:v>2.0217015238879137</c:v>
                </c:pt>
                <c:pt idx="115">
                  <c:v>-0.73548575994241516</c:v>
                </c:pt>
                <c:pt idx="116">
                  <c:v>-0.41335762746622851</c:v>
                </c:pt>
                <c:pt idx="117">
                  <c:v>-0.46656124638286833</c:v>
                </c:pt>
                <c:pt idx="118">
                  <c:v>3.4138089910941942</c:v>
                </c:pt>
                <c:pt idx="119">
                  <c:v>4.4012225363925044</c:v>
                </c:pt>
                <c:pt idx="120">
                  <c:v>-1.5196917747234271</c:v>
                </c:pt>
                <c:pt idx="121">
                  <c:v>-1.062073375074631</c:v>
                </c:pt>
                <c:pt idx="122">
                  <c:v>1.477489362217179</c:v>
                </c:pt>
                <c:pt idx="123">
                  <c:v>-2.3781283099238917</c:v>
                </c:pt>
                <c:pt idx="124">
                  <c:v>0.47811004572060589</c:v>
                </c:pt>
                <c:pt idx="125">
                  <c:v>0.44551959930867541</c:v>
                </c:pt>
                <c:pt idx="126">
                  <c:v>1.3614075313738643</c:v>
                </c:pt>
                <c:pt idx="127">
                  <c:v>-7.7650136808625758E-3</c:v>
                </c:pt>
                <c:pt idx="128">
                  <c:v>-0.12972116439056908</c:v>
                </c:pt>
                <c:pt idx="129">
                  <c:v>-1.6695833580904584</c:v>
                </c:pt>
                <c:pt idx="130">
                  <c:v>1.4530967525660716</c:v>
                </c:pt>
                <c:pt idx="131">
                  <c:v>-0.78143310266141697</c:v>
                </c:pt>
                <c:pt idx="132">
                  <c:v>0.34908255979636738</c:v>
                </c:pt>
                <c:pt idx="133">
                  <c:v>0.13535969057984193</c:v>
                </c:pt>
                <c:pt idx="134">
                  <c:v>-1.8716624465378884</c:v>
                </c:pt>
                <c:pt idx="135">
                  <c:v>1.2656565827966442</c:v>
                </c:pt>
                <c:pt idx="136">
                  <c:v>-0.42014204580768427</c:v>
                </c:pt>
                <c:pt idx="137">
                  <c:v>1.4055246320234833</c:v>
                </c:pt>
                <c:pt idx="138">
                  <c:v>-2.3798636141916241E-2</c:v>
                </c:pt>
                <c:pt idx="139">
                  <c:v>-0.94564972218921284</c:v>
                </c:pt>
                <c:pt idx="140">
                  <c:v>0.73546966098117694</c:v>
                </c:pt>
                <c:pt idx="141">
                  <c:v>1.7116922764778253</c:v>
                </c:pt>
                <c:pt idx="142">
                  <c:v>-0.26362362275971585</c:v>
                </c:pt>
                <c:pt idx="143">
                  <c:v>0.22777557059858333</c:v>
                </c:pt>
              </c:numCache>
            </c:numRef>
          </c:xVal>
          <c:yVal>
            <c:numRef>
              <c:f>Data!$Y$2:$Y$145</c:f>
              <c:numCache>
                <c:formatCode>0.0000</c:formatCode>
                <c:ptCount val="144"/>
                <c:pt idx="0">
                  <c:v>-0.91096437562072896</c:v>
                </c:pt>
                <c:pt idx="1">
                  <c:v>-2.3980136125330338</c:v>
                </c:pt>
                <c:pt idx="2">
                  <c:v>0.75000275070437161</c:v>
                </c:pt>
                <c:pt idx="3">
                  <c:v>-1.2369081491652585</c:v>
                </c:pt>
                <c:pt idx="4">
                  <c:v>-2.4760094597658804</c:v>
                </c:pt>
                <c:pt idx="5">
                  <c:v>-1.7227430562336554E-3</c:v>
                </c:pt>
                <c:pt idx="6">
                  <c:v>-0.72731481648190144</c:v>
                </c:pt>
                <c:pt idx="7">
                  <c:v>-0.52011651603658948</c:v>
                </c:pt>
                <c:pt idx="8">
                  <c:v>-1.9264758862828741</c:v>
                </c:pt>
                <c:pt idx="9">
                  <c:v>6.9187076511110224E-3</c:v>
                </c:pt>
                <c:pt idx="10">
                  <c:v>-0.65076373238944996</c:v>
                </c:pt>
                <c:pt idx="11">
                  <c:v>-0.51489554556213668</c:v>
                </c:pt>
                <c:pt idx="12">
                  <c:v>-0.84947435205176713</c:v>
                </c:pt>
                <c:pt idx="13">
                  <c:v>1.3277320563891768</c:v>
                </c:pt>
                <c:pt idx="14">
                  <c:v>-1.3622976654944936</c:v>
                </c:pt>
                <c:pt idx="15">
                  <c:v>1.7191062695844579</c:v>
                </c:pt>
                <c:pt idx="16">
                  <c:v>-1.640637274834607</c:v>
                </c:pt>
                <c:pt idx="17">
                  <c:v>0.5059905302552723</c:v>
                </c:pt>
                <c:pt idx="18">
                  <c:v>1.2825188779607932</c:v>
                </c:pt>
                <c:pt idx="19">
                  <c:v>-1.1957052249156281</c:v>
                </c:pt>
                <c:pt idx="20">
                  <c:v>-2.0674543719469156</c:v>
                </c:pt>
                <c:pt idx="21">
                  <c:v>0.77481360069533434</c:v>
                </c:pt>
                <c:pt idx="22">
                  <c:v>-0.64457008273053229</c:v>
                </c:pt>
                <c:pt idx="23">
                  <c:v>0.13834015298999414</c:v>
                </c:pt>
                <c:pt idx="24">
                  <c:v>1.8295849965341144</c:v>
                </c:pt>
                <c:pt idx="25">
                  <c:v>-0.1964145478948659</c:v>
                </c:pt>
                <c:pt idx="26">
                  <c:v>1.5478775327014587</c:v>
                </c:pt>
                <c:pt idx="27">
                  <c:v>2.8398159760270083</c:v>
                </c:pt>
                <c:pt idx="28">
                  <c:v>-3.4444537391388588</c:v>
                </c:pt>
                <c:pt idx="29">
                  <c:v>1.9065660162592846</c:v>
                </c:pt>
                <c:pt idx="30">
                  <c:v>2.2414143834970743</c:v>
                </c:pt>
                <c:pt idx="31">
                  <c:v>1.6334355421039572</c:v>
                </c:pt>
                <c:pt idx="32">
                  <c:v>-0.8024053912740966</c:v>
                </c:pt>
                <c:pt idx="33">
                  <c:v>-3.6270796894894017</c:v>
                </c:pt>
                <c:pt idx="34">
                  <c:v>-2.327596256567102</c:v>
                </c:pt>
                <c:pt idx="35">
                  <c:v>-0.33409869319838392</c:v>
                </c:pt>
                <c:pt idx="36">
                  <c:v>-0.76068732422878949</c:v>
                </c:pt>
                <c:pt idx="37">
                  <c:v>-2.3666150000944421</c:v>
                </c:pt>
                <c:pt idx="38">
                  <c:v>-2.0328061690675399</c:v>
                </c:pt>
                <c:pt idx="39">
                  <c:v>-5.0280583610806673E-4</c:v>
                </c:pt>
                <c:pt idx="40">
                  <c:v>-0.28505372146313801</c:v>
                </c:pt>
                <c:pt idx="41">
                  <c:v>0.72247237641396156</c:v>
                </c:pt>
                <c:pt idx="42">
                  <c:v>-2.0722333327069506</c:v>
                </c:pt>
                <c:pt idx="43">
                  <c:v>-0.63415019334093126</c:v>
                </c:pt>
                <c:pt idx="44">
                  <c:v>-1.161662273804297</c:v>
                </c:pt>
                <c:pt idx="45">
                  <c:v>0.32922876547152047</c:v>
                </c:pt>
                <c:pt idx="46">
                  <c:v>-1.0542238722111643</c:v>
                </c:pt>
                <c:pt idx="47">
                  <c:v>-0.71090048727853627</c:v>
                </c:pt>
                <c:pt idx="48">
                  <c:v>-0.12600116164798369</c:v>
                </c:pt>
                <c:pt idx="49">
                  <c:v>-0.81322058181053336</c:v>
                </c:pt>
                <c:pt idx="50">
                  <c:v>4.192105160976034E-2</c:v>
                </c:pt>
                <c:pt idx="51">
                  <c:v>-0.5003577355554536</c:v>
                </c:pt>
                <c:pt idx="52">
                  <c:v>-0.18765182802896274</c:v>
                </c:pt>
                <c:pt idx="53">
                  <c:v>0.29384581056419168</c:v>
                </c:pt>
                <c:pt idx="54">
                  <c:v>0.14705789403273895</c:v>
                </c:pt>
                <c:pt idx="55">
                  <c:v>-0.10710867464023677</c:v>
                </c:pt>
                <c:pt idx="56">
                  <c:v>0.66563400581997301</c:v>
                </c:pt>
                <c:pt idx="57">
                  <c:v>0.46535133785611416</c:v>
                </c:pt>
                <c:pt idx="58">
                  <c:v>-0.60018892274800262</c:v>
                </c:pt>
                <c:pt idx="59">
                  <c:v>0.19459024498248212</c:v>
                </c:pt>
                <c:pt idx="60">
                  <c:v>0.45655703468077546</c:v>
                </c:pt>
                <c:pt idx="61">
                  <c:v>-1.5462862384030147</c:v>
                </c:pt>
                <c:pt idx="62">
                  <c:v>-0.1744238767493953</c:v>
                </c:pt>
                <c:pt idx="63">
                  <c:v>-0.25511107484785889</c:v>
                </c:pt>
                <c:pt idx="64">
                  <c:v>1.6533174418119638</c:v>
                </c:pt>
                <c:pt idx="65">
                  <c:v>1.0477623544518608</c:v>
                </c:pt>
                <c:pt idx="66">
                  <c:v>1.3470752612152472</c:v>
                </c:pt>
                <c:pt idx="67">
                  <c:v>-0.41180114317989069</c:v>
                </c:pt>
                <c:pt idx="68">
                  <c:v>9.9160579558002837E-2</c:v>
                </c:pt>
                <c:pt idx="69">
                  <c:v>-0.10565290663764049</c:v>
                </c:pt>
                <c:pt idx="70">
                  <c:v>-0.65760377974441342</c:v>
                </c:pt>
                <c:pt idx="71">
                  <c:v>-1.3189174099723493</c:v>
                </c:pt>
                <c:pt idx="72">
                  <c:v>0.43422952792831127</c:v>
                </c:pt>
                <c:pt idx="73">
                  <c:v>1.3989331437280539</c:v>
                </c:pt>
                <c:pt idx="74">
                  <c:v>12.216042233728871</c:v>
                </c:pt>
                <c:pt idx="75">
                  <c:v>-5.4985096206098296</c:v>
                </c:pt>
                <c:pt idx="76">
                  <c:v>-3.2444938645392751</c:v>
                </c:pt>
                <c:pt idx="77">
                  <c:v>-0.97250002344103259</c:v>
                </c:pt>
                <c:pt idx="78">
                  <c:v>-2.91622485577851</c:v>
                </c:pt>
                <c:pt idx="79">
                  <c:v>-1.0912706668086227</c:v>
                </c:pt>
                <c:pt idx="80">
                  <c:v>1.1469974795813214</c:v>
                </c:pt>
                <c:pt idx="81">
                  <c:v>1.4942327565881319E-2</c:v>
                </c:pt>
                <c:pt idx="82">
                  <c:v>-4.1583515919665963</c:v>
                </c:pt>
                <c:pt idx="83">
                  <c:v>-1.1458441665296273</c:v>
                </c:pt>
                <c:pt idx="84">
                  <c:v>-4.6488544479532212E-2</c:v>
                </c:pt>
                <c:pt idx="85">
                  <c:v>-7.8358488974022089E-2</c:v>
                </c:pt>
                <c:pt idx="86">
                  <c:v>-0.69260541036168899</c:v>
                </c:pt>
                <c:pt idx="87">
                  <c:v>-0.56639994712204866</c:v>
                </c:pt>
                <c:pt idx="88">
                  <c:v>-0.38856945911305885</c:v>
                </c:pt>
                <c:pt idx="89">
                  <c:v>-0.76028132124532877</c:v>
                </c:pt>
                <c:pt idx="90">
                  <c:v>-0.39678061822529287</c:v>
                </c:pt>
                <c:pt idx="91">
                  <c:v>-0.39129536353526051</c:v>
                </c:pt>
                <c:pt idx="92">
                  <c:v>0.36385378925894352</c:v>
                </c:pt>
                <c:pt idx="93">
                  <c:v>0.19674981605092023</c:v>
                </c:pt>
                <c:pt idx="94">
                  <c:v>1.1966197620013621</c:v>
                </c:pt>
                <c:pt idx="95">
                  <c:v>-1.8131942210481211</c:v>
                </c:pt>
                <c:pt idx="96">
                  <c:v>2.3519703735642286</c:v>
                </c:pt>
                <c:pt idx="97">
                  <c:v>1.1361390315927991</c:v>
                </c:pt>
                <c:pt idx="98">
                  <c:v>0.62170789033490259</c:v>
                </c:pt>
                <c:pt idx="99">
                  <c:v>3.8067585559901422</c:v>
                </c:pt>
                <c:pt idx="100">
                  <c:v>-0.65835238193357282</c:v>
                </c:pt>
                <c:pt idx="101">
                  <c:v>6.6294821488282576</c:v>
                </c:pt>
                <c:pt idx="102">
                  <c:v>-6.4144470109190195</c:v>
                </c:pt>
                <c:pt idx="103">
                  <c:v>3.8973353840391622</c:v>
                </c:pt>
                <c:pt idx="104">
                  <c:v>2.3258935867649115</c:v>
                </c:pt>
                <c:pt idx="105">
                  <c:v>-2.18934556443602</c:v>
                </c:pt>
                <c:pt idx="106">
                  <c:v>-2.0969608219353946</c:v>
                </c:pt>
                <c:pt idx="107">
                  <c:v>0.3818238017242751</c:v>
                </c:pt>
                <c:pt idx="108">
                  <c:v>-2.8853567348890796</c:v>
                </c:pt>
                <c:pt idx="109">
                  <c:v>0.6614314135981223</c:v>
                </c:pt>
                <c:pt idx="110">
                  <c:v>-0.77426758540165275</c:v>
                </c:pt>
                <c:pt idx="111">
                  <c:v>-0.21023787270852989</c:v>
                </c:pt>
                <c:pt idx="112">
                  <c:v>0.52204244553182977</c:v>
                </c:pt>
                <c:pt idx="113">
                  <c:v>-1.2315306476671668</c:v>
                </c:pt>
                <c:pt idx="114">
                  <c:v>-1.0924478196852974</c:v>
                </c:pt>
                <c:pt idx="115">
                  <c:v>-0.24570607569441716</c:v>
                </c:pt>
                <c:pt idx="116">
                  <c:v>0.60545695484994577</c:v>
                </c:pt>
                <c:pt idx="117">
                  <c:v>0.71415928382895077</c:v>
                </c:pt>
                <c:pt idx="118">
                  <c:v>-3.8039423750472912</c:v>
                </c:pt>
                <c:pt idx="119">
                  <c:v>-3.2081607641556928</c:v>
                </c:pt>
                <c:pt idx="120">
                  <c:v>0.21635937369070346</c:v>
                </c:pt>
                <c:pt idx="121">
                  <c:v>-8.1493641637859771E-2</c:v>
                </c:pt>
                <c:pt idx="122">
                  <c:v>-0.71518525407645916</c:v>
                </c:pt>
                <c:pt idx="123">
                  <c:v>0.46286743849788481</c:v>
                </c:pt>
                <c:pt idx="124">
                  <c:v>-1.0860475657539417</c:v>
                </c:pt>
                <c:pt idx="125">
                  <c:v>-0.31832448579568484</c:v>
                </c:pt>
                <c:pt idx="126">
                  <c:v>-1.3225929038760302</c:v>
                </c:pt>
                <c:pt idx="127">
                  <c:v>-1.4159902495028978</c:v>
                </c:pt>
                <c:pt idx="128">
                  <c:v>-1.459106650799638</c:v>
                </c:pt>
                <c:pt idx="129">
                  <c:v>0.57003932831998982</c:v>
                </c:pt>
                <c:pt idx="130">
                  <c:v>-1.3117038516195374</c:v>
                </c:pt>
                <c:pt idx="131">
                  <c:v>-6.5517018419526396E-2</c:v>
                </c:pt>
                <c:pt idx="132">
                  <c:v>-1.2426485711525617</c:v>
                </c:pt>
                <c:pt idx="133">
                  <c:v>-0.64496969911525204</c:v>
                </c:pt>
                <c:pt idx="134">
                  <c:v>0.96051392618165299</c:v>
                </c:pt>
                <c:pt idx="135">
                  <c:v>-0.78323253356016631</c:v>
                </c:pt>
                <c:pt idx="136">
                  <c:v>-1.1591554387325347</c:v>
                </c:pt>
                <c:pt idx="137">
                  <c:v>-0.86881567324215925</c:v>
                </c:pt>
                <c:pt idx="138">
                  <c:v>-1.0037666080123129</c:v>
                </c:pt>
                <c:pt idx="139">
                  <c:v>-0.59145152801659373</c:v>
                </c:pt>
                <c:pt idx="140">
                  <c:v>-0.75153605899196996</c:v>
                </c:pt>
                <c:pt idx="141">
                  <c:v>-0.53334375688255586</c:v>
                </c:pt>
                <c:pt idx="142">
                  <c:v>-4.9060540900919491E-2</c:v>
                </c:pt>
                <c:pt idx="143">
                  <c:v>-0.59209124229443622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55-3842-8005-6E2D9B6DF999}"/>
            </c:ext>
          </c:extLst>
        </c:ser>
        <c:ser>
          <c:idx val="1"/>
          <c:order val="1"/>
          <c:tx>
            <c:v>Predicted S&amp;P 500 Returns - HY (%)</c:v>
          </c:tx>
          <c:spPr>
            <a:ln w="19050">
              <a:noFill/>
            </a:ln>
          </c:spPr>
          <c:xVal>
            <c:numRef>
              <c:f>Data!$W$2:$W$145</c:f>
              <c:numCache>
                <c:formatCode>0.0000</c:formatCode>
                <c:ptCount val="144"/>
                <c:pt idx="0">
                  <c:v>-5.1387194346069833</c:v>
                </c:pt>
                <c:pt idx="1">
                  <c:v>2.3484491421995508</c:v>
                </c:pt>
                <c:pt idx="2">
                  <c:v>-0.92319478819390199</c:v>
                </c:pt>
                <c:pt idx="3">
                  <c:v>0.82434767702086331</c:v>
                </c:pt>
                <c:pt idx="4">
                  <c:v>2.0252115715454142</c:v>
                </c:pt>
                <c:pt idx="5">
                  <c:v>-1.4083021680096535</c:v>
                </c:pt>
                <c:pt idx="6">
                  <c:v>-0.89531690384682072</c:v>
                </c:pt>
                <c:pt idx="7">
                  <c:v>2.0846292055168538</c:v>
                </c:pt>
                <c:pt idx="8">
                  <c:v>0.18815829103602541</c:v>
                </c:pt>
                <c:pt idx="9">
                  <c:v>-0.30403984882426438</c:v>
                </c:pt>
                <c:pt idx="10">
                  <c:v>1.2224064307019109</c:v>
                </c:pt>
                <c:pt idx="11">
                  <c:v>1.1188106566869516</c:v>
                </c:pt>
                <c:pt idx="12">
                  <c:v>-0.39386738542473537</c:v>
                </c:pt>
                <c:pt idx="13">
                  <c:v>0.23199314515441699</c:v>
                </c:pt>
                <c:pt idx="14">
                  <c:v>3.0510319131719719</c:v>
                </c:pt>
                <c:pt idx="15">
                  <c:v>-0.57569475557887417</c:v>
                </c:pt>
                <c:pt idx="16">
                  <c:v>0.34508593485068878</c:v>
                </c:pt>
                <c:pt idx="17">
                  <c:v>2.4668637873530348</c:v>
                </c:pt>
                <c:pt idx="18">
                  <c:v>1.3828982966028573</c:v>
                </c:pt>
                <c:pt idx="19">
                  <c:v>5.9348906527047323</c:v>
                </c:pt>
                <c:pt idx="20">
                  <c:v>-3.7396932352934624</c:v>
                </c:pt>
                <c:pt idx="21">
                  <c:v>1.0994857308880885</c:v>
                </c:pt>
                <c:pt idx="22">
                  <c:v>-2.3264834455409638</c:v>
                </c:pt>
                <c:pt idx="23">
                  <c:v>0.27399978476401698</c:v>
                </c:pt>
                <c:pt idx="24">
                  <c:v>-3.7708043023703515</c:v>
                </c:pt>
                <c:pt idx="25">
                  <c:v>2.4312561086316236</c:v>
                </c:pt>
                <c:pt idx="26">
                  <c:v>-2.163876747359093</c:v>
                </c:pt>
                <c:pt idx="27">
                  <c:v>0.5025858772171532</c:v>
                </c:pt>
                <c:pt idx="28">
                  <c:v>1.5012701524955124E-2</c:v>
                </c:pt>
                <c:pt idx="29">
                  <c:v>2.0734306549589543</c:v>
                </c:pt>
                <c:pt idx="30">
                  <c:v>-1.4165022256805997</c:v>
                </c:pt>
                <c:pt idx="31">
                  <c:v>0.66815720708482551</c:v>
                </c:pt>
                <c:pt idx="32">
                  <c:v>-0.80775400785913054</c:v>
                </c:pt>
                <c:pt idx="33">
                  <c:v>3.5954167685518694</c:v>
                </c:pt>
                <c:pt idx="34">
                  <c:v>0.91190414214845739</c:v>
                </c:pt>
                <c:pt idx="35">
                  <c:v>0.85468808124803441</c:v>
                </c:pt>
                <c:pt idx="36">
                  <c:v>3.5664770305249829</c:v>
                </c:pt>
                <c:pt idx="37">
                  <c:v>5.0465169683722939</c:v>
                </c:pt>
                <c:pt idx="38">
                  <c:v>3.4210472846484357</c:v>
                </c:pt>
                <c:pt idx="39">
                  <c:v>-1.9050206096671818</c:v>
                </c:pt>
                <c:pt idx="40">
                  <c:v>-4.4556526959210885</c:v>
                </c:pt>
                <c:pt idx="41">
                  <c:v>-1.6600067055434231</c:v>
                </c:pt>
                <c:pt idx="42">
                  <c:v>2.9503559863160107</c:v>
                </c:pt>
                <c:pt idx="43">
                  <c:v>-1.5202579266307075</c:v>
                </c:pt>
                <c:pt idx="44">
                  <c:v>2.6350509941130018</c:v>
                </c:pt>
                <c:pt idx="45">
                  <c:v>-0.17390455263532517</c:v>
                </c:pt>
                <c:pt idx="46">
                  <c:v>0.72625925846252182</c:v>
                </c:pt>
                <c:pt idx="47">
                  <c:v>1.5534992085354618</c:v>
                </c:pt>
                <c:pt idx="48">
                  <c:v>-1.3128763768352263</c:v>
                </c:pt>
                <c:pt idx="49">
                  <c:v>1.0235515044919676</c:v>
                </c:pt>
                <c:pt idx="50">
                  <c:v>0.87915557139737288</c:v>
                </c:pt>
                <c:pt idx="51">
                  <c:v>-2.0519560737810645</c:v>
                </c:pt>
                <c:pt idx="52">
                  <c:v>0.34628136161819018</c:v>
                </c:pt>
                <c:pt idx="53">
                  <c:v>-0.35419358995709715</c:v>
                </c:pt>
                <c:pt idx="54">
                  <c:v>1.858001601839639</c:v>
                </c:pt>
                <c:pt idx="55">
                  <c:v>-0.8877688063153264</c:v>
                </c:pt>
                <c:pt idx="56">
                  <c:v>-1.3769514272096248</c:v>
                </c:pt>
                <c:pt idx="57">
                  <c:v>0.20136749777207796</c:v>
                </c:pt>
                <c:pt idx="58">
                  <c:v>0.12731740286215751</c:v>
                </c:pt>
                <c:pt idx="59">
                  <c:v>-0.371473926792939</c:v>
                </c:pt>
                <c:pt idx="60">
                  <c:v>-0.41320150136606915</c:v>
                </c:pt>
                <c:pt idx="61">
                  <c:v>0.2551971584802315</c:v>
                </c:pt>
                <c:pt idx="62">
                  <c:v>0.54532839444733927</c:v>
                </c:pt>
                <c:pt idx="63">
                  <c:v>-1.1987084485525838</c:v>
                </c:pt>
                <c:pt idx="64">
                  <c:v>0.20365796077345244</c:v>
                </c:pt>
                <c:pt idx="65">
                  <c:v>-2.1905269483508447</c:v>
                </c:pt>
                <c:pt idx="66">
                  <c:v>1.357859374712971</c:v>
                </c:pt>
                <c:pt idx="67">
                  <c:v>1.0678641457547986</c:v>
                </c:pt>
                <c:pt idx="68">
                  <c:v>-4.062169850005945E-3</c:v>
                </c:pt>
                <c:pt idx="69">
                  <c:v>-0.25340601070870289</c:v>
                </c:pt>
                <c:pt idx="70">
                  <c:v>-0.20371933742089599</c:v>
                </c:pt>
                <c:pt idx="71">
                  <c:v>-6.8036926882462212E-2</c:v>
                </c:pt>
                <c:pt idx="72">
                  <c:v>3.0998066900760599</c:v>
                </c:pt>
                <c:pt idx="73">
                  <c:v>-1.5756409548922983</c:v>
                </c:pt>
                <c:pt idx="74">
                  <c:v>-6.5893968100260576</c:v>
                </c:pt>
                <c:pt idx="75">
                  <c:v>7.3665586735762902</c:v>
                </c:pt>
                <c:pt idx="76">
                  <c:v>1.0916617932992878</c:v>
                </c:pt>
                <c:pt idx="77">
                  <c:v>1.0163751457846373</c:v>
                </c:pt>
                <c:pt idx="78">
                  <c:v>2.1435700279400138</c:v>
                </c:pt>
                <c:pt idx="79">
                  <c:v>-1.204767361587278</c:v>
                </c:pt>
                <c:pt idx="80">
                  <c:v>-1.9469169716171044E-3</c:v>
                </c:pt>
                <c:pt idx="81">
                  <c:v>0.28979934223811843</c:v>
                </c:pt>
                <c:pt idx="82">
                  <c:v>2.3639052440224098</c:v>
                </c:pt>
                <c:pt idx="83">
                  <c:v>1.5490140567033936</c:v>
                </c:pt>
                <c:pt idx="84">
                  <c:v>-1.6477775578392471</c:v>
                </c:pt>
                <c:pt idx="85">
                  <c:v>-3.4798493915758022</c:v>
                </c:pt>
                <c:pt idx="86">
                  <c:v>1.7190145145590065E-2</c:v>
                </c:pt>
                <c:pt idx="87">
                  <c:v>0.3804319559628988</c:v>
                </c:pt>
                <c:pt idx="88">
                  <c:v>0.31001431749484604</c:v>
                </c:pt>
                <c:pt idx="89">
                  <c:v>0.85502216530240871</c:v>
                </c:pt>
                <c:pt idx="90">
                  <c:v>1.6132309956574875</c:v>
                </c:pt>
                <c:pt idx="91">
                  <c:v>-0.22870458134476115</c:v>
                </c:pt>
                <c:pt idx="92">
                  <c:v>-2.8087660797989829</c:v>
                </c:pt>
                <c:pt idx="93">
                  <c:v>0.69722145982741013</c:v>
                </c:pt>
                <c:pt idx="94">
                  <c:v>0.99547551042253035</c:v>
                </c:pt>
                <c:pt idx="95">
                  <c:v>-1.12353903746557</c:v>
                </c:pt>
                <c:pt idx="96">
                  <c:v>-4.0342794589013895</c:v>
                </c:pt>
                <c:pt idx="97">
                  <c:v>-3.1651689144312303</c:v>
                </c:pt>
                <c:pt idx="98">
                  <c:v>0.13326767049501004</c:v>
                </c:pt>
                <c:pt idx="99">
                  <c:v>-3.8653528730622675</c:v>
                </c:pt>
                <c:pt idx="100">
                  <c:v>-1.556403524525015</c:v>
                </c:pt>
                <c:pt idx="101">
                  <c:v>-3.4565692008015478</c:v>
                </c:pt>
                <c:pt idx="102">
                  <c:v>4.373127894277208</c:v>
                </c:pt>
                <c:pt idx="103">
                  <c:v>-8.1411935429504894</c:v>
                </c:pt>
                <c:pt idx="104">
                  <c:v>-9.1415438687040886</c:v>
                </c:pt>
                <c:pt idx="105">
                  <c:v>4.9981561061963475</c:v>
                </c:pt>
                <c:pt idx="106">
                  <c:v>3.7315693621188237</c:v>
                </c:pt>
                <c:pt idx="107">
                  <c:v>-1.6930601373866518</c:v>
                </c:pt>
                <c:pt idx="108">
                  <c:v>3.2693974797429637</c:v>
                </c:pt>
                <c:pt idx="109">
                  <c:v>-3.4044713219137206</c:v>
                </c:pt>
                <c:pt idx="110">
                  <c:v>1.1229372544900045</c:v>
                </c:pt>
                <c:pt idx="111">
                  <c:v>-4.5251950847142508E-2</c:v>
                </c:pt>
                <c:pt idx="112">
                  <c:v>-3.2207902839867755</c:v>
                </c:pt>
                <c:pt idx="113">
                  <c:v>-1.5304704600210068</c:v>
                </c:pt>
                <c:pt idx="114">
                  <c:v>2.0217015238879137</c:v>
                </c:pt>
                <c:pt idx="115">
                  <c:v>-0.73548575994241516</c:v>
                </c:pt>
                <c:pt idx="116">
                  <c:v>-0.41335762746622851</c:v>
                </c:pt>
                <c:pt idx="117">
                  <c:v>-0.46656124638286833</c:v>
                </c:pt>
                <c:pt idx="118">
                  <c:v>3.4138089910941942</c:v>
                </c:pt>
                <c:pt idx="119">
                  <c:v>4.4012225363925044</c:v>
                </c:pt>
                <c:pt idx="120">
                  <c:v>-1.5196917747234271</c:v>
                </c:pt>
                <c:pt idx="121">
                  <c:v>-1.062073375074631</c:v>
                </c:pt>
                <c:pt idx="122">
                  <c:v>1.477489362217179</c:v>
                </c:pt>
                <c:pt idx="123">
                  <c:v>-2.3781283099238917</c:v>
                </c:pt>
                <c:pt idx="124">
                  <c:v>0.47811004572060589</c:v>
                </c:pt>
                <c:pt idx="125">
                  <c:v>0.44551959930867541</c:v>
                </c:pt>
                <c:pt idx="126">
                  <c:v>1.3614075313738643</c:v>
                </c:pt>
                <c:pt idx="127">
                  <c:v>-7.7650136808625758E-3</c:v>
                </c:pt>
                <c:pt idx="128">
                  <c:v>-0.12972116439056908</c:v>
                </c:pt>
                <c:pt idx="129">
                  <c:v>-1.6695833580904584</c:v>
                </c:pt>
                <c:pt idx="130">
                  <c:v>1.4530967525660716</c:v>
                </c:pt>
                <c:pt idx="131">
                  <c:v>-0.78143310266141697</c:v>
                </c:pt>
                <c:pt idx="132">
                  <c:v>0.34908255979636738</c:v>
                </c:pt>
                <c:pt idx="133">
                  <c:v>0.13535969057984193</c:v>
                </c:pt>
                <c:pt idx="134">
                  <c:v>-1.8716624465378884</c:v>
                </c:pt>
                <c:pt idx="135">
                  <c:v>1.2656565827966442</c:v>
                </c:pt>
                <c:pt idx="136">
                  <c:v>-0.42014204580768427</c:v>
                </c:pt>
                <c:pt idx="137">
                  <c:v>1.4055246320234833</c:v>
                </c:pt>
                <c:pt idx="138">
                  <c:v>-2.3798636141916241E-2</c:v>
                </c:pt>
                <c:pt idx="139">
                  <c:v>-0.94564972218921284</c:v>
                </c:pt>
                <c:pt idx="140">
                  <c:v>0.73546966098117694</c:v>
                </c:pt>
                <c:pt idx="141">
                  <c:v>1.7116922764778253</c:v>
                </c:pt>
                <c:pt idx="142">
                  <c:v>-0.26362362275971585</c:v>
                </c:pt>
                <c:pt idx="143">
                  <c:v>0.22777557059858333</c:v>
                </c:pt>
              </c:numCache>
            </c:numRef>
          </c:xVal>
          <c:yVal>
            <c:numRef>
              <c:f>'S&amp;P Returns on IG and HY'!$B$26:$B$169</c:f>
              <c:numCache>
                <c:formatCode>General</c:formatCode>
                <c:ptCount val="144"/>
                <c:pt idx="0">
                  <c:v>-0.9707722970883168</c:v>
                </c:pt>
                <c:pt idx="1">
                  <c:v>-2.429773258178852</c:v>
                </c:pt>
                <c:pt idx="2">
                  <c:v>0.72694643354459232</c:v>
                </c:pt>
                <c:pt idx="3">
                  <c:v>-1.2457214349395429</c:v>
                </c:pt>
                <c:pt idx="4">
                  <c:v>-2.4816751016000507</c:v>
                </c:pt>
                <c:pt idx="5">
                  <c:v>-5.3468357722859849E-2</c:v>
                </c:pt>
                <c:pt idx="6">
                  <c:v>-0.72468265357310746</c:v>
                </c:pt>
                <c:pt idx="7">
                  <c:v>-0.51157391913239803</c:v>
                </c:pt>
                <c:pt idx="8">
                  <c:v>-1.9075718715710221</c:v>
                </c:pt>
                <c:pt idx="9">
                  <c:v>-1.1794190306467278E-2</c:v>
                </c:pt>
                <c:pt idx="10">
                  <c:v>-0.63185144152136552</c:v>
                </c:pt>
                <c:pt idx="11">
                  <c:v>-0.51511091320896951</c:v>
                </c:pt>
                <c:pt idx="12">
                  <c:v>-0.85752237792151709</c:v>
                </c:pt>
                <c:pt idx="13">
                  <c:v>1.3250104785057715</c:v>
                </c:pt>
                <c:pt idx="14">
                  <c:v>-1.3326846942947115</c:v>
                </c:pt>
                <c:pt idx="15">
                  <c:v>1.688777335486747</c:v>
                </c:pt>
                <c:pt idx="16">
                  <c:v>-1.6148371214088408</c:v>
                </c:pt>
                <c:pt idx="17">
                  <c:v>0.42716968017195134</c:v>
                </c:pt>
                <c:pt idx="18">
                  <c:v>1.2327318190919461</c:v>
                </c:pt>
                <c:pt idx="19">
                  <c:v>-1.2052217165386585</c:v>
                </c:pt>
                <c:pt idx="20">
                  <c:v>-2.1428049372538847</c:v>
                </c:pt>
                <c:pt idx="21">
                  <c:v>0.72229980360125157</c:v>
                </c:pt>
                <c:pt idx="22">
                  <c:v>-0.69981247306454497</c:v>
                </c:pt>
                <c:pt idx="23">
                  <c:v>9.0964415942978438E-2</c:v>
                </c:pt>
                <c:pt idx="24">
                  <c:v>1.7749075051663763</c:v>
                </c:pt>
                <c:pt idx="25">
                  <c:v>-0.20748182165872509</c:v>
                </c:pt>
                <c:pt idx="26">
                  <c:v>1.5159981599214305</c:v>
                </c:pt>
                <c:pt idx="27">
                  <c:v>2.8244823244585562</c:v>
                </c:pt>
                <c:pt idx="28">
                  <c:v>-3.4996275700194039</c:v>
                </c:pt>
                <c:pt idx="29">
                  <c:v>1.8389456813681524</c:v>
                </c:pt>
                <c:pt idx="30">
                  <c:v>2.2003629362492418</c:v>
                </c:pt>
                <c:pt idx="31">
                  <c:v>1.6306101723329751</c:v>
                </c:pt>
                <c:pt idx="32">
                  <c:v>-0.8728684112808438</c:v>
                </c:pt>
                <c:pt idx="33">
                  <c:v>-3.7119579333930717</c:v>
                </c:pt>
                <c:pt idx="34">
                  <c:v>-2.3903090879540878</c:v>
                </c:pt>
                <c:pt idx="35">
                  <c:v>-0.38615816428001215</c:v>
                </c:pt>
                <c:pt idx="36">
                  <c:v>-0.84384777041282533</c:v>
                </c:pt>
                <c:pt idx="37">
                  <c:v>-2.4621515231221283</c:v>
                </c:pt>
                <c:pt idx="38">
                  <c:v>-2.1236283471806976</c:v>
                </c:pt>
                <c:pt idx="39">
                  <c:v>-0.11758611653970474</c:v>
                </c:pt>
                <c:pt idx="40">
                  <c:v>-0.38753233483629757</c:v>
                </c:pt>
                <c:pt idx="41">
                  <c:v>0.61643012018859855</c:v>
                </c:pt>
                <c:pt idx="42">
                  <c:v>-2.168899416193784</c:v>
                </c:pt>
                <c:pt idx="43">
                  <c:v>-0.72979785847057199</c:v>
                </c:pt>
                <c:pt idx="44">
                  <c:v>-1.2605784422175679</c:v>
                </c:pt>
                <c:pt idx="45">
                  <c:v>0.21263043511645272</c:v>
                </c:pt>
                <c:pt idx="46">
                  <c:v>-1.1398319376921293</c:v>
                </c:pt>
                <c:pt idx="47">
                  <c:v>-0.81263298537432294</c:v>
                </c:pt>
                <c:pt idx="48">
                  <c:v>-0.23080583342217253</c:v>
                </c:pt>
                <c:pt idx="49">
                  <c:v>-0.896463912193459</c:v>
                </c:pt>
                <c:pt idx="50">
                  <c:v>-5.177731321514556E-2</c:v>
                </c:pt>
                <c:pt idx="51">
                  <c:v>-0.59517589447659414</c:v>
                </c:pt>
                <c:pt idx="52">
                  <c:v>-0.28010097401618372</c:v>
                </c:pt>
                <c:pt idx="53">
                  <c:v>0.20749170932254848</c:v>
                </c:pt>
                <c:pt idx="54">
                  <c:v>5.5320259895450308E-2</c:v>
                </c:pt>
                <c:pt idx="55">
                  <c:v>-0.20998898613510586</c:v>
                </c:pt>
                <c:pt idx="56">
                  <c:v>0.63366218423949749</c:v>
                </c:pt>
                <c:pt idx="57">
                  <c:v>0.41181668450567155</c:v>
                </c:pt>
                <c:pt idx="58">
                  <c:v>-0.62877949154407387</c:v>
                </c:pt>
                <c:pt idx="59">
                  <c:v>0.10725563947731781</c:v>
                </c:pt>
                <c:pt idx="60">
                  <c:v>0.37329359377614424</c:v>
                </c:pt>
                <c:pt idx="61">
                  <c:v>-1.6021465138903792</c:v>
                </c:pt>
                <c:pt idx="62">
                  <c:v>-0.24766431316008741</c:v>
                </c:pt>
                <c:pt idx="63">
                  <c:v>-0.31992644983200491</c:v>
                </c:pt>
                <c:pt idx="64">
                  <c:v>1.6289623995138245</c:v>
                </c:pt>
                <c:pt idx="65">
                  <c:v>0.99154701477891782</c:v>
                </c:pt>
                <c:pt idx="66">
                  <c:v>1.3428523325086075</c:v>
                </c:pt>
                <c:pt idx="67">
                  <c:v>-0.63970740452418251</c:v>
                </c:pt>
                <c:pt idx="68">
                  <c:v>-4.2643267258111406E-2</c:v>
                </c:pt>
                <c:pt idx="69">
                  <c:v>-0.20555062945361979</c:v>
                </c:pt>
                <c:pt idx="70">
                  <c:v>-0.79083761516185924</c:v>
                </c:pt>
                <c:pt idx="71">
                  <c:v>-1.4216430095162671</c:v>
                </c:pt>
                <c:pt idx="72">
                  <c:v>0.31583246018601585</c:v>
                </c:pt>
                <c:pt idx="73">
                  <c:v>1.2681185869101499</c:v>
                </c:pt>
                <c:pt idx="74">
                  <c:v>12.161245423974387</c:v>
                </c:pt>
                <c:pt idx="75">
                  <c:v>-5.5883906089215323</c:v>
                </c:pt>
                <c:pt idx="76">
                  <c:v>-3.4107310486357516</c:v>
                </c:pt>
                <c:pt idx="77">
                  <c:v>-1.1623524949790778</c:v>
                </c:pt>
                <c:pt idx="78">
                  <c:v>-3.0600316319833367</c:v>
                </c:pt>
                <c:pt idx="79">
                  <c:v>-1.2823654588309898</c:v>
                </c:pt>
                <c:pt idx="80">
                  <c:v>1.0099879594852987</c:v>
                </c:pt>
                <c:pt idx="81">
                  <c:v>-0.13436246503276028</c:v>
                </c:pt>
                <c:pt idx="82">
                  <c:v>-4.284712936479032</c:v>
                </c:pt>
                <c:pt idx="83">
                  <c:v>-1.3095779365643092</c:v>
                </c:pt>
                <c:pt idx="84">
                  <c:v>-0.21665763848871555</c:v>
                </c:pt>
                <c:pt idx="85">
                  <c:v>-0.22738650878737454</c:v>
                </c:pt>
                <c:pt idx="86">
                  <c:v>-0.79899495167422097</c:v>
                </c:pt>
                <c:pt idx="87">
                  <c:v>-0.72250261928745751</c:v>
                </c:pt>
                <c:pt idx="88">
                  <c:v>-0.49688190396243098</c:v>
                </c:pt>
                <c:pt idx="89">
                  <c:v>-0.87370367616884026</c:v>
                </c:pt>
                <c:pt idx="90">
                  <c:v>-0.52711397953427452</c:v>
                </c:pt>
                <c:pt idx="91">
                  <c:v>-0.51892995117484109</c:v>
                </c:pt>
                <c:pt idx="92">
                  <c:v>0.25968920755063163</c:v>
                </c:pt>
                <c:pt idx="93">
                  <c:v>0.12444984994275243</c:v>
                </c:pt>
                <c:pt idx="94">
                  <c:v>1.0592205059611659</c:v>
                </c:pt>
                <c:pt idx="95">
                  <c:v>-1.8845725417800041</c:v>
                </c:pt>
                <c:pt idx="96">
                  <c:v>2.2864533704803334</c:v>
                </c:pt>
                <c:pt idx="97">
                  <c:v>1.0969855488264091</c:v>
                </c:pt>
                <c:pt idx="98">
                  <c:v>0.61108172519873483</c:v>
                </c:pt>
                <c:pt idx="99">
                  <c:v>3.7613714776850822</c:v>
                </c:pt>
                <c:pt idx="100">
                  <c:v>-0.57444828506817425</c:v>
                </c:pt>
                <c:pt idx="101">
                  <c:v>6.6270103860702285</c:v>
                </c:pt>
                <c:pt idx="102">
                  <c:v>-6.3434631596241404</c:v>
                </c:pt>
                <c:pt idx="103">
                  <c:v>3.8544802265265821</c:v>
                </c:pt>
                <c:pt idx="104">
                  <c:v>2.540311942895797</c:v>
                </c:pt>
                <c:pt idx="105">
                  <c:v>-1.961467163678396</c:v>
                </c:pt>
                <c:pt idx="106">
                  <c:v>-1.9824571131697331</c:v>
                </c:pt>
                <c:pt idx="107">
                  <c:v>0.53017853022546979</c:v>
                </c:pt>
                <c:pt idx="108">
                  <c:v>-2.7259322215490109</c:v>
                </c:pt>
                <c:pt idx="109">
                  <c:v>0.77758200204939953</c:v>
                </c:pt>
                <c:pt idx="110">
                  <c:v>-0.5835040788038991</c:v>
                </c:pt>
                <c:pt idx="111">
                  <c:v>-7.7716406223963058E-2</c:v>
                </c:pt>
                <c:pt idx="112">
                  <c:v>0.70333602132545803</c:v>
                </c:pt>
                <c:pt idx="113">
                  <c:v>-1.0247556792139818</c:v>
                </c:pt>
                <c:pt idx="114">
                  <c:v>-0.87625273794547875</c:v>
                </c:pt>
                <c:pt idx="115">
                  <c:v>-5.2381894372309779E-3</c:v>
                </c:pt>
                <c:pt idx="116">
                  <c:v>0.83386704561587732</c:v>
                </c:pt>
                <c:pt idx="117">
                  <c:v>0.96428970648851253</c:v>
                </c:pt>
                <c:pt idx="118">
                  <c:v>-3.5969544680266523</c:v>
                </c:pt>
                <c:pt idx="119">
                  <c:v>-3.0601535181891757</c:v>
                </c:pt>
                <c:pt idx="120">
                  <c:v>0.35069884138428731</c:v>
                </c:pt>
                <c:pt idx="121">
                  <c:v>7.1777582090791547E-2</c:v>
                </c:pt>
                <c:pt idx="122">
                  <c:v>-0.54820409144286675</c:v>
                </c:pt>
                <c:pt idx="123">
                  <c:v>0.67508482326807107</c:v>
                </c:pt>
                <c:pt idx="124">
                  <c:v>-0.88485074943843411</c:v>
                </c:pt>
                <c:pt idx="125">
                  <c:v>-0.14475319695667177</c:v>
                </c:pt>
                <c:pt idx="126">
                  <c:v>-1.1462350097674412</c:v>
                </c:pt>
                <c:pt idx="127">
                  <c:v>-1.2153513630951172</c:v>
                </c:pt>
                <c:pt idx="128">
                  <c:v>-1.299726517480535</c:v>
                </c:pt>
                <c:pt idx="129">
                  <c:v>0.73785711967670287</c:v>
                </c:pt>
                <c:pt idx="130">
                  <c:v>-1.1201574737963633</c:v>
                </c:pt>
                <c:pt idx="131">
                  <c:v>0.13357245506013127</c:v>
                </c:pt>
                <c:pt idx="132">
                  <c:v>-1.0187113570711688</c:v>
                </c:pt>
                <c:pt idx="133">
                  <c:v>-0.44632079977379135</c:v>
                </c:pt>
                <c:pt idx="134">
                  <c:v>1.2127468911771664</c:v>
                </c:pt>
                <c:pt idx="135">
                  <c:v>-0.52952444767987628</c:v>
                </c:pt>
                <c:pt idx="136">
                  <c:v>-1.0297943543050156</c:v>
                </c:pt>
                <c:pt idx="137">
                  <c:v>-0.70162835659558009</c:v>
                </c:pt>
                <c:pt idx="138">
                  <c:v>-0.84677857747050267</c:v>
                </c:pt>
                <c:pt idx="139">
                  <c:v>-0.40639221257942193</c:v>
                </c:pt>
                <c:pt idx="140">
                  <c:v>-0.5614599886950713</c:v>
                </c:pt>
                <c:pt idx="141">
                  <c:v>-0.35439552847666311</c:v>
                </c:pt>
                <c:pt idx="142">
                  <c:v>0.13796587292566695</c:v>
                </c:pt>
                <c:pt idx="143">
                  <c:v>-0.41083835861520013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D55-3842-8005-6E2D9B6DF9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3760000"/>
        <c:axId val="693930000"/>
      </c:scatterChart>
      <c:valAx>
        <c:axId val="793760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IG Credit Spread (%)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693930000"/>
        <c:crosses val="autoZero"/>
        <c:crossBetween val="midCat"/>
      </c:valAx>
      <c:valAx>
        <c:axId val="6939300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S&amp;P 500 Returns - HY (%)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79376000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'S&amp;P Returns on IG and HY'!$F$26:$F$169</c:f>
              <c:numCache>
                <c:formatCode>General</c:formatCode>
                <c:ptCount val="144"/>
                <c:pt idx="0">
                  <c:v>0.34722222222222221</c:v>
                </c:pt>
                <c:pt idx="1">
                  <c:v>1.0416666666666665</c:v>
                </c:pt>
                <c:pt idx="2">
                  <c:v>1.7361111111111112</c:v>
                </c:pt>
                <c:pt idx="3">
                  <c:v>2.4305555555555554</c:v>
                </c:pt>
                <c:pt idx="4">
                  <c:v>3.125</c:v>
                </c:pt>
                <c:pt idx="5">
                  <c:v>3.8194444444444446</c:v>
                </c:pt>
                <c:pt idx="6">
                  <c:v>4.5138888888888884</c:v>
                </c:pt>
                <c:pt idx="7">
                  <c:v>5.208333333333333</c:v>
                </c:pt>
                <c:pt idx="8">
                  <c:v>5.9027777777777777</c:v>
                </c:pt>
                <c:pt idx="9">
                  <c:v>6.5972222222222223</c:v>
                </c:pt>
                <c:pt idx="10">
                  <c:v>7.291666666666667</c:v>
                </c:pt>
                <c:pt idx="11">
                  <c:v>7.9861111111111107</c:v>
                </c:pt>
                <c:pt idx="12">
                  <c:v>8.6805555555555536</c:v>
                </c:pt>
                <c:pt idx="13">
                  <c:v>9.3749999999999982</c:v>
                </c:pt>
                <c:pt idx="14">
                  <c:v>10.069444444444443</c:v>
                </c:pt>
                <c:pt idx="15">
                  <c:v>10.763888888888888</c:v>
                </c:pt>
                <c:pt idx="16">
                  <c:v>11.458333333333332</c:v>
                </c:pt>
                <c:pt idx="17">
                  <c:v>12.152777777777777</c:v>
                </c:pt>
                <c:pt idx="18">
                  <c:v>12.847222222222221</c:v>
                </c:pt>
                <c:pt idx="19">
                  <c:v>13.541666666666666</c:v>
                </c:pt>
                <c:pt idx="20">
                  <c:v>14.236111111111111</c:v>
                </c:pt>
                <c:pt idx="21">
                  <c:v>14.930555555555554</c:v>
                </c:pt>
                <c:pt idx="22">
                  <c:v>15.624999999999998</c:v>
                </c:pt>
                <c:pt idx="23">
                  <c:v>16.319444444444443</c:v>
                </c:pt>
                <c:pt idx="24">
                  <c:v>17.013888888888886</c:v>
                </c:pt>
                <c:pt idx="25">
                  <c:v>17.708333333333332</c:v>
                </c:pt>
                <c:pt idx="26">
                  <c:v>18.402777777777775</c:v>
                </c:pt>
                <c:pt idx="27">
                  <c:v>19.097222222222221</c:v>
                </c:pt>
                <c:pt idx="28">
                  <c:v>19.791666666666664</c:v>
                </c:pt>
                <c:pt idx="29">
                  <c:v>20.486111111111111</c:v>
                </c:pt>
                <c:pt idx="30">
                  <c:v>21.180555555555554</c:v>
                </c:pt>
                <c:pt idx="31">
                  <c:v>21.875</c:v>
                </c:pt>
                <c:pt idx="32">
                  <c:v>22.569444444444443</c:v>
                </c:pt>
                <c:pt idx="33">
                  <c:v>23.263888888888886</c:v>
                </c:pt>
                <c:pt idx="34">
                  <c:v>23.958333333333332</c:v>
                </c:pt>
                <c:pt idx="35">
                  <c:v>24.652777777777775</c:v>
                </c:pt>
                <c:pt idx="36">
                  <c:v>25.347222222222221</c:v>
                </c:pt>
                <c:pt idx="37">
                  <c:v>26.041666666666664</c:v>
                </c:pt>
                <c:pt idx="38">
                  <c:v>26.736111111111111</c:v>
                </c:pt>
                <c:pt idx="39">
                  <c:v>27.430555555555554</c:v>
                </c:pt>
                <c:pt idx="40">
                  <c:v>28.125</c:v>
                </c:pt>
                <c:pt idx="41">
                  <c:v>28.819444444444443</c:v>
                </c:pt>
                <c:pt idx="42">
                  <c:v>29.513888888888886</c:v>
                </c:pt>
                <c:pt idx="43">
                  <c:v>30.208333333333332</c:v>
                </c:pt>
                <c:pt idx="44">
                  <c:v>30.902777777777775</c:v>
                </c:pt>
                <c:pt idx="45">
                  <c:v>31.597222222222221</c:v>
                </c:pt>
                <c:pt idx="46">
                  <c:v>32.291666666666664</c:v>
                </c:pt>
                <c:pt idx="47">
                  <c:v>32.986111111111107</c:v>
                </c:pt>
                <c:pt idx="48">
                  <c:v>33.68055555555555</c:v>
                </c:pt>
                <c:pt idx="49">
                  <c:v>34.375</c:v>
                </c:pt>
                <c:pt idx="50">
                  <c:v>35.069444444444443</c:v>
                </c:pt>
                <c:pt idx="51">
                  <c:v>35.763888888888886</c:v>
                </c:pt>
                <c:pt idx="52">
                  <c:v>36.458333333333329</c:v>
                </c:pt>
                <c:pt idx="53">
                  <c:v>37.152777777777779</c:v>
                </c:pt>
                <c:pt idx="54">
                  <c:v>37.847222222222221</c:v>
                </c:pt>
                <c:pt idx="55">
                  <c:v>38.541666666666664</c:v>
                </c:pt>
                <c:pt idx="56">
                  <c:v>39.236111111111107</c:v>
                </c:pt>
                <c:pt idx="57">
                  <c:v>39.93055555555555</c:v>
                </c:pt>
                <c:pt idx="58">
                  <c:v>40.625</c:v>
                </c:pt>
                <c:pt idx="59">
                  <c:v>41.319444444444443</c:v>
                </c:pt>
                <c:pt idx="60">
                  <c:v>42.013888888888886</c:v>
                </c:pt>
                <c:pt idx="61">
                  <c:v>42.708333333333329</c:v>
                </c:pt>
                <c:pt idx="62">
                  <c:v>43.402777777777779</c:v>
                </c:pt>
                <c:pt idx="63">
                  <c:v>44.097222222222221</c:v>
                </c:pt>
                <c:pt idx="64">
                  <c:v>44.791666666666664</c:v>
                </c:pt>
                <c:pt idx="65">
                  <c:v>45.486111111111107</c:v>
                </c:pt>
                <c:pt idx="66">
                  <c:v>46.18055555555555</c:v>
                </c:pt>
                <c:pt idx="67">
                  <c:v>46.875</c:v>
                </c:pt>
                <c:pt idx="68">
                  <c:v>47.569444444444443</c:v>
                </c:pt>
                <c:pt idx="69">
                  <c:v>48.263888888888886</c:v>
                </c:pt>
                <c:pt idx="70">
                  <c:v>48.958333333333329</c:v>
                </c:pt>
                <c:pt idx="71">
                  <c:v>49.652777777777779</c:v>
                </c:pt>
                <c:pt idx="72">
                  <c:v>50.347222222222221</c:v>
                </c:pt>
                <c:pt idx="73">
                  <c:v>51.041666666666664</c:v>
                </c:pt>
                <c:pt idx="74">
                  <c:v>51.736111111111107</c:v>
                </c:pt>
                <c:pt idx="75">
                  <c:v>52.43055555555555</c:v>
                </c:pt>
                <c:pt idx="76">
                  <c:v>53.125</c:v>
                </c:pt>
                <c:pt idx="77">
                  <c:v>53.819444444444443</c:v>
                </c:pt>
                <c:pt idx="78">
                  <c:v>54.513888888888886</c:v>
                </c:pt>
                <c:pt idx="79">
                  <c:v>55.208333333333329</c:v>
                </c:pt>
                <c:pt idx="80">
                  <c:v>55.902777777777779</c:v>
                </c:pt>
                <c:pt idx="81">
                  <c:v>56.597222222222221</c:v>
                </c:pt>
                <c:pt idx="82">
                  <c:v>57.291666666666664</c:v>
                </c:pt>
                <c:pt idx="83">
                  <c:v>57.986111111111107</c:v>
                </c:pt>
                <c:pt idx="84">
                  <c:v>58.68055555555555</c:v>
                </c:pt>
                <c:pt idx="85">
                  <c:v>59.375</c:v>
                </c:pt>
                <c:pt idx="86">
                  <c:v>60.069444444444443</c:v>
                </c:pt>
                <c:pt idx="87">
                  <c:v>60.763888888888886</c:v>
                </c:pt>
                <c:pt idx="88">
                  <c:v>61.458333333333329</c:v>
                </c:pt>
                <c:pt idx="89">
                  <c:v>62.152777777777771</c:v>
                </c:pt>
                <c:pt idx="90">
                  <c:v>62.847222222222221</c:v>
                </c:pt>
                <c:pt idx="91">
                  <c:v>63.541666666666664</c:v>
                </c:pt>
                <c:pt idx="92">
                  <c:v>64.236111111111114</c:v>
                </c:pt>
                <c:pt idx="93">
                  <c:v>64.930555555555557</c:v>
                </c:pt>
                <c:pt idx="94">
                  <c:v>65.625</c:v>
                </c:pt>
                <c:pt idx="95">
                  <c:v>66.319444444444443</c:v>
                </c:pt>
                <c:pt idx="96">
                  <c:v>67.013888888888886</c:v>
                </c:pt>
                <c:pt idx="97">
                  <c:v>67.708333333333343</c:v>
                </c:pt>
                <c:pt idx="98">
                  <c:v>68.402777777777786</c:v>
                </c:pt>
                <c:pt idx="99">
                  <c:v>69.097222222222229</c:v>
                </c:pt>
                <c:pt idx="100">
                  <c:v>69.791666666666671</c:v>
                </c:pt>
                <c:pt idx="101">
                  <c:v>70.486111111111114</c:v>
                </c:pt>
                <c:pt idx="102">
                  <c:v>71.180555555555557</c:v>
                </c:pt>
                <c:pt idx="103">
                  <c:v>71.875</c:v>
                </c:pt>
                <c:pt idx="104">
                  <c:v>72.569444444444443</c:v>
                </c:pt>
                <c:pt idx="105">
                  <c:v>73.263888888888886</c:v>
                </c:pt>
                <c:pt idx="106">
                  <c:v>73.958333333333343</c:v>
                </c:pt>
                <c:pt idx="107">
                  <c:v>74.652777777777786</c:v>
                </c:pt>
                <c:pt idx="108">
                  <c:v>75.347222222222229</c:v>
                </c:pt>
                <c:pt idx="109">
                  <c:v>76.041666666666671</c:v>
                </c:pt>
                <c:pt idx="110">
                  <c:v>76.736111111111114</c:v>
                </c:pt>
                <c:pt idx="111">
                  <c:v>77.430555555555557</c:v>
                </c:pt>
                <c:pt idx="112">
                  <c:v>78.125</c:v>
                </c:pt>
                <c:pt idx="113">
                  <c:v>78.819444444444443</c:v>
                </c:pt>
                <c:pt idx="114">
                  <c:v>79.513888888888886</c:v>
                </c:pt>
                <c:pt idx="115">
                  <c:v>80.208333333333343</c:v>
                </c:pt>
                <c:pt idx="116">
                  <c:v>80.902777777777786</c:v>
                </c:pt>
                <c:pt idx="117">
                  <c:v>81.597222222222229</c:v>
                </c:pt>
                <c:pt idx="118">
                  <c:v>82.291666666666671</c:v>
                </c:pt>
                <c:pt idx="119">
                  <c:v>82.986111111111114</c:v>
                </c:pt>
                <c:pt idx="120">
                  <c:v>83.680555555555557</c:v>
                </c:pt>
                <c:pt idx="121">
                  <c:v>84.375</c:v>
                </c:pt>
                <c:pt idx="122">
                  <c:v>85.069444444444443</c:v>
                </c:pt>
                <c:pt idx="123">
                  <c:v>85.763888888888886</c:v>
                </c:pt>
                <c:pt idx="124">
                  <c:v>86.458333333333343</c:v>
                </c:pt>
                <c:pt idx="125">
                  <c:v>87.152777777777786</c:v>
                </c:pt>
                <c:pt idx="126">
                  <c:v>87.847222222222229</c:v>
                </c:pt>
                <c:pt idx="127">
                  <c:v>88.541666666666671</c:v>
                </c:pt>
                <c:pt idx="128">
                  <c:v>89.236111111111114</c:v>
                </c:pt>
                <c:pt idx="129">
                  <c:v>89.930555555555557</c:v>
                </c:pt>
                <c:pt idx="130">
                  <c:v>90.625</c:v>
                </c:pt>
                <c:pt idx="131">
                  <c:v>91.319444444444443</c:v>
                </c:pt>
                <c:pt idx="132">
                  <c:v>92.013888888888886</c:v>
                </c:pt>
                <c:pt idx="133">
                  <c:v>92.708333333333343</c:v>
                </c:pt>
                <c:pt idx="134">
                  <c:v>93.402777777777786</c:v>
                </c:pt>
                <c:pt idx="135">
                  <c:v>94.097222222222229</c:v>
                </c:pt>
                <c:pt idx="136">
                  <c:v>94.791666666666671</c:v>
                </c:pt>
                <c:pt idx="137">
                  <c:v>95.486111111111114</c:v>
                </c:pt>
                <c:pt idx="138">
                  <c:v>96.180555555555557</c:v>
                </c:pt>
                <c:pt idx="139">
                  <c:v>96.875</c:v>
                </c:pt>
                <c:pt idx="140">
                  <c:v>97.569444444444443</c:v>
                </c:pt>
                <c:pt idx="141">
                  <c:v>98.263888888888886</c:v>
                </c:pt>
                <c:pt idx="142">
                  <c:v>98.958333333333343</c:v>
                </c:pt>
                <c:pt idx="143">
                  <c:v>99.652777777777786</c:v>
                </c:pt>
              </c:numCache>
            </c:numRef>
          </c:xVal>
          <c:yVal>
            <c:numRef>
              <c:f>'S&amp;P Returns on IG and HY'!$G$26:$G$169</c:f>
              <c:numCache>
                <c:formatCode>General</c:formatCode>
                <c:ptCount val="144"/>
                <c:pt idx="0">
                  <c:v>-6.4144470109190195</c:v>
                </c:pt>
                <c:pt idx="1">
                  <c:v>-5.4985096206098296</c:v>
                </c:pt>
                <c:pt idx="2">
                  <c:v>-4.1583515919665963</c:v>
                </c:pt>
                <c:pt idx="3">
                  <c:v>-3.8039423750472912</c:v>
                </c:pt>
                <c:pt idx="4">
                  <c:v>-3.6270796894894017</c:v>
                </c:pt>
                <c:pt idx="5">
                  <c:v>-3.4444537391388588</c:v>
                </c:pt>
                <c:pt idx="6">
                  <c:v>-3.2444938645392751</c:v>
                </c:pt>
                <c:pt idx="7">
                  <c:v>-3.2081607641556928</c:v>
                </c:pt>
                <c:pt idx="8">
                  <c:v>-2.91622485577851</c:v>
                </c:pt>
                <c:pt idx="9">
                  <c:v>-2.8853567348890796</c:v>
                </c:pt>
                <c:pt idx="10">
                  <c:v>-2.4760094597658804</c:v>
                </c:pt>
                <c:pt idx="11">
                  <c:v>-2.3980136125330338</c:v>
                </c:pt>
                <c:pt idx="12">
                  <c:v>-2.3666150000944421</c:v>
                </c:pt>
                <c:pt idx="13">
                  <c:v>-2.327596256567102</c:v>
                </c:pt>
                <c:pt idx="14">
                  <c:v>-2.18934556443602</c:v>
                </c:pt>
                <c:pt idx="15">
                  <c:v>-2.0969608219353946</c:v>
                </c:pt>
                <c:pt idx="16">
                  <c:v>-2.0722333327069506</c:v>
                </c:pt>
                <c:pt idx="17">
                  <c:v>-2.0674543719469156</c:v>
                </c:pt>
                <c:pt idx="18">
                  <c:v>-2.0328061690675399</c:v>
                </c:pt>
                <c:pt idx="19">
                  <c:v>-1.9264758862828741</c:v>
                </c:pt>
                <c:pt idx="20">
                  <c:v>-1.8131942210481211</c:v>
                </c:pt>
                <c:pt idx="21">
                  <c:v>-1.640637274834607</c:v>
                </c:pt>
                <c:pt idx="22">
                  <c:v>-1.5462862384030147</c:v>
                </c:pt>
                <c:pt idx="23">
                  <c:v>-1.459106650799638</c:v>
                </c:pt>
                <c:pt idx="24">
                  <c:v>-1.4159902495028978</c:v>
                </c:pt>
                <c:pt idx="25">
                  <c:v>-1.3622976654944936</c:v>
                </c:pt>
                <c:pt idx="26">
                  <c:v>-1.3225929038760302</c:v>
                </c:pt>
                <c:pt idx="27">
                  <c:v>-1.3189174099723493</c:v>
                </c:pt>
                <c:pt idx="28">
                  <c:v>-1.3117038516195374</c:v>
                </c:pt>
                <c:pt idx="29">
                  <c:v>-1.2426485711525617</c:v>
                </c:pt>
                <c:pt idx="30">
                  <c:v>-1.2369081491652585</c:v>
                </c:pt>
                <c:pt idx="31">
                  <c:v>-1.2315306476671668</c:v>
                </c:pt>
                <c:pt idx="32">
                  <c:v>-1.1957052249156281</c:v>
                </c:pt>
                <c:pt idx="33">
                  <c:v>-1.161662273804297</c:v>
                </c:pt>
                <c:pt idx="34">
                  <c:v>-1.1591554387325347</c:v>
                </c:pt>
                <c:pt idx="35">
                  <c:v>-1.1458441665296273</c:v>
                </c:pt>
                <c:pt idx="36">
                  <c:v>-1.0924478196852974</c:v>
                </c:pt>
                <c:pt idx="37">
                  <c:v>-1.0912706668086227</c:v>
                </c:pt>
                <c:pt idx="38">
                  <c:v>-1.0860475657539417</c:v>
                </c:pt>
                <c:pt idx="39">
                  <c:v>-1.0542238722111643</c:v>
                </c:pt>
                <c:pt idx="40">
                  <c:v>-1.0037666080123129</c:v>
                </c:pt>
                <c:pt idx="41">
                  <c:v>-0.97250002344103259</c:v>
                </c:pt>
                <c:pt idx="42">
                  <c:v>-0.91096437562072896</c:v>
                </c:pt>
                <c:pt idx="43">
                  <c:v>-0.86881567324215925</c:v>
                </c:pt>
                <c:pt idx="44">
                  <c:v>-0.84947435205176713</c:v>
                </c:pt>
                <c:pt idx="45">
                  <c:v>-0.81322058181053336</c:v>
                </c:pt>
                <c:pt idx="46">
                  <c:v>-0.8024053912740966</c:v>
                </c:pt>
                <c:pt idx="47">
                  <c:v>-0.78323253356016631</c:v>
                </c:pt>
                <c:pt idx="48">
                  <c:v>-0.77426758540165275</c:v>
                </c:pt>
                <c:pt idx="49">
                  <c:v>-0.76068732422878949</c:v>
                </c:pt>
                <c:pt idx="50">
                  <c:v>-0.76028132124532877</c:v>
                </c:pt>
                <c:pt idx="51">
                  <c:v>-0.75153605899196996</c:v>
                </c:pt>
                <c:pt idx="52">
                  <c:v>-0.72731481648190144</c:v>
                </c:pt>
                <c:pt idx="53">
                  <c:v>-0.71518525407645916</c:v>
                </c:pt>
                <c:pt idx="54">
                  <c:v>-0.71090048727853627</c:v>
                </c:pt>
                <c:pt idx="55">
                  <c:v>-0.69260541036168899</c:v>
                </c:pt>
                <c:pt idx="56">
                  <c:v>-0.65835238193357282</c:v>
                </c:pt>
                <c:pt idx="57">
                  <c:v>-0.65760377974441342</c:v>
                </c:pt>
                <c:pt idx="58">
                  <c:v>-0.65076373238944996</c:v>
                </c:pt>
                <c:pt idx="59">
                  <c:v>-0.64496969911525204</c:v>
                </c:pt>
                <c:pt idx="60">
                  <c:v>-0.64457008273053229</c:v>
                </c:pt>
                <c:pt idx="61">
                  <c:v>-0.63415019334093126</c:v>
                </c:pt>
                <c:pt idx="62">
                  <c:v>-0.60018892274800262</c:v>
                </c:pt>
                <c:pt idx="63">
                  <c:v>-0.59209124229443622</c:v>
                </c:pt>
                <c:pt idx="64">
                  <c:v>-0.59145152801659373</c:v>
                </c:pt>
                <c:pt idx="65">
                  <c:v>-0.56639994712204866</c:v>
                </c:pt>
                <c:pt idx="66">
                  <c:v>-0.53334375688255586</c:v>
                </c:pt>
                <c:pt idx="67">
                  <c:v>-0.52011651603658948</c:v>
                </c:pt>
                <c:pt idx="68">
                  <c:v>-0.51489554556213668</c:v>
                </c:pt>
                <c:pt idx="69">
                  <c:v>-0.5003577355554536</c:v>
                </c:pt>
                <c:pt idx="70">
                  <c:v>-0.41180114317989069</c:v>
                </c:pt>
                <c:pt idx="71">
                  <c:v>-0.39678061822529287</c:v>
                </c:pt>
                <c:pt idx="72">
                  <c:v>-0.39129536353526051</c:v>
                </c:pt>
                <c:pt idx="73">
                  <c:v>-0.38856945911305885</c:v>
                </c:pt>
                <c:pt idx="74">
                  <c:v>-0.33409869319838392</c:v>
                </c:pt>
                <c:pt idx="75">
                  <c:v>-0.31832448579568484</c:v>
                </c:pt>
                <c:pt idx="76">
                  <c:v>-0.28505372146313801</c:v>
                </c:pt>
                <c:pt idx="77">
                  <c:v>-0.25511107484785889</c:v>
                </c:pt>
                <c:pt idx="78">
                  <c:v>-0.24570607569441716</c:v>
                </c:pt>
                <c:pt idx="79">
                  <c:v>-0.21023787270852989</c:v>
                </c:pt>
                <c:pt idx="80">
                  <c:v>-0.1964145478948659</c:v>
                </c:pt>
                <c:pt idx="81">
                  <c:v>-0.18765182802896274</c:v>
                </c:pt>
                <c:pt idx="82">
                  <c:v>-0.1744238767493953</c:v>
                </c:pt>
                <c:pt idx="83">
                  <c:v>-0.12600116164798369</c:v>
                </c:pt>
                <c:pt idx="84">
                  <c:v>-0.10710867464023677</c:v>
                </c:pt>
                <c:pt idx="85">
                  <c:v>-0.10565290663764049</c:v>
                </c:pt>
                <c:pt idx="86">
                  <c:v>-8.1493641637859771E-2</c:v>
                </c:pt>
                <c:pt idx="87">
                  <c:v>-7.8358488974022089E-2</c:v>
                </c:pt>
                <c:pt idx="88">
                  <c:v>-6.5517018419526396E-2</c:v>
                </c:pt>
                <c:pt idx="89">
                  <c:v>-4.9060540900919491E-2</c:v>
                </c:pt>
                <c:pt idx="90">
                  <c:v>-4.6488544479532212E-2</c:v>
                </c:pt>
                <c:pt idx="91">
                  <c:v>-1.7227430562336554E-3</c:v>
                </c:pt>
                <c:pt idx="92">
                  <c:v>-5.0280583610806673E-4</c:v>
                </c:pt>
                <c:pt idx="93">
                  <c:v>6.9187076511110224E-3</c:v>
                </c:pt>
                <c:pt idx="94">
                  <c:v>1.4942327565881319E-2</c:v>
                </c:pt>
                <c:pt idx="95">
                  <c:v>4.192105160976034E-2</c:v>
                </c:pt>
                <c:pt idx="96">
                  <c:v>9.9160579558002837E-2</c:v>
                </c:pt>
                <c:pt idx="97">
                  <c:v>0.13834015298999414</c:v>
                </c:pt>
                <c:pt idx="98">
                  <c:v>0.14705789403273895</c:v>
                </c:pt>
                <c:pt idx="99">
                  <c:v>0.19459024498248212</c:v>
                </c:pt>
                <c:pt idx="100">
                  <c:v>0.19674981605092023</c:v>
                </c:pt>
                <c:pt idx="101">
                  <c:v>0.21635937369070346</c:v>
                </c:pt>
                <c:pt idx="102">
                  <c:v>0.29384581056419168</c:v>
                </c:pt>
                <c:pt idx="103">
                  <c:v>0.32922876547152047</c:v>
                </c:pt>
                <c:pt idx="104">
                  <c:v>0.36385378925894352</c:v>
                </c:pt>
                <c:pt idx="105">
                  <c:v>0.3818238017242751</c:v>
                </c:pt>
                <c:pt idx="106">
                  <c:v>0.43422952792831127</c:v>
                </c:pt>
                <c:pt idx="107">
                  <c:v>0.45655703468077546</c:v>
                </c:pt>
                <c:pt idx="108">
                  <c:v>0.46286743849788481</c:v>
                </c:pt>
                <c:pt idx="109">
                  <c:v>0.46535133785611416</c:v>
                </c:pt>
                <c:pt idx="110">
                  <c:v>0.5059905302552723</c:v>
                </c:pt>
                <c:pt idx="111">
                  <c:v>0.52204244553182977</c:v>
                </c:pt>
                <c:pt idx="112">
                  <c:v>0.57003932831998982</c:v>
                </c:pt>
                <c:pt idx="113">
                  <c:v>0.60545695484994577</c:v>
                </c:pt>
                <c:pt idx="114">
                  <c:v>0.62170789033490259</c:v>
                </c:pt>
                <c:pt idx="115">
                  <c:v>0.6614314135981223</c:v>
                </c:pt>
                <c:pt idx="116">
                  <c:v>0.66563400581997301</c:v>
                </c:pt>
                <c:pt idx="117">
                  <c:v>0.71415928382895077</c:v>
                </c:pt>
                <c:pt idx="118">
                  <c:v>0.72247237641396156</c:v>
                </c:pt>
                <c:pt idx="119">
                  <c:v>0.75000275070437161</c:v>
                </c:pt>
                <c:pt idx="120">
                  <c:v>0.77481360069533434</c:v>
                </c:pt>
                <c:pt idx="121">
                  <c:v>0.96051392618165299</c:v>
                </c:pt>
                <c:pt idx="122">
                  <c:v>1.0477623544518608</c:v>
                </c:pt>
                <c:pt idx="123">
                  <c:v>1.1361390315927991</c:v>
                </c:pt>
                <c:pt idx="124">
                  <c:v>1.1469974795813214</c:v>
                </c:pt>
                <c:pt idx="125">
                  <c:v>1.1966197620013621</c:v>
                </c:pt>
                <c:pt idx="126">
                  <c:v>1.2825188779607932</c:v>
                </c:pt>
                <c:pt idx="127">
                  <c:v>1.3277320563891768</c:v>
                </c:pt>
                <c:pt idx="128">
                  <c:v>1.3470752612152472</c:v>
                </c:pt>
                <c:pt idx="129">
                  <c:v>1.3989331437280539</c:v>
                </c:pt>
                <c:pt idx="130">
                  <c:v>1.5478775327014587</c:v>
                </c:pt>
                <c:pt idx="131">
                  <c:v>1.6334355421039572</c:v>
                </c:pt>
                <c:pt idx="132">
                  <c:v>1.6533174418119638</c:v>
                </c:pt>
                <c:pt idx="133">
                  <c:v>1.7191062695844579</c:v>
                </c:pt>
                <c:pt idx="134">
                  <c:v>1.8295849965341144</c:v>
                </c:pt>
                <c:pt idx="135">
                  <c:v>1.9065660162592846</c:v>
                </c:pt>
                <c:pt idx="136">
                  <c:v>2.2414143834970743</c:v>
                </c:pt>
                <c:pt idx="137">
                  <c:v>2.3258935867649115</c:v>
                </c:pt>
                <c:pt idx="138">
                  <c:v>2.3519703735642286</c:v>
                </c:pt>
                <c:pt idx="139">
                  <c:v>2.8398159760270083</c:v>
                </c:pt>
                <c:pt idx="140">
                  <c:v>3.8067585559901422</c:v>
                </c:pt>
                <c:pt idx="141">
                  <c:v>3.8973353840391622</c:v>
                </c:pt>
                <c:pt idx="142">
                  <c:v>6.6294821488282576</c:v>
                </c:pt>
                <c:pt idx="143">
                  <c:v>12.216042233728871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51E-9A46-AAB9-33EBF6ACCB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8777056"/>
        <c:axId val="743074512"/>
      </c:scatterChart>
      <c:valAx>
        <c:axId val="7887770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43074512"/>
        <c:crosses val="autoZero"/>
        <c:crossBetween val="midCat"/>
      </c:valAx>
      <c:valAx>
        <c:axId val="7430745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S&amp;P 500 Returns - HY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88777056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IG Credit Spread (%)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Data!$W$2:$W$145</c:f>
              <c:numCache>
                <c:formatCode>0.0000</c:formatCode>
                <c:ptCount val="144"/>
                <c:pt idx="0">
                  <c:v>-5.1387194346069833</c:v>
                </c:pt>
                <c:pt idx="1">
                  <c:v>2.3484491421995508</c:v>
                </c:pt>
                <c:pt idx="2">
                  <c:v>-0.92319478819390199</c:v>
                </c:pt>
                <c:pt idx="3">
                  <c:v>0.82434767702086331</c:v>
                </c:pt>
                <c:pt idx="4">
                  <c:v>2.0252115715454142</c:v>
                </c:pt>
                <c:pt idx="5">
                  <c:v>-1.4083021680096535</c:v>
                </c:pt>
                <c:pt idx="6">
                  <c:v>-0.89531690384682072</c:v>
                </c:pt>
                <c:pt idx="7">
                  <c:v>2.0846292055168538</c:v>
                </c:pt>
                <c:pt idx="8">
                  <c:v>0.18815829103602541</c:v>
                </c:pt>
                <c:pt idx="9">
                  <c:v>-0.30403984882426438</c:v>
                </c:pt>
                <c:pt idx="10">
                  <c:v>1.2224064307019109</c:v>
                </c:pt>
                <c:pt idx="11">
                  <c:v>1.1188106566869516</c:v>
                </c:pt>
                <c:pt idx="12">
                  <c:v>-0.39386738542473537</c:v>
                </c:pt>
                <c:pt idx="13">
                  <c:v>0.23199314515441699</c:v>
                </c:pt>
                <c:pt idx="14">
                  <c:v>3.0510319131719719</c:v>
                </c:pt>
                <c:pt idx="15">
                  <c:v>-0.57569475557887417</c:v>
                </c:pt>
                <c:pt idx="16">
                  <c:v>0.34508593485068878</c:v>
                </c:pt>
                <c:pt idx="17">
                  <c:v>2.4668637873530348</c:v>
                </c:pt>
                <c:pt idx="18">
                  <c:v>1.3828982966028573</c:v>
                </c:pt>
                <c:pt idx="19">
                  <c:v>5.9348906527047323</c:v>
                </c:pt>
                <c:pt idx="20">
                  <c:v>-3.7396932352934624</c:v>
                </c:pt>
                <c:pt idx="21">
                  <c:v>1.0994857308880885</c:v>
                </c:pt>
                <c:pt idx="22">
                  <c:v>-2.3264834455409638</c:v>
                </c:pt>
                <c:pt idx="23">
                  <c:v>0.27399978476401698</c:v>
                </c:pt>
                <c:pt idx="24">
                  <c:v>-3.7708043023703515</c:v>
                </c:pt>
                <c:pt idx="25">
                  <c:v>2.4312561086316236</c:v>
                </c:pt>
                <c:pt idx="26">
                  <c:v>-2.163876747359093</c:v>
                </c:pt>
                <c:pt idx="27">
                  <c:v>0.5025858772171532</c:v>
                </c:pt>
                <c:pt idx="28">
                  <c:v>1.5012701524955124E-2</c:v>
                </c:pt>
                <c:pt idx="29">
                  <c:v>2.0734306549589543</c:v>
                </c:pt>
                <c:pt idx="30">
                  <c:v>-1.4165022256805997</c:v>
                </c:pt>
                <c:pt idx="31">
                  <c:v>0.66815720708482551</c:v>
                </c:pt>
                <c:pt idx="32">
                  <c:v>-0.80775400785913054</c:v>
                </c:pt>
                <c:pt idx="33">
                  <c:v>3.5954167685518694</c:v>
                </c:pt>
                <c:pt idx="34">
                  <c:v>0.91190414214845739</c:v>
                </c:pt>
                <c:pt idx="35">
                  <c:v>0.85468808124803441</c:v>
                </c:pt>
                <c:pt idx="36">
                  <c:v>3.5664770305249829</c:v>
                </c:pt>
                <c:pt idx="37">
                  <c:v>5.0465169683722939</c:v>
                </c:pt>
                <c:pt idx="38">
                  <c:v>3.4210472846484357</c:v>
                </c:pt>
                <c:pt idx="39">
                  <c:v>-1.9050206096671818</c:v>
                </c:pt>
                <c:pt idx="40">
                  <c:v>-4.4556526959210885</c:v>
                </c:pt>
                <c:pt idx="41">
                  <c:v>-1.6600067055434231</c:v>
                </c:pt>
                <c:pt idx="42">
                  <c:v>2.9503559863160107</c:v>
                </c:pt>
                <c:pt idx="43">
                  <c:v>-1.5202579266307075</c:v>
                </c:pt>
                <c:pt idx="44">
                  <c:v>2.6350509941130018</c:v>
                </c:pt>
                <c:pt idx="45">
                  <c:v>-0.17390455263532517</c:v>
                </c:pt>
                <c:pt idx="46">
                  <c:v>0.72625925846252182</c:v>
                </c:pt>
                <c:pt idx="47">
                  <c:v>1.5534992085354618</c:v>
                </c:pt>
                <c:pt idx="48">
                  <c:v>-1.3128763768352263</c:v>
                </c:pt>
                <c:pt idx="49">
                  <c:v>1.0235515044919676</c:v>
                </c:pt>
                <c:pt idx="50">
                  <c:v>0.87915557139737288</c:v>
                </c:pt>
                <c:pt idx="51">
                  <c:v>-2.0519560737810645</c:v>
                </c:pt>
                <c:pt idx="52">
                  <c:v>0.34628136161819018</c:v>
                </c:pt>
                <c:pt idx="53">
                  <c:v>-0.35419358995709715</c:v>
                </c:pt>
                <c:pt idx="54">
                  <c:v>1.858001601839639</c:v>
                </c:pt>
                <c:pt idx="55">
                  <c:v>-0.8877688063153264</c:v>
                </c:pt>
                <c:pt idx="56">
                  <c:v>-1.3769514272096248</c:v>
                </c:pt>
                <c:pt idx="57">
                  <c:v>0.20136749777207796</c:v>
                </c:pt>
                <c:pt idx="58">
                  <c:v>0.12731740286215751</c:v>
                </c:pt>
                <c:pt idx="59">
                  <c:v>-0.371473926792939</c:v>
                </c:pt>
                <c:pt idx="60">
                  <c:v>-0.41320150136606915</c:v>
                </c:pt>
                <c:pt idx="61">
                  <c:v>0.2551971584802315</c:v>
                </c:pt>
                <c:pt idx="62">
                  <c:v>0.54532839444733927</c:v>
                </c:pt>
                <c:pt idx="63">
                  <c:v>-1.1987084485525838</c:v>
                </c:pt>
                <c:pt idx="64">
                  <c:v>0.20365796077345244</c:v>
                </c:pt>
                <c:pt idx="65">
                  <c:v>-2.1905269483508447</c:v>
                </c:pt>
                <c:pt idx="66">
                  <c:v>1.357859374712971</c:v>
                </c:pt>
                <c:pt idx="67">
                  <c:v>1.0678641457547986</c:v>
                </c:pt>
                <c:pt idx="68">
                  <c:v>-4.062169850005945E-3</c:v>
                </c:pt>
                <c:pt idx="69">
                  <c:v>-0.25340601070870289</c:v>
                </c:pt>
                <c:pt idx="70">
                  <c:v>-0.20371933742089599</c:v>
                </c:pt>
                <c:pt idx="71">
                  <c:v>-6.8036926882462212E-2</c:v>
                </c:pt>
                <c:pt idx="72">
                  <c:v>3.0998066900760599</c:v>
                </c:pt>
                <c:pt idx="73">
                  <c:v>-1.5756409548922983</c:v>
                </c:pt>
                <c:pt idx="74">
                  <c:v>-6.5893968100260576</c:v>
                </c:pt>
                <c:pt idx="75">
                  <c:v>7.3665586735762902</c:v>
                </c:pt>
                <c:pt idx="76">
                  <c:v>1.0916617932992878</c:v>
                </c:pt>
                <c:pt idx="77">
                  <c:v>1.0163751457846373</c:v>
                </c:pt>
                <c:pt idx="78">
                  <c:v>2.1435700279400138</c:v>
                </c:pt>
                <c:pt idx="79">
                  <c:v>-1.204767361587278</c:v>
                </c:pt>
                <c:pt idx="80">
                  <c:v>-1.9469169716171044E-3</c:v>
                </c:pt>
                <c:pt idx="81">
                  <c:v>0.28979934223811843</c:v>
                </c:pt>
                <c:pt idx="82">
                  <c:v>2.3639052440224098</c:v>
                </c:pt>
                <c:pt idx="83">
                  <c:v>1.5490140567033936</c:v>
                </c:pt>
                <c:pt idx="84">
                  <c:v>-1.6477775578392471</c:v>
                </c:pt>
                <c:pt idx="85">
                  <c:v>-3.4798493915758022</c:v>
                </c:pt>
                <c:pt idx="86">
                  <c:v>1.7190145145590065E-2</c:v>
                </c:pt>
                <c:pt idx="87">
                  <c:v>0.3804319559628988</c:v>
                </c:pt>
                <c:pt idx="88">
                  <c:v>0.31001431749484604</c:v>
                </c:pt>
                <c:pt idx="89">
                  <c:v>0.85502216530240871</c:v>
                </c:pt>
                <c:pt idx="90">
                  <c:v>1.6132309956574875</c:v>
                </c:pt>
                <c:pt idx="91">
                  <c:v>-0.22870458134476115</c:v>
                </c:pt>
                <c:pt idx="92">
                  <c:v>-2.8087660797989829</c:v>
                </c:pt>
                <c:pt idx="93">
                  <c:v>0.69722145982741013</c:v>
                </c:pt>
                <c:pt idx="94">
                  <c:v>0.99547551042253035</c:v>
                </c:pt>
                <c:pt idx="95">
                  <c:v>-1.12353903746557</c:v>
                </c:pt>
                <c:pt idx="96">
                  <c:v>-4.0342794589013895</c:v>
                </c:pt>
                <c:pt idx="97">
                  <c:v>-3.1651689144312303</c:v>
                </c:pt>
                <c:pt idx="98">
                  <c:v>0.13326767049501004</c:v>
                </c:pt>
                <c:pt idx="99">
                  <c:v>-3.8653528730622675</c:v>
                </c:pt>
                <c:pt idx="100">
                  <c:v>-1.556403524525015</c:v>
                </c:pt>
                <c:pt idx="101">
                  <c:v>-3.4565692008015478</c:v>
                </c:pt>
                <c:pt idx="102">
                  <c:v>4.373127894277208</c:v>
                </c:pt>
                <c:pt idx="103">
                  <c:v>-8.1411935429504894</c:v>
                </c:pt>
                <c:pt idx="104">
                  <c:v>-9.1415438687040886</c:v>
                </c:pt>
                <c:pt idx="105">
                  <c:v>4.9981561061963475</c:v>
                </c:pt>
                <c:pt idx="106">
                  <c:v>3.7315693621188237</c:v>
                </c:pt>
                <c:pt idx="107">
                  <c:v>-1.6930601373866518</c:v>
                </c:pt>
                <c:pt idx="108">
                  <c:v>3.2693974797429637</c:v>
                </c:pt>
                <c:pt idx="109">
                  <c:v>-3.4044713219137206</c:v>
                </c:pt>
                <c:pt idx="110">
                  <c:v>1.1229372544900045</c:v>
                </c:pt>
                <c:pt idx="111">
                  <c:v>-4.5251950847142508E-2</c:v>
                </c:pt>
                <c:pt idx="112">
                  <c:v>-3.2207902839867755</c:v>
                </c:pt>
                <c:pt idx="113">
                  <c:v>-1.5304704600210068</c:v>
                </c:pt>
                <c:pt idx="114">
                  <c:v>2.0217015238879137</c:v>
                </c:pt>
                <c:pt idx="115">
                  <c:v>-0.73548575994241516</c:v>
                </c:pt>
                <c:pt idx="116">
                  <c:v>-0.41335762746622851</c:v>
                </c:pt>
                <c:pt idx="117">
                  <c:v>-0.46656124638286833</c:v>
                </c:pt>
                <c:pt idx="118">
                  <c:v>3.4138089910941942</c:v>
                </c:pt>
                <c:pt idx="119">
                  <c:v>4.4012225363925044</c:v>
                </c:pt>
                <c:pt idx="120">
                  <c:v>-1.5196917747234271</c:v>
                </c:pt>
                <c:pt idx="121">
                  <c:v>-1.062073375074631</c:v>
                </c:pt>
                <c:pt idx="122">
                  <c:v>1.477489362217179</c:v>
                </c:pt>
                <c:pt idx="123">
                  <c:v>-2.3781283099238917</c:v>
                </c:pt>
                <c:pt idx="124">
                  <c:v>0.47811004572060589</c:v>
                </c:pt>
                <c:pt idx="125">
                  <c:v>0.44551959930867541</c:v>
                </c:pt>
                <c:pt idx="126">
                  <c:v>1.3614075313738643</c:v>
                </c:pt>
                <c:pt idx="127">
                  <c:v>-7.7650136808625758E-3</c:v>
                </c:pt>
                <c:pt idx="128">
                  <c:v>-0.12972116439056908</c:v>
                </c:pt>
                <c:pt idx="129">
                  <c:v>-1.6695833580904584</c:v>
                </c:pt>
                <c:pt idx="130">
                  <c:v>1.4530967525660716</c:v>
                </c:pt>
                <c:pt idx="131">
                  <c:v>-0.78143310266141697</c:v>
                </c:pt>
                <c:pt idx="132">
                  <c:v>0.34908255979636738</c:v>
                </c:pt>
                <c:pt idx="133">
                  <c:v>0.13535969057984193</c:v>
                </c:pt>
                <c:pt idx="134">
                  <c:v>-1.8716624465378884</c:v>
                </c:pt>
                <c:pt idx="135">
                  <c:v>1.2656565827966442</c:v>
                </c:pt>
                <c:pt idx="136">
                  <c:v>-0.42014204580768427</c:v>
                </c:pt>
                <c:pt idx="137">
                  <c:v>1.4055246320234833</c:v>
                </c:pt>
                <c:pt idx="138">
                  <c:v>-2.3798636141916241E-2</c:v>
                </c:pt>
                <c:pt idx="139">
                  <c:v>-0.94564972218921284</c:v>
                </c:pt>
                <c:pt idx="140">
                  <c:v>0.73546966098117694</c:v>
                </c:pt>
                <c:pt idx="141">
                  <c:v>1.7116922764778253</c:v>
                </c:pt>
                <c:pt idx="142">
                  <c:v>-0.26362362275971585</c:v>
                </c:pt>
                <c:pt idx="143">
                  <c:v>0.22777557059858333</c:v>
                </c:pt>
              </c:numCache>
            </c:numRef>
          </c:xVal>
          <c:yVal>
            <c:numRef>
              <c:f>'Dinflation on Credit, SP-HY'!$C$27:$C$170</c:f>
              <c:numCache>
                <c:formatCode>General</c:formatCode>
                <c:ptCount val="144"/>
                <c:pt idx="0">
                  <c:v>-1.8155697995924487E-2</c:v>
                </c:pt>
                <c:pt idx="1">
                  <c:v>1.825319577705474E-2</c:v>
                </c:pt>
                <c:pt idx="2">
                  <c:v>9.5324943562586396E-3</c:v>
                </c:pt>
                <c:pt idx="3">
                  <c:v>-6.4844969139463832E-4</c:v>
                </c:pt>
                <c:pt idx="4">
                  <c:v>5.4973890388598096E-3</c:v>
                </c:pt>
                <c:pt idx="5">
                  <c:v>-1.2641763117690278E-2</c:v>
                </c:pt>
                <c:pt idx="6">
                  <c:v>7.4651111126860341E-3</c:v>
                </c:pt>
                <c:pt idx="7">
                  <c:v>-1.1006218417855856E-2</c:v>
                </c:pt>
                <c:pt idx="8">
                  <c:v>4.690080403542192E-3</c:v>
                </c:pt>
                <c:pt idx="9">
                  <c:v>3.1923745054635881E-3</c:v>
                </c:pt>
                <c:pt idx="10">
                  <c:v>9.897345156003691E-3</c:v>
                </c:pt>
                <c:pt idx="11">
                  <c:v>-9.766927293557489E-3</c:v>
                </c:pt>
                <c:pt idx="12">
                  <c:v>-3.5717953885432349E-3</c:v>
                </c:pt>
                <c:pt idx="13">
                  <c:v>4.3799480164150306E-3</c:v>
                </c:pt>
                <c:pt idx="14">
                  <c:v>9.6885649490517783E-3</c:v>
                </c:pt>
                <c:pt idx="15">
                  <c:v>-1.0859114481499225E-2</c:v>
                </c:pt>
                <c:pt idx="16">
                  <c:v>-2.1243052427999731E-2</c:v>
                </c:pt>
                <c:pt idx="17">
                  <c:v>3.5067837864436943E-4</c:v>
                </c:pt>
                <c:pt idx="18">
                  <c:v>8.3108973810944523E-3</c:v>
                </c:pt>
                <c:pt idx="19">
                  <c:v>-1.7356385549595794E-2</c:v>
                </c:pt>
                <c:pt idx="20">
                  <c:v>-1.3673203581842375E-3</c:v>
                </c:pt>
                <c:pt idx="21">
                  <c:v>1.6668607460848063E-2</c:v>
                </c:pt>
                <c:pt idx="22">
                  <c:v>6.8545357988893385E-3</c:v>
                </c:pt>
                <c:pt idx="23">
                  <c:v>-8.2702256940921301E-3</c:v>
                </c:pt>
                <c:pt idx="24">
                  <c:v>7.4037563923411848E-4</c:v>
                </c:pt>
                <c:pt idx="25">
                  <c:v>-1.1357363788332617E-2</c:v>
                </c:pt>
                <c:pt idx="26">
                  <c:v>-1.9976257346073827E-2</c:v>
                </c:pt>
                <c:pt idx="27">
                  <c:v>1.6982555283206344E-2</c:v>
                </c:pt>
                <c:pt idx="28">
                  <c:v>-1.1412972444286851E-2</c:v>
                </c:pt>
                <c:pt idx="29">
                  <c:v>1.4079891298688814E-2</c:v>
                </c:pt>
                <c:pt idx="30">
                  <c:v>-9.3734789013792119E-3</c:v>
                </c:pt>
                <c:pt idx="31">
                  <c:v>5.7068699179901455E-3</c:v>
                </c:pt>
                <c:pt idx="32">
                  <c:v>-3.165748207141518E-2</c:v>
                </c:pt>
                <c:pt idx="33">
                  <c:v>3.4331436585160649E-2</c:v>
                </c:pt>
                <c:pt idx="34">
                  <c:v>-6.7232045971089838E-4</c:v>
                </c:pt>
                <c:pt idx="35">
                  <c:v>-8.3297754655233518E-3</c:v>
                </c:pt>
                <c:pt idx="36">
                  <c:v>2.2546357010617871E-2</c:v>
                </c:pt>
                <c:pt idx="37">
                  <c:v>1.5275153691526711E-2</c:v>
                </c:pt>
                <c:pt idx="38">
                  <c:v>1.7031150427690406E-2</c:v>
                </c:pt>
                <c:pt idx="39">
                  <c:v>-1.5364710869731121E-2</c:v>
                </c:pt>
                <c:pt idx="40">
                  <c:v>2.4729520952868553E-2</c:v>
                </c:pt>
                <c:pt idx="41">
                  <c:v>-1.8700278983418455E-2</c:v>
                </c:pt>
                <c:pt idx="42">
                  <c:v>6.2520232335519232E-3</c:v>
                </c:pt>
                <c:pt idx="43">
                  <c:v>1.2740045250830299E-2</c:v>
                </c:pt>
                <c:pt idx="44">
                  <c:v>-2.430733088558458E-2</c:v>
                </c:pt>
                <c:pt idx="45">
                  <c:v>2.0443545980392087E-2</c:v>
                </c:pt>
                <c:pt idx="46">
                  <c:v>-2.2089081749698099E-2</c:v>
                </c:pt>
                <c:pt idx="47">
                  <c:v>-6.7758789623374172E-3</c:v>
                </c:pt>
                <c:pt idx="48">
                  <c:v>-1.2891190584543135E-2</c:v>
                </c:pt>
                <c:pt idx="49">
                  <c:v>-1.0431461561088689E-2</c:v>
                </c:pt>
                <c:pt idx="50">
                  <c:v>5.6933104860934624E-3</c:v>
                </c:pt>
                <c:pt idx="51">
                  <c:v>-4.9338696940511486E-3</c:v>
                </c:pt>
                <c:pt idx="52">
                  <c:v>-1.0619477098897139E-2</c:v>
                </c:pt>
                <c:pt idx="53">
                  <c:v>-5.8123802197156127E-3</c:v>
                </c:pt>
                <c:pt idx="54">
                  <c:v>-3.723004691108844E-3</c:v>
                </c:pt>
                <c:pt idx="55">
                  <c:v>2.5660886083279308E-3</c:v>
                </c:pt>
                <c:pt idx="56">
                  <c:v>-1.2279028971763785E-2</c:v>
                </c:pt>
                <c:pt idx="57">
                  <c:v>2.6524783612986921E-2</c:v>
                </c:pt>
                <c:pt idx="58">
                  <c:v>-1.4544285573534935E-2</c:v>
                </c:pt>
                <c:pt idx="59">
                  <c:v>2.9598409830604933E-3</c:v>
                </c:pt>
                <c:pt idx="60">
                  <c:v>-7.8554393702475692E-3</c:v>
                </c:pt>
                <c:pt idx="61">
                  <c:v>-7.2710170193046111E-3</c:v>
                </c:pt>
                <c:pt idx="62">
                  <c:v>3.9477905858803265E-3</c:v>
                </c:pt>
                <c:pt idx="63">
                  <c:v>1.6691803458980276E-2</c:v>
                </c:pt>
                <c:pt idx="64">
                  <c:v>-1.7061854739221748E-2</c:v>
                </c:pt>
                <c:pt idx="65">
                  <c:v>5.0496433131027169E-3</c:v>
                </c:pt>
                <c:pt idx="66">
                  <c:v>1.8312341540840799E-2</c:v>
                </c:pt>
                <c:pt idx="67">
                  <c:v>1.5261273228033737E-2</c:v>
                </c:pt>
                <c:pt idx="68">
                  <c:v>1.8336812520515387E-3</c:v>
                </c:pt>
                <c:pt idx="69">
                  <c:v>-4.7255540259349506E-2</c:v>
                </c:pt>
                <c:pt idx="70">
                  <c:v>-1.5820308050903155E-2</c:v>
                </c:pt>
                <c:pt idx="71">
                  <c:v>-4.8478580245722297E-3</c:v>
                </c:pt>
                <c:pt idx="72">
                  <c:v>5.5287056514189414E-3</c:v>
                </c:pt>
                <c:pt idx="73">
                  <c:v>-1.6328263507191444E-2</c:v>
                </c:pt>
                <c:pt idx="74">
                  <c:v>6.7029534544238156E-3</c:v>
                </c:pt>
                <c:pt idx="75">
                  <c:v>-1.7247176076681969E-2</c:v>
                </c:pt>
                <c:pt idx="76">
                  <c:v>1.7604197048109144E-2</c:v>
                </c:pt>
                <c:pt idx="77">
                  <c:v>-1.870754798789416E-2</c:v>
                </c:pt>
                <c:pt idx="78">
                  <c:v>7.2828211148686095E-3</c:v>
                </c:pt>
                <c:pt idx="79">
                  <c:v>9.7820604069536535E-3</c:v>
                </c:pt>
                <c:pt idx="80">
                  <c:v>-5.5170215499574585E-3</c:v>
                </c:pt>
                <c:pt idx="81">
                  <c:v>4.5432858063616105E-4</c:v>
                </c:pt>
                <c:pt idx="82">
                  <c:v>-9.6230257072330572E-3</c:v>
                </c:pt>
                <c:pt idx="83">
                  <c:v>-1.44164803843954E-2</c:v>
                </c:pt>
                <c:pt idx="84">
                  <c:v>9.24324287723945E-3</c:v>
                </c:pt>
                <c:pt idx="85">
                  <c:v>-3.5054012263593497E-3</c:v>
                </c:pt>
                <c:pt idx="86">
                  <c:v>1.4744473979358848E-2</c:v>
                </c:pt>
                <c:pt idx="87">
                  <c:v>-1.8865188817235621E-2</c:v>
                </c:pt>
                <c:pt idx="88">
                  <c:v>1.6445073855761959E-2</c:v>
                </c:pt>
                <c:pt idx="89">
                  <c:v>-3.1741297001261617E-2</c:v>
                </c:pt>
                <c:pt idx="90">
                  <c:v>1.6753269846038844E-2</c:v>
                </c:pt>
                <c:pt idx="91">
                  <c:v>1.8088046981078656E-3</c:v>
                </c:pt>
                <c:pt idx="92">
                  <c:v>3.6243649218849823E-2</c:v>
                </c:pt>
                <c:pt idx="93">
                  <c:v>2.4737216342295299E-2</c:v>
                </c:pt>
                <c:pt idx="94">
                  <c:v>2.9862903704947492E-2</c:v>
                </c:pt>
                <c:pt idx="95">
                  <c:v>-5.5752840010393934E-2</c:v>
                </c:pt>
                <c:pt idx="96">
                  <c:v>2.4639327831224328E-2</c:v>
                </c:pt>
                <c:pt idx="97">
                  <c:v>2.7396288755533654E-2</c:v>
                </c:pt>
                <c:pt idx="98">
                  <c:v>2.9942594920099347E-2</c:v>
                </c:pt>
                <c:pt idx="99">
                  <c:v>-1.2836469712027843E-3</c:v>
                </c:pt>
                <c:pt idx="100">
                  <c:v>-2.2229892474997542E-2</c:v>
                </c:pt>
                <c:pt idx="101">
                  <c:v>-9.8953866266016238E-2</c:v>
                </c:pt>
                <c:pt idx="102">
                  <c:v>1.4553962745757959E-2</c:v>
                </c:pt>
                <c:pt idx="103">
                  <c:v>7.9859104716635612E-2</c:v>
                </c:pt>
                <c:pt idx="104">
                  <c:v>-7.0037390691389284E-2</c:v>
                </c:pt>
                <c:pt idx="105">
                  <c:v>-7.5853667780603207E-3</c:v>
                </c:pt>
                <c:pt idx="106">
                  <c:v>-4.5806993702224991E-3</c:v>
                </c:pt>
                <c:pt idx="107">
                  <c:v>-5.5478991235451879E-2</c:v>
                </c:pt>
                <c:pt idx="108">
                  <c:v>-4.8498906023216326E-2</c:v>
                </c:pt>
                <c:pt idx="109">
                  <c:v>3.5461356334944509E-2</c:v>
                </c:pt>
                <c:pt idx="110">
                  <c:v>3.2513823719897736E-2</c:v>
                </c:pt>
                <c:pt idx="111">
                  <c:v>-1.6698189237766201E-2</c:v>
                </c:pt>
                <c:pt idx="112">
                  <c:v>1.5215203489529892E-2</c:v>
                </c:pt>
                <c:pt idx="113">
                  <c:v>1.2660284829922479E-2</c:v>
                </c:pt>
                <c:pt idx="114">
                  <c:v>-1.2672196793390773E-2</c:v>
                </c:pt>
                <c:pt idx="115">
                  <c:v>1.2426928929033219E-2</c:v>
                </c:pt>
                <c:pt idx="116">
                  <c:v>4.0598254264422914E-2</c:v>
                </c:pt>
                <c:pt idx="117">
                  <c:v>1.5268204269383509E-3</c:v>
                </c:pt>
                <c:pt idx="118">
                  <c:v>-3.5762656465516685E-3</c:v>
                </c:pt>
                <c:pt idx="119">
                  <c:v>4.8670249898621482E-3</c:v>
                </c:pt>
                <c:pt idx="120">
                  <c:v>1.650161405336394E-2</c:v>
                </c:pt>
                <c:pt idx="121">
                  <c:v>4.951192728919974E-3</c:v>
                </c:pt>
                <c:pt idx="122">
                  <c:v>3.2040100833439257E-2</c:v>
                </c:pt>
                <c:pt idx="123">
                  <c:v>2.421289738357648E-2</c:v>
                </c:pt>
                <c:pt idx="124">
                  <c:v>4.2760540306013908E-3</c:v>
                </c:pt>
                <c:pt idx="125">
                  <c:v>-1.9313278935819141E-2</c:v>
                </c:pt>
                <c:pt idx="126">
                  <c:v>-2.3849046245055794E-3</c:v>
                </c:pt>
                <c:pt idx="127">
                  <c:v>-8.9528507479155472E-3</c:v>
                </c:pt>
                <c:pt idx="128">
                  <c:v>2.1800774059582695E-5</c:v>
                </c:pt>
                <c:pt idx="129">
                  <c:v>2.4168923669333351E-2</c:v>
                </c:pt>
                <c:pt idx="130">
                  <c:v>1.2578585451748461E-2</c:v>
                </c:pt>
                <c:pt idx="131">
                  <c:v>-1.0206937828291813E-3</c:v>
                </c:pt>
                <c:pt idx="132">
                  <c:v>2.5024796411668264E-2</c:v>
                </c:pt>
                <c:pt idx="133">
                  <c:v>-1.5354176566809855E-2</c:v>
                </c:pt>
                <c:pt idx="134">
                  <c:v>2.0189404424938051E-2</c:v>
                </c:pt>
                <c:pt idx="135">
                  <c:v>-2.5005944328167128E-2</c:v>
                </c:pt>
                <c:pt idx="136">
                  <c:v>-2.0828780415566017E-6</c:v>
                </c:pt>
                <c:pt idx="137">
                  <c:v>-2.4469822846283042E-2</c:v>
                </c:pt>
                <c:pt idx="138">
                  <c:v>1.1672689094362643E-2</c:v>
                </c:pt>
                <c:pt idx="139">
                  <c:v>-6.1072174581154812E-3</c:v>
                </c:pt>
                <c:pt idx="140">
                  <c:v>8.1664379688495825E-3</c:v>
                </c:pt>
                <c:pt idx="141">
                  <c:v>-1.0506236278152888E-2</c:v>
                </c:pt>
                <c:pt idx="142">
                  <c:v>1.3379374288085671E-2</c:v>
                </c:pt>
                <c:pt idx="143">
                  <c:v>-3.8517921160456641E-3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6C4-3148-A8F7-28E584FB8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9542496"/>
        <c:axId val="1499544784"/>
      </c:scatterChart>
      <c:valAx>
        <c:axId val="1499542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IG Credit Spread (%)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1499544784"/>
        <c:crosses val="autoZero"/>
        <c:crossBetween val="midCat"/>
      </c:valAx>
      <c:valAx>
        <c:axId val="14995447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99542496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IG Credit Spread (%)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Inflation Change (%)</c:v>
          </c:tx>
          <c:spPr>
            <a:ln w="19050">
              <a:noFill/>
            </a:ln>
          </c:spPr>
          <c:xVal>
            <c:numRef>
              <c:f>Data!$W$2:$W$145</c:f>
              <c:numCache>
                <c:formatCode>0.0000</c:formatCode>
                <c:ptCount val="144"/>
                <c:pt idx="0">
                  <c:v>-5.1387194346069833</c:v>
                </c:pt>
                <c:pt idx="1">
                  <c:v>2.3484491421995508</c:v>
                </c:pt>
                <c:pt idx="2">
                  <c:v>-0.92319478819390199</c:v>
                </c:pt>
                <c:pt idx="3">
                  <c:v>0.82434767702086331</c:v>
                </c:pt>
                <c:pt idx="4">
                  <c:v>2.0252115715454142</c:v>
                </c:pt>
                <c:pt idx="5">
                  <c:v>-1.4083021680096535</c:v>
                </c:pt>
                <c:pt idx="6">
                  <c:v>-0.89531690384682072</c:v>
                </c:pt>
                <c:pt idx="7">
                  <c:v>2.0846292055168538</c:v>
                </c:pt>
                <c:pt idx="8">
                  <c:v>0.18815829103602541</c:v>
                </c:pt>
                <c:pt idx="9">
                  <c:v>-0.30403984882426438</c:v>
                </c:pt>
                <c:pt idx="10">
                  <c:v>1.2224064307019109</c:v>
                </c:pt>
                <c:pt idx="11">
                  <c:v>1.1188106566869516</c:v>
                </c:pt>
                <c:pt idx="12">
                  <c:v>-0.39386738542473537</c:v>
                </c:pt>
                <c:pt idx="13">
                  <c:v>0.23199314515441699</c:v>
                </c:pt>
                <c:pt idx="14">
                  <c:v>3.0510319131719719</c:v>
                </c:pt>
                <c:pt idx="15">
                  <c:v>-0.57569475557887417</c:v>
                </c:pt>
                <c:pt idx="16">
                  <c:v>0.34508593485068878</c:v>
                </c:pt>
                <c:pt idx="17">
                  <c:v>2.4668637873530348</c:v>
                </c:pt>
                <c:pt idx="18">
                  <c:v>1.3828982966028573</c:v>
                </c:pt>
                <c:pt idx="19">
                  <c:v>5.9348906527047323</c:v>
                </c:pt>
                <c:pt idx="20">
                  <c:v>-3.7396932352934624</c:v>
                </c:pt>
                <c:pt idx="21">
                  <c:v>1.0994857308880885</c:v>
                </c:pt>
                <c:pt idx="22">
                  <c:v>-2.3264834455409638</c:v>
                </c:pt>
                <c:pt idx="23">
                  <c:v>0.27399978476401698</c:v>
                </c:pt>
                <c:pt idx="24">
                  <c:v>-3.7708043023703515</c:v>
                </c:pt>
                <c:pt idx="25">
                  <c:v>2.4312561086316236</c:v>
                </c:pt>
                <c:pt idx="26">
                  <c:v>-2.163876747359093</c:v>
                </c:pt>
                <c:pt idx="27">
                  <c:v>0.5025858772171532</c:v>
                </c:pt>
                <c:pt idx="28">
                  <c:v>1.5012701524955124E-2</c:v>
                </c:pt>
                <c:pt idx="29">
                  <c:v>2.0734306549589543</c:v>
                </c:pt>
                <c:pt idx="30">
                  <c:v>-1.4165022256805997</c:v>
                </c:pt>
                <c:pt idx="31">
                  <c:v>0.66815720708482551</c:v>
                </c:pt>
                <c:pt idx="32">
                  <c:v>-0.80775400785913054</c:v>
                </c:pt>
                <c:pt idx="33">
                  <c:v>3.5954167685518694</c:v>
                </c:pt>
                <c:pt idx="34">
                  <c:v>0.91190414214845739</c:v>
                </c:pt>
                <c:pt idx="35">
                  <c:v>0.85468808124803441</c:v>
                </c:pt>
                <c:pt idx="36">
                  <c:v>3.5664770305249829</c:v>
                </c:pt>
                <c:pt idx="37">
                  <c:v>5.0465169683722939</c:v>
                </c:pt>
                <c:pt idx="38">
                  <c:v>3.4210472846484357</c:v>
                </c:pt>
                <c:pt idx="39">
                  <c:v>-1.9050206096671818</c:v>
                </c:pt>
                <c:pt idx="40">
                  <c:v>-4.4556526959210885</c:v>
                </c:pt>
                <c:pt idx="41">
                  <c:v>-1.6600067055434231</c:v>
                </c:pt>
                <c:pt idx="42">
                  <c:v>2.9503559863160107</c:v>
                </c:pt>
                <c:pt idx="43">
                  <c:v>-1.5202579266307075</c:v>
                </c:pt>
                <c:pt idx="44">
                  <c:v>2.6350509941130018</c:v>
                </c:pt>
                <c:pt idx="45">
                  <c:v>-0.17390455263532517</c:v>
                </c:pt>
                <c:pt idx="46">
                  <c:v>0.72625925846252182</c:v>
                </c:pt>
                <c:pt idx="47">
                  <c:v>1.5534992085354618</c:v>
                </c:pt>
                <c:pt idx="48">
                  <c:v>-1.3128763768352263</c:v>
                </c:pt>
                <c:pt idx="49">
                  <c:v>1.0235515044919676</c:v>
                </c:pt>
                <c:pt idx="50">
                  <c:v>0.87915557139737288</c:v>
                </c:pt>
                <c:pt idx="51">
                  <c:v>-2.0519560737810645</c:v>
                </c:pt>
                <c:pt idx="52">
                  <c:v>0.34628136161819018</c:v>
                </c:pt>
                <c:pt idx="53">
                  <c:v>-0.35419358995709715</c:v>
                </c:pt>
                <c:pt idx="54">
                  <c:v>1.858001601839639</c:v>
                </c:pt>
                <c:pt idx="55">
                  <c:v>-0.8877688063153264</c:v>
                </c:pt>
                <c:pt idx="56">
                  <c:v>-1.3769514272096248</c:v>
                </c:pt>
                <c:pt idx="57">
                  <c:v>0.20136749777207796</c:v>
                </c:pt>
                <c:pt idx="58">
                  <c:v>0.12731740286215751</c:v>
                </c:pt>
                <c:pt idx="59">
                  <c:v>-0.371473926792939</c:v>
                </c:pt>
                <c:pt idx="60">
                  <c:v>-0.41320150136606915</c:v>
                </c:pt>
                <c:pt idx="61">
                  <c:v>0.2551971584802315</c:v>
                </c:pt>
                <c:pt idx="62">
                  <c:v>0.54532839444733927</c:v>
                </c:pt>
                <c:pt idx="63">
                  <c:v>-1.1987084485525838</c:v>
                </c:pt>
                <c:pt idx="64">
                  <c:v>0.20365796077345244</c:v>
                </c:pt>
                <c:pt idx="65">
                  <c:v>-2.1905269483508447</c:v>
                </c:pt>
                <c:pt idx="66">
                  <c:v>1.357859374712971</c:v>
                </c:pt>
                <c:pt idx="67">
                  <c:v>1.0678641457547986</c:v>
                </c:pt>
                <c:pt idx="68">
                  <c:v>-4.062169850005945E-3</c:v>
                </c:pt>
                <c:pt idx="69">
                  <c:v>-0.25340601070870289</c:v>
                </c:pt>
                <c:pt idx="70">
                  <c:v>-0.20371933742089599</c:v>
                </c:pt>
                <c:pt idx="71">
                  <c:v>-6.8036926882462212E-2</c:v>
                </c:pt>
                <c:pt idx="72">
                  <c:v>3.0998066900760599</c:v>
                </c:pt>
                <c:pt idx="73">
                  <c:v>-1.5756409548922983</c:v>
                </c:pt>
                <c:pt idx="74">
                  <c:v>-6.5893968100260576</c:v>
                </c:pt>
                <c:pt idx="75">
                  <c:v>7.3665586735762902</c:v>
                </c:pt>
                <c:pt idx="76">
                  <c:v>1.0916617932992878</c:v>
                </c:pt>
                <c:pt idx="77">
                  <c:v>1.0163751457846373</c:v>
                </c:pt>
                <c:pt idx="78">
                  <c:v>2.1435700279400138</c:v>
                </c:pt>
                <c:pt idx="79">
                  <c:v>-1.204767361587278</c:v>
                </c:pt>
                <c:pt idx="80">
                  <c:v>-1.9469169716171044E-3</c:v>
                </c:pt>
                <c:pt idx="81">
                  <c:v>0.28979934223811843</c:v>
                </c:pt>
                <c:pt idx="82">
                  <c:v>2.3639052440224098</c:v>
                </c:pt>
                <c:pt idx="83">
                  <c:v>1.5490140567033936</c:v>
                </c:pt>
                <c:pt idx="84">
                  <c:v>-1.6477775578392471</c:v>
                </c:pt>
                <c:pt idx="85">
                  <c:v>-3.4798493915758022</c:v>
                </c:pt>
                <c:pt idx="86">
                  <c:v>1.7190145145590065E-2</c:v>
                </c:pt>
                <c:pt idx="87">
                  <c:v>0.3804319559628988</c:v>
                </c:pt>
                <c:pt idx="88">
                  <c:v>0.31001431749484604</c:v>
                </c:pt>
                <c:pt idx="89">
                  <c:v>0.85502216530240871</c:v>
                </c:pt>
                <c:pt idx="90">
                  <c:v>1.6132309956574875</c:v>
                </c:pt>
                <c:pt idx="91">
                  <c:v>-0.22870458134476115</c:v>
                </c:pt>
                <c:pt idx="92">
                  <c:v>-2.8087660797989829</c:v>
                </c:pt>
                <c:pt idx="93">
                  <c:v>0.69722145982741013</c:v>
                </c:pt>
                <c:pt idx="94">
                  <c:v>0.99547551042253035</c:v>
                </c:pt>
                <c:pt idx="95">
                  <c:v>-1.12353903746557</c:v>
                </c:pt>
                <c:pt idx="96">
                  <c:v>-4.0342794589013895</c:v>
                </c:pt>
                <c:pt idx="97">
                  <c:v>-3.1651689144312303</c:v>
                </c:pt>
                <c:pt idx="98">
                  <c:v>0.13326767049501004</c:v>
                </c:pt>
                <c:pt idx="99">
                  <c:v>-3.8653528730622675</c:v>
                </c:pt>
                <c:pt idx="100">
                  <c:v>-1.556403524525015</c:v>
                </c:pt>
                <c:pt idx="101">
                  <c:v>-3.4565692008015478</c:v>
                </c:pt>
                <c:pt idx="102">
                  <c:v>4.373127894277208</c:v>
                </c:pt>
                <c:pt idx="103">
                  <c:v>-8.1411935429504894</c:v>
                </c:pt>
                <c:pt idx="104">
                  <c:v>-9.1415438687040886</c:v>
                </c:pt>
                <c:pt idx="105">
                  <c:v>4.9981561061963475</c:v>
                </c:pt>
                <c:pt idx="106">
                  <c:v>3.7315693621188237</c:v>
                </c:pt>
                <c:pt idx="107">
                  <c:v>-1.6930601373866518</c:v>
                </c:pt>
                <c:pt idx="108">
                  <c:v>3.2693974797429637</c:v>
                </c:pt>
                <c:pt idx="109">
                  <c:v>-3.4044713219137206</c:v>
                </c:pt>
                <c:pt idx="110">
                  <c:v>1.1229372544900045</c:v>
                </c:pt>
                <c:pt idx="111">
                  <c:v>-4.5251950847142508E-2</c:v>
                </c:pt>
                <c:pt idx="112">
                  <c:v>-3.2207902839867755</c:v>
                </c:pt>
                <c:pt idx="113">
                  <c:v>-1.5304704600210068</c:v>
                </c:pt>
                <c:pt idx="114">
                  <c:v>2.0217015238879137</c:v>
                </c:pt>
                <c:pt idx="115">
                  <c:v>-0.73548575994241516</c:v>
                </c:pt>
                <c:pt idx="116">
                  <c:v>-0.41335762746622851</c:v>
                </c:pt>
                <c:pt idx="117">
                  <c:v>-0.46656124638286833</c:v>
                </c:pt>
                <c:pt idx="118">
                  <c:v>3.4138089910941942</c:v>
                </c:pt>
                <c:pt idx="119">
                  <c:v>4.4012225363925044</c:v>
                </c:pt>
                <c:pt idx="120">
                  <c:v>-1.5196917747234271</c:v>
                </c:pt>
                <c:pt idx="121">
                  <c:v>-1.062073375074631</c:v>
                </c:pt>
                <c:pt idx="122">
                  <c:v>1.477489362217179</c:v>
                </c:pt>
                <c:pt idx="123">
                  <c:v>-2.3781283099238917</c:v>
                </c:pt>
                <c:pt idx="124">
                  <c:v>0.47811004572060589</c:v>
                </c:pt>
                <c:pt idx="125">
                  <c:v>0.44551959930867541</c:v>
                </c:pt>
                <c:pt idx="126">
                  <c:v>1.3614075313738643</c:v>
                </c:pt>
                <c:pt idx="127">
                  <c:v>-7.7650136808625758E-3</c:v>
                </c:pt>
                <c:pt idx="128">
                  <c:v>-0.12972116439056908</c:v>
                </c:pt>
                <c:pt idx="129">
                  <c:v>-1.6695833580904584</c:v>
                </c:pt>
                <c:pt idx="130">
                  <c:v>1.4530967525660716</c:v>
                </c:pt>
                <c:pt idx="131">
                  <c:v>-0.78143310266141697</c:v>
                </c:pt>
                <c:pt idx="132">
                  <c:v>0.34908255979636738</c:v>
                </c:pt>
                <c:pt idx="133">
                  <c:v>0.13535969057984193</c:v>
                </c:pt>
                <c:pt idx="134">
                  <c:v>-1.8716624465378884</c:v>
                </c:pt>
                <c:pt idx="135">
                  <c:v>1.2656565827966442</c:v>
                </c:pt>
                <c:pt idx="136">
                  <c:v>-0.42014204580768427</c:v>
                </c:pt>
                <c:pt idx="137">
                  <c:v>1.4055246320234833</c:v>
                </c:pt>
                <c:pt idx="138">
                  <c:v>-2.3798636141916241E-2</c:v>
                </c:pt>
                <c:pt idx="139">
                  <c:v>-0.94564972218921284</c:v>
                </c:pt>
                <c:pt idx="140">
                  <c:v>0.73546966098117694</c:v>
                </c:pt>
                <c:pt idx="141">
                  <c:v>1.7116922764778253</c:v>
                </c:pt>
                <c:pt idx="142">
                  <c:v>-0.26362362275971585</c:v>
                </c:pt>
                <c:pt idx="143">
                  <c:v>0.22777557059858333</c:v>
                </c:pt>
              </c:numCache>
            </c:numRef>
          </c:xVal>
          <c:yVal>
            <c:numRef>
              <c:f>Data!$AA$2:$AA$145</c:f>
              <c:numCache>
                <c:formatCode>0.0000</c:formatCode>
                <c:ptCount val="144"/>
                <c:pt idx="0">
                  <c:v>3.671328671328667E-4</c:v>
                </c:pt>
                <c:pt idx="1">
                  <c:v>1.999999999999999E-2</c:v>
                </c:pt>
                <c:pt idx="2">
                  <c:v>1.0000000000000009E-2</c:v>
                </c:pt>
                <c:pt idx="3">
                  <c:v>8.3333333333335258E-4</c:v>
                </c:pt>
                <c:pt idx="4">
                  <c:v>7.5000000000000067E-3</c:v>
                </c:pt>
                <c:pt idx="5">
                  <c:v>-7.5000000000000067E-3</c:v>
                </c:pt>
                <c:pt idx="6">
                  <c:v>1.1666666666666659E-2</c:v>
                </c:pt>
                <c:pt idx="7">
                  <c:v>-1.583333333333331E-2</c:v>
                </c:pt>
                <c:pt idx="8">
                  <c:v>9.1666666666666563E-3</c:v>
                </c:pt>
                <c:pt idx="9">
                  <c:v>4.1666666666666519E-3</c:v>
                </c:pt>
                <c:pt idx="10">
                  <c:v>7.5000000000000067E-3</c:v>
                </c:pt>
                <c:pt idx="11">
                  <c:v>-1.1666666666666659E-2</c:v>
                </c:pt>
                <c:pt idx="12">
                  <c:v>0</c:v>
                </c:pt>
                <c:pt idx="13">
                  <c:v>-8.3333333333335258E-4</c:v>
                </c:pt>
                <c:pt idx="14">
                  <c:v>4.1666666666667074E-3</c:v>
                </c:pt>
                <c:pt idx="15">
                  <c:v>-1.4166666666666716E-2</c:v>
                </c:pt>
                <c:pt idx="16">
                  <c:v>-1.8333333333333313E-2</c:v>
                </c:pt>
                <c:pt idx="17">
                  <c:v>-5.8333333333333293E-3</c:v>
                </c:pt>
                <c:pt idx="18">
                  <c:v>1.6666666666666774E-3</c:v>
                </c:pt>
                <c:pt idx="19">
                  <c:v>-3.0000000000000027E-2</c:v>
                </c:pt>
                <c:pt idx="20">
                  <c:v>1.7500000000000016E-2</c:v>
                </c:pt>
                <c:pt idx="21">
                  <c:v>1.2500000000000011E-2</c:v>
                </c:pt>
                <c:pt idx="22">
                  <c:v>1.6666666666666663E-2</c:v>
                </c:pt>
                <c:pt idx="23">
                  <c:v>-8.3333333333333315E-3</c:v>
                </c:pt>
                <c:pt idx="24">
                  <c:v>6.6666666666666818E-3</c:v>
                </c:pt>
                <c:pt idx="25">
                  <c:v>-1.7500000000000016E-2</c:v>
                </c:pt>
                <c:pt idx="26">
                  <c:v>-1.833333333333334E-2</c:v>
                </c:pt>
                <c:pt idx="27">
                  <c:v>6.6666666666666541E-3</c:v>
                </c:pt>
                <c:pt idx="28">
                  <c:v>8.3333333333332482E-4</c:v>
                </c:pt>
                <c:pt idx="29">
                  <c:v>4.1666666666666796E-3</c:v>
                </c:pt>
                <c:pt idx="30">
                  <c:v>-1.1666666666666686E-2</c:v>
                </c:pt>
                <c:pt idx="31">
                  <c:v>-1.6666666666666496E-3</c:v>
                </c:pt>
                <c:pt idx="32">
                  <c:v>-2.4999999999999994E-2</c:v>
                </c:pt>
                <c:pt idx="33">
                  <c:v>3.8333333333333358E-2</c:v>
                </c:pt>
                <c:pt idx="34">
                  <c:v>5.8333333333333293E-3</c:v>
                </c:pt>
                <c:pt idx="35">
                  <c:v>-8.3333333333333592E-3</c:v>
                </c:pt>
                <c:pt idx="36">
                  <c:v>1.7500000000000016E-2</c:v>
                </c:pt>
                <c:pt idx="37">
                  <c:v>1.1666666666666659E-2</c:v>
                </c:pt>
                <c:pt idx="38">
                  <c:v>1.6666666666666663E-2</c:v>
                </c:pt>
                <c:pt idx="39">
                  <c:v>-6.6666666666666818E-3</c:v>
                </c:pt>
                <c:pt idx="40">
                  <c:v>4.0833333333333333E-2</c:v>
                </c:pt>
                <c:pt idx="41">
                  <c:v>-1.3333333333333308E-2</c:v>
                </c:pt>
                <c:pt idx="42">
                  <c:v>7.5000000000000067E-3</c:v>
                </c:pt>
                <c:pt idx="43">
                  <c:v>2.1666666666666612E-2</c:v>
                </c:pt>
                <c:pt idx="44">
                  <c:v>-2.4999999999999911E-2</c:v>
                </c:pt>
                <c:pt idx="45">
                  <c:v>2.3333333333333317E-2</c:v>
                </c:pt>
                <c:pt idx="46">
                  <c:v>-1.8333333333333368E-2</c:v>
                </c:pt>
                <c:pt idx="47">
                  <c:v>-5.8333333333333015E-3</c:v>
                </c:pt>
                <c:pt idx="48">
                  <c:v>-5.833333333333357E-3</c:v>
                </c:pt>
                <c:pt idx="49">
                  <c:v>-8.3333333333333592E-3</c:v>
                </c:pt>
                <c:pt idx="50">
                  <c:v>5.833333333333357E-3</c:v>
                </c:pt>
                <c:pt idx="51">
                  <c:v>5.0000000000000044E-3</c:v>
                </c:pt>
                <c:pt idx="52">
                  <c:v>-8.3333333333333315E-3</c:v>
                </c:pt>
                <c:pt idx="53">
                  <c:v>-3.333333333333327E-3</c:v>
                </c:pt>
                <c:pt idx="54">
                  <c:v>-6.6666666666666818E-3</c:v>
                </c:pt>
                <c:pt idx="55">
                  <c:v>8.3333333333333315E-3</c:v>
                </c:pt>
                <c:pt idx="56">
                  <c:v>-1.0000000000000009E-2</c:v>
                </c:pt>
                <c:pt idx="57">
                  <c:v>2.5833333333333375E-2</c:v>
                </c:pt>
                <c:pt idx="58">
                  <c:v>-1.2500000000000011E-2</c:v>
                </c:pt>
                <c:pt idx="59">
                  <c:v>5.833333333333357E-3</c:v>
                </c:pt>
                <c:pt idx="60">
                  <c:v>-5.833333333333357E-3</c:v>
                </c:pt>
                <c:pt idx="61">
                  <c:v>-1.6666666666667052E-3</c:v>
                </c:pt>
                <c:pt idx="62">
                  <c:v>5.00000000000006E-3</c:v>
                </c:pt>
                <c:pt idx="63">
                  <c:v>2.2499999999999964E-2</c:v>
                </c:pt>
                <c:pt idx="64">
                  <c:v>-2.2499999999999964E-2</c:v>
                </c:pt>
                <c:pt idx="65">
                  <c:v>9.1666666666666008E-3</c:v>
                </c:pt>
                <c:pt idx="66">
                  <c:v>1.0000000000000009E-2</c:v>
                </c:pt>
                <c:pt idx="67">
                  <c:v>2.083333333333337E-2</c:v>
                </c:pt>
                <c:pt idx="68">
                  <c:v>5.8333333333333015E-3</c:v>
                </c:pt>
                <c:pt idx="69">
                  <c:v>-4.3333333333333335E-2</c:v>
                </c:pt>
                <c:pt idx="70">
                  <c:v>-9.1666666666666563E-3</c:v>
                </c:pt>
                <c:pt idx="71">
                  <c:v>2.5000000000000022E-3</c:v>
                </c:pt>
                <c:pt idx="72">
                  <c:v>-8.3333333333335258E-4</c:v>
                </c:pt>
                <c:pt idx="73">
                  <c:v>-1.2500000000000011E-2</c:v>
                </c:pt>
                <c:pt idx="74">
                  <c:v>-1.2499999999999983E-2</c:v>
                </c:pt>
                <c:pt idx="75">
                  <c:v>-1.7499999999999988E-2</c:v>
                </c:pt>
                <c:pt idx="76">
                  <c:v>2.9999999999999971E-2</c:v>
                </c:pt>
                <c:pt idx="77">
                  <c:v>-1.2499999999999983E-2</c:v>
                </c:pt>
                <c:pt idx="78">
                  <c:v>1.5000000000000041E-2</c:v>
                </c:pt>
                <c:pt idx="79">
                  <c:v>2.2499999999999964E-2</c:v>
                </c:pt>
                <c:pt idx="80">
                  <c:v>-5.0000000000000044E-3</c:v>
                </c:pt>
                <c:pt idx="81">
                  <c:v>4.1666666666666519E-3</c:v>
                </c:pt>
                <c:pt idx="82">
                  <c:v>8.3333333333335258E-4</c:v>
                </c:pt>
                <c:pt idx="83">
                  <c:v>-1.0000000000000009E-2</c:v>
                </c:pt>
                <c:pt idx="84">
                  <c:v>1.9166666666666665E-2</c:v>
                </c:pt>
                <c:pt idx="85">
                  <c:v>1.0833333333333361E-2</c:v>
                </c:pt>
                <c:pt idx="86">
                  <c:v>1.9999999999999962E-2</c:v>
                </c:pt>
                <c:pt idx="87">
                  <c:v>-1.3333333333333308E-2</c:v>
                </c:pt>
                <c:pt idx="88">
                  <c:v>1.9999999999999962E-2</c:v>
                </c:pt>
                <c:pt idx="89">
                  <c:v>-2.8333333333333266E-2</c:v>
                </c:pt>
                <c:pt idx="90">
                  <c:v>1.749999999999996E-2</c:v>
                </c:pt>
                <c:pt idx="91">
                  <c:v>7.5000000000000067E-3</c:v>
                </c:pt>
                <c:pt idx="92">
                  <c:v>4.5833333333333393E-2</c:v>
                </c:pt>
                <c:pt idx="93">
                  <c:v>2.4166666666666559E-2</c:v>
                </c:pt>
                <c:pt idx="94">
                  <c:v>2.750000000000008E-2</c:v>
                </c:pt>
                <c:pt idx="95">
                  <c:v>-4.500000000000004E-2</c:v>
                </c:pt>
                <c:pt idx="96">
                  <c:v>3.0000000000000027E-2</c:v>
                </c:pt>
                <c:pt idx="97">
                  <c:v>3.3333333333333326E-2</c:v>
                </c:pt>
                <c:pt idx="98">
                  <c:v>2.7499999999999969E-2</c:v>
                </c:pt>
                <c:pt idx="99">
                  <c:v>-1.6666666666665941E-3</c:v>
                </c:pt>
                <c:pt idx="100">
                  <c:v>-1.9166666666666721E-2</c:v>
                </c:pt>
                <c:pt idx="101">
                  <c:v>-0.11083333333333328</c:v>
                </c:pt>
                <c:pt idx="102">
                  <c:v>1.9999999999999907E-2</c:v>
                </c:pt>
                <c:pt idx="103">
                  <c:v>9.0833333333333377E-2</c:v>
                </c:pt>
                <c:pt idx="104">
                  <c:v>-0.06</c:v>
                </c:pt>
                <c:pt idx="105">
                  <c:v>-2.2499999999999964E-2</c:v>
                </c:pt>
                <c:pt idx="106">
                  <c:v>-1.2500000000000067E-2</c:v>
                </c:pt>
                <c:pt idx="107">
                  <c:v>-5.749999999999994E-2</c:v>
                </c:pt>
                <c:pt idx="108">
                  <c:v>-5.4166666666666696E-2</c:v>
                </c:pt>
                <c:pt idx="109">
                  <c:v>3.833333333333333E-2</c:v>
                </c:pt>
                <c:pt idx="110">
                  <c:v>2.5000000000000022E-2</c:v>
                </c:pt>
                <c:pt idx="111">
                  <c:v>-2.0833333333333315E-2</c:v>
                </c:pt>
                <c:pt idx="112">
                  <c:v>1.5833333333333366E-2</c:v>
                </c:pt>
                <c:pt idx="113">
                  <c:v>1.3333333333333308E-2</c:v>
                </c:pt>
                <c:pt idx="114">
                  <c:v>-2.250000000000002E-2</c:v>
                </c:pt>
                <c:pt idx="115">
                  <c:v>6.6666666666665986E-3</c:v>
                </c:pt>
                <c:pt idx="116">
                  <c:v>3.1666666666666732E-2</c:v>
                </c:pt>
                <c:pt idx="117">
                  <c:v>-8.3333333333333592E-3</c:v>
                </c:pt>
                <c:pt idx="118">
                  <c:v>-8.3333333333333592E-3</c:v>
                </c:pt>
                <c:pt idx="119">
                  <c:v>-2.4999999999999467E-3</c:v>
                </c:pt>
                <c:pt idx="120">
                  <c:v>1.4999999999999958E-2</c:v>
                </c:pt>
                <c:pt idx="121">
                  <c:v>2.5000000000000022E-3</c:v>
                </c:pt>
                <c:pt idx="122">
                  <c:v>2.416666666666667E-2</c:v>
                </c:pt>
                <c:pt idx="123">
                  <c:v>2.1666666666666723E-2</c:v>
                </c:pt>
                <c:pt idx="124">
                  <c:v>-8.3333333333340809E-4</c:v>
                </c:pt>
                <c:pt idx="125">
                  <c:v>-2.5833333333333264E-2</c:v>
                </c:pt>
                <c:pt idx="126">
                  <c:v>-8.3333333333333592E-3</c:v>
                </c:pt>
                <c:pt idx="127">
                  <c:v>-1.1666666666666659E-2</c:v>
                </c:pt>
                <c:pt idx="128">
                  <c:v>-8.3333333333329707E-4</c:v>
                </c:pt>
                <c:pt idx="129">
                  <c:v>2.0833333333333259E-2</c:v>
                </c:pt>
                <c:pt idx="130">
                  <c:v>5.833333333333357E-3</c:v>
                </c:pt>
                <c:pt idx="131">
                  <c:v>-5.833333333333357E-3</c:v>
                </c:pt>
                <c:pt idx="132">
                  <c:v>2.0000000000000073E-2</c:v>
                </c:pt>
                <c:pt idx="133">
                  <c:v>-2.083333333333337E-2</c:v>
                </c:pt>
                <c:pt idx="134">
                  <c:v>1.3333333333333364E-2</c:v>
                </c:pt>
                <c:pt idx="135">
                  <c:v>-3.5000000000000087E-2</c:v>
                </c:pt>
                <c:pt idx="136">
                  <c:v>0</c:v>
                </c:pt>
                <c:pt idx="137">
                  <c:v>-3.1666666666666676E-2</c:v>
                </c:pt>
                <c:pt idx="138">
                  <c:v>9.1666666666666563E-3</c:v>
                </c:pt>
                <c:pt idx="139">
                  <c:v>-8.3333333333333037E-3</c:v>
                </c:pt>
                <c:pt idx="140">
                  <c:v>1.6666666666666496E-3</c:v>
                </c:pt>
                <c:pt idx="141">
                  <c:v>-1.9999999999999962E-2</c:v>
                </c:pt>
                <c:pt idx="142">
                  <c:v>7.4999999999999512E-3</c:v>
                </c:pt>
                <c:pt idx="143">
                  <c:v>-9.1666666666666841E-3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D1-3C47-BA93-79ED43F987EF}"/>
            </c:ext>
          </c:extLst>
        </c:ser>
        <c:ser>
          <c:idx val="1"/>
          <c:order val="1"/>
          <c:tx>
            <c:v>Predicted Inflation Change (%)</c:v>
          </c:tx>
          <c:spPr>
            <a:ln w="19050">
              <a:noFill/>
            </a:ln>
          </c:spPr>
          <c:xVal>
            <c:numRef>
              <c:f>Data!$W$2:$W$145</c:f>
              <c:numCache>
                <c:formatCode>0.0000</c:formatCode>
                <c:ptCount val="144"/>
                <c:pt idx="0">
                  <c:v>-5.1387194346069833</c:v>
                </c:pt>
                <c:pt idx="1">
                  <c:v>2.3484491421995508</c:v>
                </c:pt>
                <c:pt idx="2">
                  <c:v>-0.92319478819390199</c:v>
                </c:pt>
                <c:pt idx="3">
                  <c:v>0.82434767702086331</c:v>
                </c:pt>
                <c:pt idx="4">
                  <c:v>2.0252115715454142</c:v>
                </c:pt>
                <c:pt idx="5">
                  <c:v>-1.4083021680096535</c:v>
                </c:pt>
                <c:pt idx="6">
                  <c:v>-0.89531690384682072</c:v>
                </c:pt>
                <c:pt idx="7">
                  <c:v>2.0846292055168538</c:v>
                </c:pt>
                <c:pt idx="8">
                  <c:v>0.18815829103602541</c:v>
                </c:pt>
                <c:pt idx="9">
                  <c:v>-0.30403984882426438</c:v>
                </c:pt>
                <c:pt idx="10">
                  <c:v>1.2224064307019109</c:v>
                </c:pt>
                <c:pt idx="11">
                  <c:v>1.1188106566869516</c:v>
                </c:pt>
                <c:pt idx="12">
                  <c:v>-0.39386738542473537</c:v>
                </c:pt>
                <c:pt idx="13">
                  <c:v>0.23199314515441699</c:v>
                </c:pt>
                <c:pt idx="14">
                  <c:v>3.0510319131719719</c:v>
                </c:pt>
                <c:pt idx="15">
                  <c:v>-0.57569475557887417</c:v>
                </c:pt>
                <c:pt idx="16">
                  <c:v>0.34508593485068878</c:v>
                </c:pt>
                <c:pt idx="17">
                  <c:v>2.4668637873530348</c:v>
                </c:pt>
                <c:pt idx="18">
                  <c:v>1.3828982966028573</c:v>
                </c:pt>
                <c:pt idx="19">
                  <c:v>5.9348906527047323</c:v>
                </c:pt>
                <c:pt idx="20">
                  <c:v>-3.7396932352934624</c:v>
                </c:pt>
                <c:pt idx="21">
                  <c:v>1.0994857308880885</c:v>
                </c:pt>
                <c:pt idx="22">
                  <c:v>-2.3264834455409638</c:v>
                </c:pt>
                <c:pt idx="23">
                  <c:v>0.27399978476401698</c:v>
                </c:pt>
                <c:pt idx="24">
                  <c:v>-3.7708043023703515</c:v>
                </c:pt>
                <c:pt idx="25">
                  <c:v>2.4312561086316236</c:v>
                </c:pt>
                <c:pt idx="26">
                  <c:v>-2.163876747359093</c:v>
                </c:pt>
                <c:pt idx="27">
                  <c:v>0.5025858772171532</c:v>
                </c:pt>
                <c:pt idx="28">
                  <c:v>1.5012701524955124E-2</c:v>
                </c:pt>
                <c:pt idx="29">
                  <c:v>2.0734306549589543</c:v>
                </c:pt>
                <c:pt idx="30">
                  <c:v>-1.4165022256805997</c:v>
                </c:pt>
                <c:pt idx="31">
                  <c:v>0.66815720708482551</c:v>
                </c:pt>
                <c:pt idx="32">
                  <c:v>-0.80775400785913054</c:v>
                </c:pt>
                <c:pt idx="33">
                  <c:v>3.5954167685518694</c:v>
                </c:pt>
                <c:pt idx="34">
                  <c:v>0.91190414214845739</c:v>
                </c:pt>
                <c:pt idx="35">
                  <c:v>0.85468808124803441</c:v>
                </c:pt>
                <c:pt idx="36">
                  <c:v>3.5664770305249829</c:v>
                </c:pt>
                <c:pt idx="37">
                  <c:v>5.0465169683722939</c:v>
                </c:pt>
                <c:pt idx="38">
                  <c:v>3.4210472846484357</c:v>
                </c:pt>
                <c:pt idx="39">
                  <c:v>-1.9050206096671818</c:v>
                </c:pt>
                <c:pt idx="40">
                  <c:v>-4.4556526959210885</c:v>
                </c:pt>
                <c:pt idx="41">
                  <c:v>-1.6600067055434231</c:v>
                </c:pt>
                <c:pt idx="42">
                  <c:v>2.9503559863160107</c:v>
                </c:pt>
                <c:pt idx="43">
                  <c:v>-1.5202579266307075</c:v>
                </c:pt>
                <c:pt idx="44">
                  <c:v>2.6350509941130018</c:v>
                </c:pt>
                <c:pt idx="45">
                  <c:v>-0.17390455263532517</c:v>
                </c:pt>
                <c:pt idx="46">
                  <c:v>0.72625925846252182</c:v>
                </c:pt>
                <c:pt idx="47">
                  <c:v>1.5534992085354618</c:v>
                </c:pt>
                <c:pt idx="48">
                  <c:v>-1.3128763768352263</c:v>
                </c:pt>
                <c:pt idx="49">
                  <c:v>1.0235515044919676</c:v>
                </c:pt>
                <c:pt idx="50">
                  <c:v>0.87915557139737288</c:v>
                </c:pt>
                <c:pt idx="51">
                  <c:v>-2.0519560737810645</c:v>
                </c:pt>
                <c:pt idx="52">
                  <c:v>0.34628136161819018</c:v>
                </c:pt>
                <c:pt idx="53">
                  <c:v>-0.35419358995709715</c:v>
                </c:pt>
                <c:pt idx="54">
                  <c:v>1.858001601839639</c:v>
                </c:pt>
                <c:pt idx="55">
                  <c:v>-0.8877688063153264</c:v>
                </c:pt>
                <c:pt idx="56">
                  <c:v>-1.3769514272096248</c:v>
                </c:pt>
                <c:pt idx="57">
                  <c:v>0.20136749777207796</c:v>
                </c:pt>
                <c:pt idx="58">
                  <c:v>0.12731740286215751</c:v>
                </c:pt>
                <c:pt idx="59">
                  <c:v>-0.371473926792939</c:v>
                </c:pt>
                <c:pt idx="60">
                  <c:v>-0.41320150136606915</c:v>
                </c:pt>
                <c:pt idx="61">
                  <c:v>0.2551971584802315</c:v>
                </c:pt>
                <c:pt idx="62">
                  <c:v>0.54532839444733927</c:v>
                </c:pt>
                <c:pt idx="63">
                  <c:v>-1.1987084485525838</c:v>
                </c:pt>
                <c:pt idx="64">
                  <c:v>0.20365796077345244</c:v>
                </c:pt>
                <c:pt idx="65">
                  <c:v>-2.1905269483508447</c:v>
                </c:pt>
                <c:pt idx="66">
                  <c:v>1.357859374712971</c:v>
                </c:pt>
                <c:pt idx="67">
                  <c:v>1.0678641457547986</c:v>
                </c:pt>
                <c:pt idx="68">
                  <c:v>-4.062169850005945E-3</c:v>
                </c:pt>
                <c:pt idx="69">
                  <c:v>-0.25340601070870289</c:v>
                </c:pt>
                <c:pt idx="70">
                  <c:v>-0.20371933742089599</c:v>
                </c:pt>
                <c:pt idx="71">
                  <c:v>-6.8036926882462212E-2</c:v>
                </c:pt>
                <c:pt idx="72">
                  <c:v>3.0998066900760599</c:v>
                </c:pt>
                <c:pt idx="73">
                  <c:v>-1.5756409548922983</c:v>
                </c:pt>
                <c:pt idx="74">
                  <c:v>-6.5893968100260576</c:v>
                </c:pt>
                <c:pt idx="75">
                  <c:v>7.3665586735762902</c:v>
                </c:pt>
                <c:pt idx="76">
                  <c:v>1.0916617932992878</c:v>
                </c:pt>
                <c:pt idx="77">
                  <c:v>1.0163751457846373</c:v>
                </c:pt>
                <c:pt idx="78">
                  <c:v>2.1435700279400138</c:v>
                </c:pt>
                <c:pt idx="79">
                  <c:v>-1.204767361587278</c:v>
                </c:pt>
                <c:pt idx="80">
                  <c:v>-1.9469169716171044E-3</c:v>
                </c:pt>
                <c:pt idx="81">
                  <c:v>0.28979934223811843</c:v>
                </c:pt>
                <c:pt idx="82">
                  <c:v>2.3639052440224098</c:v>
                </c:pt>
                <c:pt idx="83">
                  <c:v>1.5490140567033936</c:v>
                </c:pt>
                <c:pt idx="84">
                  <c:v>-1.6477775578392471</c:v>
                </c:pt>
                <c:pt idx="85">
                  <c:v>-3.4798493915758022</c:v>
                </c:pt>
                <c:pt idx="86">
                  <c:v>1.7190145145590065E-2</c:v>
                </c:pt>
                <c:pt idx="87">
                  <c:v>0.3804319559628988</c:v>
                </c:pt>
                <c:pt idx="88">
                  <c:v>0.31001431749484604</c:v>
                </c:pt>
                <c:pt idx="89">
                  <c:v>0.85502216530240871</c:v>
                </c:pt>
                <c:pt idx="90">
                  <c:v>1.6132309956574875</c:v>
                </c:pt>
                <c:pt idx="91">
                  <c:v>-0.22870458134476115</c:v>
                </c:pt>
                <c:pt idx="92">
                  <c:v>-2.8087660797989829</c:v>
                </c:pt>
                <c:pt idx="93">
                  <c:v>0.69722145982741013</c:v>
                </c:pt>
                <c:pt idx="94">
                  <c:v>0.99547551042253035</c:v>
                </c:pt>
                <c:pt idx="95">
                  <c:v>-1.12353903746557</c:v>
                </c:pt>
                <c:pt idx="96">
                  <c:v>-4.0342794589013895</c:v>
                </c:pt>
                <c:pt idx="97">
                  <c:v>-3.1651689144312303</c:v>
                </c:pt>
                <c:pt idx="98">
                  <c:v>0.13326767049501004</c:v>
                </c:pt>
                <c:pt idx="99">
                  <c:v>-3.8653528730622675</c:v>
                </c:pt>
                <c:pt idx="100">
                  <c:v>-1.556403524525015</c:v>
                </c:pt>
                <c:pt idx="101">
                  <c:v>-3.4565692008015478</c:v>
                </c:pt>
                <c:pt idx="102">
                  <c:v>4.373127894277208</c:v>
                </c:pt>
                <c:pt idx="103">
                  <c:v>-8.1411935429504894</c:v>
                </c:pt>
                <c:pt idx="104">
                  <c:v>-9.1415438687040886</c:v>
                </c:pt>
                <c:pt idx="105">
                  <c:v>4.9981561061963475</c:v>
                </c:pt>
                <c:pt idx="106">
                  <c:v>3.7315693621188237</c:v>
                </c:pt>
                <c:pt idx="107">
                  <c:v>-1.6930601373866518</c:v>
                </c:pt>
                <c:pt idx="108">
                  <c:v>3.2693974797429637</c:v>
                </c:pt>
                <c:pt idx="109">
                  <c:v>-3.4044713219137206</c:v>
                </c:pt>
                <c:pt idx="110">
                  <c:v>1.1229372544900045</c:v>
                </c:pt>
                <c:pt idx="111">
                  <c:v>-4.5251950847142508E-2</c:v>
                </c:pt>
                <c:pt idx="112">
                  <c:v>-3.2207902839867755</c:v>
                </c:pt>
                <c:pt idx="113">
                  <c:v>-1.5304704600210068</c:v>
                </c:pt>
                <c:pt idx="114">
                  <c:v>2.0217015238879137</c:v>
                </c:pt>
                <c:pt idx="115">
                  <c:v>-0.73548575994241516</c:v>
                </c:pt>
                <c:pt idx="116">
                  <c:v>-0.41335762746622851</c:v>
                </c:pt>
                <c:pt idx="117">
                  <c:v>-0.46656124638286833</c:v>
                </c:pt>
                <c:pt idx="118">
                  <c:v>3.4138089910941942</c:v>
                </c:pt>
                <c:pt idx="119">
                  <c:v>4.4012225363925044</c:v>
                </c:pt>
                <c:pt idx="120">
                  <c:v>-1.5196917747234271</c:v>
                </c:pt>
                <c:pt idx="121">
                  <c:v>-1.062073375074631</c:v>
                </c:pt>
                <c:pt idx="122">
                  <c:v>1.477489362217179</c:v>
                </c:pt>
                <c:pt idx="123">
                  <c:v>-2.3781283099238917</c:v>
                </c:pt>
                <c:pt idx="124">
                  <c:v>0.47811004572060589</c:v>
                </c:pt>
                <c:pt idx="125">
                  <c:v>0.44551959930867541</c:v>
                </c:pt>
                <c:pt idx="126">
                  <c:v>1.3614075313738643</c:v>
                </c:pt>
                <c:pt idx="127">
                  <c:v>-7.7650136808625758E-3</c:v>
                </c:pt>
                <c:pt idx="128">
                  <c:v>-0.12972116439056908</c:v>
                </c:pt>
                <c:pt idx="129">
                  <c:v>-1.6695833580904584</c:v>
                </c:pt>
                <c:pt idx="130">
                  <c:v>1.4530967525660716</c:v>
                </c:pt>
                <c:pt idx="131">
                  <c:v>-0.78143310266141697</c:v>
                </c:pt>
                <c:pt idx="132">
                  <c:v>0.34908255979636738</c:v>
                </c:pt>
                <c:pt idx="133">
                  <c:v>0.13535969057984193</c:v>
                </c:pt>
                <c:pt idx="134">
                  <c:v>-1.8716624465378884</c:v>
                </c:pt>
                <c:pt idx="135">
                  <c:v>1.2656565827966442</c:v>
                </c:pt>
                <c:pt idx="136">
                  <c:v>-0.42014204580768427</c:v>
                </c:pt>
                <c:pt idx="137">
                  <c:v>1.4055246320234833</c:v>
                </c:pt>
                <c:pt idx="138">
                  <c:v>-2.3798636141916241E-2</c:v>
                </c:pt>
                <c:pt idx="139">
                  <c:v>-0.94564972218921284</c:v>
                </c:pt>
                <c:pt idx="140">
                  <c:v>0.73546966098117694</c:v>
                </c:pt>
                <c:pt idx="141">
                  <c:v>1.7116922764778253</c:v>
                </c:pt>
                <c:pt idx="142">
                  <c:v>-0.26362362275971585</c:v>
                </c:pt>
                <c:pt idx="143">
                  <c:v>0.22777557059858333</c:v>
                </c:pt>
              </c:numCache>
            </c:numRef>
          </c:xVal>
          <c:yVal>
            <c:numRef>
              <c:f>'Dinflation on Credit, SP-HY'!$B$27:$B$170</c:f>
              <c:numCache>
                <c:formatCode>General</c:formatCode>
                <c:ptCount val="144"/>
                <c:pt idx="0">
                  <c:v>1.8522830863057355E-2</c:v>
                </c:pt>
                <c:pt idx="1">
                  <c:v>1.7468042229452502E-3</c:v>
                </c:pt>
                <c:pt idx="2">
                  <c:v>4.6750564374136924E-4</c:v>
                </c:pt>
                <c:pt idx="3">
                  <c:v>1.4817830247279909E-3</c:v>
                </c:pt>
                <c:pt idx="4">
                  <c:v>2.0026109611401971E-3</c:v>
                </c:pt>
                <c:pt idx="5">
                  <c:v>5.1417631176902704E-3</c:v>
                </c:pt>
                <c:pt idx="6">
                  <c:v>4.2015555539806244E-3</c:v>
                </c:pt>
                <c:pt idx="7">
                  <c:v>-4.8271149154774547E-3</c:v>
                </c:pt>
                <c:pt idx="8">
                  <c:v>4.4765862631244643E-3</c:v>
                </c:pt>
                <c:pt idx="9">
                  <c:v>9.7429216120306368E-4</c:v>
                </c:pt>
                <c:pt idx="10">
                  <c:v>-2.3973451560036843E-3</c:v>
                </c:pt>
                <c:pt idx="11">
                  <c:v>-1.8997393731091695E-3</c:v>
                </c:pt>
                <c:pt idx="12">
                  <c:v>3.5717953885432349E-3</c:v>
                </c:pt>
                <c:pt idx="13">
                  <c:v>-5.2132813497483832E-3</c:v>
                </c:pt>
                <c:pt idx="14">
                  <c:v>-5.521898282385071E-3</c:v>
                </c:pt>
                <c:pt idx="15">
                  <c:v>-3.3075521851674908E-3</c:v>
                </c:pt>
                <c:pt idx="16">
                  <c:v>2.9097190946664186E-3</c:v>
                </c:pt>
                <c:pt idx="17">
                  <c:v>-6.1840117119776987E-3</c:v>
                </c:pt>
                <c:pt idx="18">
                  <c:v>-6.6442307144277749E-3</c:v>
                </c:pt>
                <c:pt idx="19">
                  <c:v>-1.2643614450404232E-2</c:v>
                </c:pt>
                <c:pt idx="20">
                  <c:v>1.8867320358184253E-2</c:v>
                </c:pt>
                <c:pt idx="21">
                  <c:v>-4.1686074608480519E-3</c:v>
                </c:pt>
                <c:pt idx="22">
                  <c:v>9.8121308677773245E-3</c:v>
                </c:pt>
                <c:pt idx="23">
                  <c:v>-6.3107639241200518E-5</c:v>
                </c:pt>
                <c:pt idx="24">
                  <c:v>5.9262910274325634E-3</c:v>
                </c:pt>
                <c:pt idx="25">
                  <c:v>-6.1426362116673988E-3</c:v>
                </c:pt>
                <c:pt idx="26">
                  <c:v>1.6429240127404862E-3</c:v>
                </c:pt>
                <c:pt idx="27">
                  <c:v>-1.031588861653969E-2</c:v>
                </c:pt>
                <c:pt idx="28">
                  <c:v>1.2246305777620176E-2</c:v>
                </c:pt>
                <c:pt idx="29">
                  <c:v>-9.9132246320221343E-3</c:v>
                </c:pt>
                <c:pt idx="30">
                  <c:v>-2.2931877652874744E-3</c:v>
                </c:pt>
                <c:pt idx="31">
                  <c:v>-7.3735365846567952E-3</c:v>
                </c:pt>
                <c:pt idx="32">
                  <c:v>6.657482071415189E-3</c:v>
                </c:pt>
                <c:pt idx="33">
                  <c:v>4.0018967481727091E-3</c:v>
                </c:pt>
                <c:pt idx="34">
                  <c:v>6.5056537930442276E-3</c:v>
                </c:pt>
                <c:pt idx="35">
                  <c:v>-3.5578678100074007E-6</c:v>
                </c:pt>
                <c:pt idx="36">
                  <c:v>-5.0463570106178551E-3</c:v>
                </c:pt>
                <c:pt idx="37">
                  <c:v>-3.608487024860052E-3</c:v>
                </c:pt>
                <c:pt idx="38">
                  <c:v>-3.644837610237428E-4</c:v>
                </c:pt>
                <c:pt idx="39">
                  <c:v>8.6980442030644388E-3</c:v>
                </c:pt>
                <c:pt idx="40">
                  <c:v>1.610381238046478E-2</c:v>
                </c:pt>
                <c:pt idx="41">
                  <c:v>5.3669456500851469E-3</c:v>
                </c:pt>
                <c:pt idx="42">
                  <c:v>1.2479767664480834E-3</c:v>
                </c:pt>
                <c:pt idx="43">
                  <c:v>8.9266214158363125E-3</c:v>
                </c:pt>
                <c:pt idx="44">
                  <c:v>-6.926691144153313E-4</c:v>
                </c:pt>
                <c:pt idx="45">
                  <c:v>2.8897873529412314E-3</c:v>
                </c:pt>
                <c:pt idx="46">
                  <c:v>3.7557484163647306E-3</c:v>
                </c:pt>
                <c:pt idx="47">
                  <c:v>9.4254562900411565E-4</c:v>
                </c:pt>
                <c:pt idx="48">
                  <c:v>7.0578572512097777E-3</c:v>
                </c:pt>
                <c:pt idx="49">
                  <c:v>2.0981282277553297E-3</c:v>
                </c:pt>
                <c:pt idx="50">
                  <c:v>1.4002284723989419E-4</c:v>
                </c:pt>
                <c:pt idx="51">
                  <c:v>9.933869694051153E-3</c:v>
                </c:pt>
                <c:pt idx="52">
                  <c:v>2.2861437655638086E-3</c:v>
                </c:pt>
                <c:pt idx="53">
                  <c:v>2.4790468863822857E-3</c:v>
                </c:pt>
                <c:pt idx="54">
                  <c:v>-2.9436619755578378E-3</c:v>
                </c:pt>
                <c:pt idx="55">
                  <c:v>5.7672447250054007E-3</c:v>
                </c:pt>
                <c:pt idx="56">
                  <c:v>2.279028971763776E-3</c:v>
                </c:pt>
                <c:pt idx="57">
                  <c:v>-6.9145027965354482E-4</c:v>
                </c:pt>
                <c:pt idx="58">
                  <c:v>2.0442855735349243E-3</c:v>
                </c:pt>
                <c:pt idx="59">
                  <c:v>2.8734923502728637E-3</c:v>
                </c:pt>
                <c:pt idx="60">
                  <c:v>2.0221060369142122E-3</c:v>
                </c:pt>
                <c:pt idx="61">
                  <c:v>5.604350352637906E-3</c:v>
                </c:pt>
                <c:pt idx="62">
                  <c:v>1.0522094141197334E-3</c:v>
                </c:pt>
                <c:pt idx="63">
                  <c:v>5.8081965410196907E-3</c:v>
                </c:pt>
                <c:pt idx="64">
                  <c:v>-5.4381452607782169E-3</c:v>
                </c:pt>
                <c:pt idx="65">
                  <c:v>4.1170233535638839E-3</c:v>
                </c:pt>
                <c:pt idx="66">
                  <c:v>-8.3123415408407897E-3</c:v>
                </c:pt>
                <c:pt idx="67">
                  <c:v>5.5720601052996338E-3</c:v>
                </c:pt>
                <c:pt idx="68">
                  <c:v>3.9996520812817628E-3</c:v>
                </c:pt>
                <c:pt idx="69">
                  <c:v>3.9222069260161701E-3</c:v>
                </c:pt>
                <c:pt idx="70">
                  <c:v>6.6536413842364986E-3</c:v>
                </c:pt>
                <c:pt idx="71">
                  <c:v>7.3478580245722319E-3</c:v>
                </c:pt>
                <c:pt idx="72">
                  <c:v>-6.362038984752294E-3</c:v>
                </c:pt>
                <c:pt idx="73">
                  <c:v>3.8282635071914331E-3</c:v>
                </c:pt>
                <c:pt idx="74">
                  <c:v>-1.9202953454423799E-2</c:v>
                </c:pt>
                <c:pt idx="75">
                  <c:v>-2.5282392331801851E-4</c:v>
                </c:pt>
                <c:pt idx="76">
                  <c:v>1.2395802951890827E-2</c:v>
                </c:pt>
                <c:pt idx="77">
                  <c:v>6.2075479878941769E-3</c:v>
                </c:pt>
                <c:pt idx="78">
                  <c:v>7.7171788851314316E-3</c:v>
                </c:pt>
                <c:pt idx="79">
                  <c:v>1.2717939593046311E-2</c:v>
                </c:pt>
                <c:pt idx="80">
                  <c:v>5.1702154995745403E-4</c:v>
                </c:pt>
                <c:pt idx="81">
                  <c:v>3.7123380860304908E-3</c:v>
                </c:pt>
                <c:pt idx="82">
                  <c:v>1.045635904056641E-2</c:v>
                </c:pt>
                <c:pt idx="83">
                  <c:v>4.4164803843953909E-3</c:v>
                </c:pt>
                <c:pt idx="84">
                  <c:v>9.9234237894272152E-3</c:v>
                </c:pt>
                <c:pt idx="85">
                  <c:v>1.4338734559692711E-2</c:v>
                </c:pt>
                <c:pt idx="86">
                  <c:v>5.2555260206411138E-3</c:v>
                </c:pt>
                <c:pt idx="87">
                  <c:v>5.5318554839023128E-3</c:v>
                </c:pt>
                <c:pt idx="88">
                  <c:v>3.5549261442380017E-3</c:v>
                </c:pt>
                <c:pt idx="89">
                  <c:v>3.4079636679283515E-3</c:v>
                </c:pt>
                <c:pt idx="90">
                  <c:v>7.4673015396111396E-4</c:v>
                </c:pt>
                <c:pt idx="91">
                  <c:v>5.6911953018921411E-3</c:v>
                </c:pt>
                <c:pt idx="92">
                  <c:v>9.5896841144835696E-3</c:v>
                </c:pt>
                <c:pt idx="93">
                  <c:v>-5.7054967562873964E-4</c:v>
                </c:pt>
                <c:pt idx="94">
                  <c:v>-2.3629037049474125E-3</c:v>
                </c:pt>
                <c:pt idx="95">
                  <c:v>1.0752840010393894E-2</c:v>
                </c:pt>
                <c:pt idx="96">
                  <c:v>5.3606721687756986E-3</c:v>
                </c:pt>
                <c:pt idx="97">
                  <c:v>5.9370445777996717E-3</c:v>
                </c:pt>
                <c:pt idx="98">
                  <c:v>-2.442594920099378E-3</c:v>
                </c:pt>
                <c:pt idx="99">
                  <c:v>-3.8301969546380987E-4</c:v>
                </c:pt>
                <c:pt idx="100">
                  <c:v>3.0632258083308217E-3</c:v>
                </c:pt>
                <c:pt idx="101">
                  <c:v>-1.1879467067317045E-2</c:v>
                </c:pt>
                <c:pt idx="102">
                  <c:v>5.4460372542419477E-3</c:v>
                </c:pt>
                <c:pt idx="103">
                  <c:v>1.0974228616697765E-2</c:v>
                </c:pt>
                <c:pt idx="104">
                  <c:v>1.0037390691389286E-2</c:v>
                </c:pt>
                <c:pt idx="105">
                  <c:v>-1.4914633221939644E-2</c:v>
                </c:pt>
                <c:pt idx="106">
                  <c:v>-7.9193006297775675E-3</c:v>
                </c:pt>
                <c:pt idx="107">
                  <c:v>-2.0210087645480615E-3</c:v>
                </c:pt>
                <c:pt idx="108">
                  <c:v>-5.6677606434503702E-3</c:v>
                </c:pt>
                <c:pt idx="109">
                  <c:v>2.8719769983888213E-3</c:v>
                </c:pt>
                <c:pt idx="110">
                  <c:v>-7.5138237198977102E-3</c:v>
                </c:pt>
                <c:pt idx="111">
                  <c:v>-4.1351440955671144E-3</c:v>
                </c:pt>
                <c:pt idx="112">
                  <c:v>6.1812984380347352E-4</c:v>
                </c:pt>
                <c:pt idx="113">
                  <c:v>6.7304850341082939E-4</c:v>
                </c:pt>
                <c:pt idx="114">
                  <c:v>-9.8278032066092466E-3</c:v>
                </c:pt>
                <c:pt idx="115">
                  <c:v>-5.7602622623666193E-3</c:v>
                </c:pt>
                <c:pt idx="116">
                  <c:v>-8.9315875977561861E-3</c:v>
                </c:pt>
                <c:pt idx="117">
                  <c:v>-9.8601537602717101E-3</c:v>
                </c:pt>
                <c:pt idx="118">
                  <c:v>-4.7570676867816908E-3</c:v>
                </c:pt>
                <c:pt idx="119">
                  <c:v>-7.3670249898620949E-3</c:v>
                </c:pt>
                <c:pt idx="120">
                  <c:v>-1.5016140533639808E-3</c:v>
                </c:pt>
                <c:pt idx="121">
                  <c:v>-2.4511927289199717E-3</c:v>
                </c:pt>
                <c:pt idx="122">
                  <c:v>-7.8734341667725874E-3</c:v>
                </c:pt>
                <c:pt idx="123">
                  <c:v>-2.546230716909759E-3</c:v>
                </c:pt>
                <c:pt idx="124">
                  <c:v>-5.1093873639347989E-3</c:v>
                </c:pt>
                <c:pt idx="125">
                  <c:v>-6.5200543975141231E-3</c:v>
                </c:pt>
                <c:pt idx="126">
                  <c:v>-5.9484287088277799E-3</c:v>
                </c:pt>
                <c:pt idx="127">
                  <c:v>-2.7138159187511113E-3</c:v>
                </c:pt>
                <c:pt idx="128">
                  <c:v>-8.5513410739287976E-4</c:v>
                </c:pt>
                <c:pt idx="129">
                  <c:v>-3.3355903360000917E-3</c:v>
                </c:pt>
                <c:pt idx="130">
                  <c:v>-6.7452521184151043E-3</c:v>
                </c:pt>
                <c:pt idx="131">
                  <c:v>-4.8126395505041757E-3</c:v>
                </c:pt>
                <c:pt idx="132">
                  <c:v>-5.0247964116681906E-3</c:v>
                </c:pt>
                <c:pt idx="133">
                  <c:v>-5.4791567665235155E-3</c:v>
                </c:pt>
                <c:pt idx="134">
                  <c:v>-6.8560710916046874E-3</c:v>
                </c:pt>
                <c:pt idx="135">
                  <c:v>-9.994055671832959E-3</c:v>
                </c:pt>
                <c:pt idx="136">
                  <c:v>2.0828780415566017E-6</c:v>
                </c:pt>
                <c:pt idx="137">
                  <c:v>-7.1968438203836339E-3</c:v>
                </c:pt>
                <c:pt idx="138">
                  <c:v>-2.5060224276959864E-3</c:v>
                </c:pt>
                <c:pt idx="139">
                  <c:v>-2.2261158752178226E-3</c:v>
                </c:pt>
                <c:pt idx="140">
                  <c:v>-6.4997713021829329E-3</c:v>
                </c:pt>
                <c:pt idx="141">
                  <c:v>-9.493763721847074E-3</c:v>
                </c:pt>
                <c:pt idx="142">
                  <c:v>-5.8793742880857199E-3</c:v>
                </c:pt>
                <c:pt idx="143">
                  <c:v>-5.3148745506210199E-3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8D1-3C47-BA93-79ED43F987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9619600"/>
        <c:axId val="1499621872"/>
      </c:scatterChart>
      <c:valAx>
        <c:axId val="14996196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IG Credit Spread (%)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1499621872"/>
        <c:crosses val="autoZero"/>
        <c:crossBetween val="midCat"/>
      </c:valAx>
      <c:valAx>
        <c:axId val="14996218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Inflation Change (%)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149961960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'Dinflation on Credit, SP-HY'!$E$27:$E$170</c:f>
              <c:numCache>
                <c:formatCode>General</c:formatCode>
                <c:ptCount val="144"/>
                <c:pt idx="0">
                  <c:v>0.34722222222222221</c:v>
                </c:pt>
                <c:pt idx="1">
                  <c:v>1.0416666666666665</c:v>
                </c:pt>
                <c:pt idx="2">
                  <c:v>1.7361111111111112</c:v>
                </c:pt>
                <c:pt idx="3">
                  <c:v>2.4305555555555554</c:v>
                </c:pt>
                <c:pt idx="4">
                  <c:v>3.125</c:v>
                </c:pt>
                <c:pt idx="5">
                  <c:v>3.8194444444444446</c:v>
                </c:pt>
                <c:pt idx="6">
                  <c:v>4.5138888888888884</c:v>
                </c:pt>
                <c:pt idx="7">
                  <c:v>5.208333333333333</c:v>
                </c:pt>
                <c:pt idx="8">
                  <c:v>5.9027777777777777</c:v>
                </c:pt>
                <c:pt idx="9">
                  <c:v>6.5972222222222223</c:v>
                </c:pt>
                <c:pt idx="10">
                  <c:v>7.291666666666667</c:v>
                </c:pt>
                <c:pt idx="11">
                  <c:v>7.9861111111111107</c:v>
                </c:pt>
                <c:pt idx="12">
                  <c:v>8.6805555555555536</c:v>
                </c:pt>
                <c:pt idx="13">
                  <c:v>9.3749999999999982</c:v>
                </c:pt>
                <c:pt idx="14">
                  <c:v>10.069444444444443</c:v>
                </c:pt>
                <c:pt idx="15">
                  <c:v>10.763888888888888</c:v>
                </c:pt>
                <c:pt idx="16">
                  <c:v>11.458333333333332</c:v>
                </c:pt>
                <c:pt idx="17">
                  <c:v>12.152777777777777</c:v>
                </c:pt>
                <c:pt idx="18">
                  <c:v>12.847222222222221</c:v>
                </c:pt>
                <c:pt idx="19">
                  <c:v>13.541666666666666</c:v>
                </c:pt>
                <c:pt idx="20">
                  <c:v>14.236111111111111</c:v>
                </c:pt>
                <c:pt idx="21">
                  <c:v>14.930555555555554</c:v>
                </c:pt>
                <c:pt idx="22">
                  <c:v>15.624999999999998</c:v>
                </c:pt>
                <c:pt idx="23">
                  <c:v>16.319444444444443</c:v>
                </c:pt>
                <c:pt idx="24">
                  <c:v>17.013888888888886</c:v>
                </c:pt>
                <c:pt idx="25">
                  <c:v>17.708333333333332</c:v>
                </c:pt>
                <c:pt idx="26">
                  <c:v>18.402777777777775</c:v>
                </c:pt>
                <c:pt idx="27">
                  <c:v>19.097222222222221</c:v>
                </c:pt>
                <c:pt idx="28">
                  <c:v>19.791666666666664</c:v>
                </c:pt>
                <c:pt idx="29">
                  <c:v>20.486111111111111</c:v>
                </c:pt>
                <c:pt idx="30">
                  <c:v>21.180555555555554</c:v>
                </c:pt>
                <c:pt idx="31">
                  <c:v>21.875</c:v>
                </c:pt>
                <c:pt idx="32">
                  <c:v>22.569444444444443</c:v>
                </c:pt>
                <c:pt idx="33">
                  <c:v>23.263888888888886</c:v>
                </c:pt>
                <c:pt idx="34">
                  <c:v>23.958333333333332</c:v>
                </c:pt>
                <c:pt idx="35">
                  <c:v>24.652777777777775</c:v>
                </c:pt>
                <c:pt idx="36">
                  <c:v>25.347222222222221</c:v>
                </c:pt>
                <c:pt idx="37">
                  <c:v>26.041666666666664</c:v>
                </c:pt>
                <c:pt idx="38">
                  <c:v>26.736111111111111</c:v>
                </c:pt>
                <c:pt idx="39">
                  <c:v>27.430555555555554</c:v>
                </c:pt>
                <c:pt idx="40">
                  <c:v>28.125</c:v>
                </c:pt>
                <c:pt idx="41">
                  <c:v>28.819444444444443</c:v>
                </c:pt>
                <c:pt idx="42">
                  <c:v>29.513888888888886</c:v>
                </c:pt>
                <c:pt idx="43">
                  <c:v>30.208333333333332</c:v>
                </c:pt>
                <c:pt idx="44">
                  <c:v>30.902777777777775</c:v>
                </c:pt>
                <c:pt idx="45">
                  <c:v>31.597222222222221</c:v>
                </c:pt>
                <c:pt idx="46">
                  <c:v>32.291666666666664</c:v>
                </c:pt>
                <c:pt idx="47">
                  <c:v>32.986111111111107</c:v>
                </c:pt>
                <c:pt idx="48">
                  <c:v>33.68055555555555</c:v>
                </c:pt>
                <c:pt idx="49">
                  <c:v>34.375</c:v>
                </c:pt>
                <c:pt idx="50">
                  <c:v>35.069444444444443</c:v>
                </c:pt>
                <c:pt idx="51">
                  <c:v>35.763888888888886</c:v>
                </c:pt>
                <c:pt idx="52">
                  <c:v>36.458333333333329</c:v>
                </c:pt>
                <c:pt idx="53">
                  <c:v>37.152777777777779</c:v>
                </c:pt>
                <c:pt idx="54">
                  <c:v>37.847222222222221</c:v>
                </c:pt>
                <c:pt idx="55">
                  <c:v>38.541666666666664</c:v>
                </c:pt>
                <c:pt idx="56">
                  <c:v>39.236111111111107</c:v>
                </c:pt>
                <c:pt idx="57">
                  <c:v>39.93055555555555</c:v>
                </c:pt>
                <c:pt idx="58">
                  <c:v>40.625</c:v>
                </c:pt>
                <c:pt idx="59">
                  <c:v>41.319444444444443</c:v>
                </c:pt>
                <c:pt idx="60">
                  <c:v>42.013888888888886</c:v>
                </c:pt>
                <c:pt idx="61">
                  <c:v>42.708333333333329</c:v>
                </c:pt>
                <c:pt idx="62">
                  <c:v>43.402777777777779</c:v>
                </c:pt>
                <c:pt idx="63">
                  <c:v>44.097222222222221</c:v>
                </c:pt>
                <c:pt idx="64">
                  <c:v>44.791666666666664</c:v>
                </c:pt>
                <c:pt idx="65">
                  <c:v>45.486111111111107</c:v>
                </c:pt>
                <c:pt idx="66">
                  <c:v>46.18055555555555</c:v>
                </c:pt>
                <c:pt idx="67">
                  <c:v>46.875</c:v>
                </c:pt>
                <c:pt idx="68">
                  <c:v>47.569444444444443</c:v>
                </c:pt>
                <c:pt idx="69">
                  <c:v>48.263888888888886</c:v>
                </c:pt>
                <c:pt idx="70">
                  <c:v>48.958333333333329</c:v>
                </c:pt>
                <c:pt idx="71">
                  <c:v>49.652777777777779</c:v>
                </c:pt>
                <c:pt idx="72">
                  <c:v>50.347222222222221</c:v>
                </c:pt>
                <c:pt idx="73">
                  <c:v>51.041666666666664</c:v>
                </c:pt>
                <c:pt idx="74">
                  <c:v>51.736111111111107</c:v>
                </c:pt>
                <c:pt idx="75">
                  <c:v>52.43055555555555</c:v>
                </c:pt>
                <c:pt idx="76">
                  <c:v>53.125</c:v>
                </c:pt>
                <c:pt idx="77">
                  <c:v>53.819444444444443</c:v>
                </c:pt>
                <c:pt idx="78">
                  <c:v>54.513888888888886</c:v>
                </c:pt>
                <c:pt idx="79">
                  <c:v>55.208333333333329</c:v>
                </c:pt>
                <c:pt idx="80">
                  <c:v>55.902777777777779</c:v>
                </c:pt>
                <c:pt idx="81">
                  <c:v>56.597222222222221</c:v>
                </c:pt>
                <c:pt idx="82">
                  <c:v>57.291666666666664</c:v>
                </c:pt>
                <c:pt idx="83">
                  <c:v>57.986111111111107</c:v>
                </c:pt>
                <c:pt idx="84">
                  <c:v>58.68055555555555</c:v>
                </c:pt>
                <c:pt idx="85">
                  <c:v>59.375</c:v>
                </c:pt>
                <c:pt idx="86">
                  <c:v>60.069444444444443</c:v>
                </c:pt>
                <c:pt idx="87">
                  <c:v>60.763888888888886</c:v>
                </c:pt>
                <c:pt idx="88">
                  <c:v>61.458333333333329</c:v>
                </c:pt>
                <c:pt idx="89">
                  <c:v>62.152777777777771</c:v>
                </c:pt>
                <c:pt idx="90">
                  <c:v>62.847222222222221</c:v>
                </c:pt>
                <c:pt idx="91">
                  <c:v>63.541666666666664</c:v>
                </c:pt>
                <c:pt idx="92">
                  <c:v>64.236111111111114</c:v>
                </c:pt>
                <c:pt idx="93">
                  <c:v>64.930555555555557</c:v>
                </c:pt>
                <c:pt idx="94">
                  <c:v>65.625</c:v>
                </c:pt>
                <c:pt idx="95">
                  <c:v>66.319444444444443</c:v>
                </c:pt>
                <c:pt idx="96">
                  <c:v>67.013888888888886</c:v>
                </c:pt>
                <c:pt idx="97">
                  <c:v>67.708333333333343</c:v>
                </c:pt>
                <c:pt idx="98">
                  <c:v>68.402777777777786</c:v>
                </c:pt>
                <c:pt idx="99">
                  <c:v>69.097222222222229</c:v>
                </c:pt>
                <c:pt idx="100">
                  <c:v>69.791666666666671</c:v>
                </c:pt>
                <c:pt idx="101">
                  <c:v>70.486111111111114</c:v>
                </c:pt>
                <c:pt idx="102">
                  <c:v>71.180555555555557</c:v>
                </c:pt>
                <c:pt idx="103">
                  <c:v>71.875</c:v>
                </c:pt>
                <c:pt idx="104">
                  <c:v>72.569444444444443</c:v>
                </c:pt>
                <c:pt idx="105">
                  <c:v>73.263888888888886</c:v>
                </c:pt>
                <c:pt idx="106">
                  <c:v>73.958333333333343</c:v>
                </c:pt>
                <c:pt idx="107">
                  <c:v>74.652777777777786</c:v>
                </c:pt>
                <c:pt idx="108">
                  <c:v>75.347222222222229</c:v>
                </c:pt>
                <c:pt idx="109">
                  <c:v>76.041666666666671</c:v>
                </c:pt>
                <c:pt idx="110">
                  <c:v>76.736111111111114</c:v>
                </c:pt>
                <c:pt idx="111">
                  <c:v>77.430555555555557</c:v>
                </c:pt>
                <c:pt idx="112">
                  <c:v>78.125</c:v>
                </c:pt>
                <c:pt idx="113">
                  <c:v>78.819444444444443</c:v>
                </c:pt>
                <c:pt idx="114">
                  <c:v>79.513888888888886</c:v>
                </c:pt>
                <c:pt idx="115">
                  <c:v>80.208333333333343</c:v>
                </c:pt>
                <c:pt idx="116">
                  <c:v>80.902777777777786</c:v>
                </c:pt>
                <c:pt idx="117">
                  <c:v>81.597222222222229</c:v>
                </c:pt>
                <c:pt idx="118">
                  <c:v>82.291666666666671</c:v>
                </c:pt>
                <c:pt idx="119">
                  <c:v>82.986111111111114</c:v>
                </c:pt>
                <c:pt idx="120">
                  <c:v>83.680555555555557</c:v>
                </c:pt>
                <c:pt idx="121">
                  <c:v>84.375</c:v>
                </c:pt>
                <c:pt idx="122">
                  <c:v>85.069444444444443</c:v>
                </c:pt>
                <c:pt idx="123">
                  <c:v>85.763888888888886</c:v>
                </c:pt>
                <c:pt idx="124">
                  <c:v>86.458333333333343</c:v>
                </c:pt>
                <c:pt idx="125">
                  <c:v>87.152777777777786</c:v>
                </c:pt>
                <c:pt idx="126">
                  <c:v>87.847222222222229</c:v>
                </c:pt>
                <c:pt idx="127">
                  <c:v>88.541666666666671</c:v>
                </c:pt>
                <c:pt idx="128">
                  <c:v>89.236111111111114</c:v>
                </c:pt>
                <c:pt idx="129">
                  <c:v>89.930555555555557</c:v>
                </c:pt>
                <c:pt idx="130">
                  <c:v>90.625</c:v>
                </c:pt>
                <c:pt idx="131">
                  <c:v>91.319444444444443</c:v>
                </c:pt>
                <c:pt idx="132">
                  <c:v>92.013888888888886</c:v>
                </c:pt>
                <c:pt idx="133">
                  <c:v>92.708333333333343</c:v>
                </c:pt>
                <c:pt idx="134">
                  <c:v>93.402777777777786</c:v>
                </c:pt>
                <c:pt idx="135">
                  <c:v>94.097222222222229</c:v>
                </c:pt>
                <c:pt idx="136">
                  <c:v>94.791666666666671</c:v>
                </c:pt>
                <c:pt idx="137">
                  <c:v>95.486111111111114</c:v>
                </c:pt>
                <c:pt idx="138">
                  <c:v>96.180555555555557</c:v>
                </c:pt>
                <c:pt idx="139">
                  <c:v>96.875</c:v>
                </c:pt>
                <c:pt idx="140">
                  <c:v>97.569444444444443</c:v>
                </c:pt>
                <c:pt idx="141">
                  <c:v>98.263888888888886</c:v>
                </c:pt>
                <c:pt idx="142">
                  <c:v>98.958333333333343</c:v>
                </c:pt>
                <c:pt idx="143">
                  <c:v>99.652777777777786</c:v>
                </c:pt>
              </c:numCache>
            </c:numRef>
          </c:xVal>
          <c:yVal>
            <c:numRef>
              <c:f>'Dinflation on Credit, SP-HY'!$F$27:$F$170</c:f>
              <c:numCache>
                <c:formatCode>General</c:formatCode>
                <c:ptCount val="144"/>
                <c:pt idx="0">
                  <c:v>-0.11083333333333328</c:v>
                </c:pt>
                <c:pt idx="1">
                  <c:v>-0.06</c:v>
                </c:pt>
                <c:pt idx="2">
                  <c:v>-5.749999999999994E-2</c:v>
                </c:pt>
                <c:pt idx="3">
                  <c:v>-5.4166666666666696E-2</c:v>
                </c:pt>
                <c:pt idx="4">
                  <c:v>-4.500000000000004E-2</c:v>
                </c:pt>
                <c:pt idx="5">
                  <c:v>-4.3333333333333335E-2</c:v>
                </c:pt>
                <c:pt idx="6">
                  <c:v>-3.5000000000000087E-2</c:v>
                </c:pt>
                <c:pt idx="7">
                  <c:v>-3.1666666666666676E-2</c:v>
                </c:pt>
                <c:pt idx="8">
                  <c:v>-3.0000000000000027E-2</c:v>
                </c:pt>
                <c:pt idx="9">
                  <c:v>-2.8333333333333266E-2</c:v>
                </c:pt>
                <c:pt idx="10">
                  <c:v>-2.5833333333333264E-2</c:v>
                </c:pt>
                <c:pt idx="11">
                  <c:v>-2.4999999999999994E-2</c:v>
                </c:pt>
                <c:pt idx="12">
                  <c:v>-2.4999999999999911E-2</c:v>
                </c:pt>
                <c:pt idx="13">
                  <c:v>-2.250000000000002E-2</c:v>
                </c:pt>
                <c:pt idx="14">
                  <c:v>-2.2499999999999964E-2</c:v>
                </c:pt>
                <c:pt idx="15">
                  <c:v>-2.2499999999999964E-2</c:v>
                </c:pt>
                <c:pt idx="16">
                  <c:v>-2.083333333333337E-2</c:v>
                </c:pt>
                <c:pt idx="17">
                  <c:v>-2.0833333333333315E-2</c:v>
                </c:pt>
                <c:pt idx="18">
                  <c:v>-1.9999999999999962E-2</c:v>
                </c:pt>
                <c:pt idx="19">
                  <c:v>-1.9166666666666721E-2</c:v>
                </c:pt>
                <c:pt idx="20">
                  <c:v>-1.8333333333333368E-2</c:v>
                </c:pt>
                <c:pt idx="21">
                  <c:v>-1.833333333333334E-2</c:v>
                </c:pt>
                <c:pt idx="22">
                  <c:v>-1.8333333333333313E-2</c:v>
                </c:pt>
                <c:pt idx="23">
                  <c:v>-1.7500000000000016E-2</c:v>
                </c:pt>
                <c:pt idx="24">
                  <c:v>-1.7499999999999988E-2</c:v>
                </c:pt>
                <c:pt idx="25">
                  <c:v>-1.583333333333331E-2</c:v>
                </c:pt>
                <c:pt idx="26">
                  <c:v>-1.4166666666666716E-2</c:v>
                </c:pt>
                <c:pt idx="27">
                  <c:v>-1.3333333333333308E-2</c:v>
                </c:pt>
                <c:pt idx="28">
                  <c:v>-1.3333333333333308E-2</c:v>
                </c:pt>
                <c:pt idx="29">
                  <c:v>-1.2500000000000067E-2</c:v>
                </c:pt>
                <c:pt idx="30">
                  <c:v>-1.2500000000000011E-2</c:v>
                </c:pt>
                <c:pt idx="31">
                  <c:v>-1.2500000000000011E-2</c:v>
                </c:pt>
                <c:pt idx="32">
                  <c:v>-1.2499999999999983E-2</c:v>
                </c:pt>
                <c:pt idx="33">
                  <c:v>-1.2499999999999983E-2</c:v>
                </c:pt>
                <c:pt idx="34">
                  <c:v>-1.1666666666666686E-2</c:v>
                </c:pt>
                <c:pt idx="35">
                  <c:v>-1.1666666666666659E-2</c:v>
                </c:pt>
                <c:pt idx="36">
                  <c:v>-1.1666666666666659E-2</c:v>
                </c:pt>
                <c:pt idx="37">
                  <c:v>-1.0000000000000009E-2</c:v>
                </c:pt>
                <c:pt idx="38">
                  <c:v>-1.0000000000000009E-2</c:v>
                </c:pt>
                <c:pt idx="39">
                  <c:v>-9.1666666666666841E-3</c:v>
                </c:pt>
                <c:pt idx="40">
                  <c:v>-9.1666666666666563E-3</c:v>
                </c:pt>
                <c:pt idx="41">
                  <c:v>-8.3333333333333592E-3</c:v>
                </c:pt>
                <c:pt idx="42">
                  <c:v>-8.3333333333333592E-3</c:v>
                </c:pt>
                <c:pt idx="43">
                  <c:v>-8.3333333333333592E-3</c:v>
                </c:pt>
                <c:pt idx="44">
                  <c:v>-8.3333333333333592E-3</c:v>
                </c:pt>
                <c:pt idx="45">
                  <c:v>-8.3333333333333592E-3</c:v>
                </c:pt>
                <c:pt idx="46">
                  <c:v>-8.3333333333333315E-3</c:v>
                </c:pt>
                <c:pt idx="47">
                  <c:v>-8.3333333333333315E-3</c:v>
                </c:pt>
                <c:pt idx="48">
                  <c:v>-8.3333333333333037E-3</c:v>
                </c:pt>
                <c:pt idx="49">
                  <c:v>-7.5000000000000067E-3</c:v>
                </c:pt>
                <c:pt idx="50">
                  <c:v>-6.6666666666666818E-3</c:v>
                </c:pt>
                <c:pt idx="51">
                  <c:v>-6.6666666666666818E-3</c:v>
                </c:pt>
                <c:pt idx="52">
                  <c:v>-5.833333333333357E-3</c:v>
                </c:pt>
                <c:pt idx="53">
                  <c:v>-5.833333333333357E-3</c:v>
                </c:pt>
                <c:pt idx="54">
                  <c:v>-5.833333333333357E-3</c:v>
                </c:pt>
                <c:pt idx="55">
                  <c:v>-5.8333333333333293E-3</c:v>
                </c:pt>
                <c:pt idx="56">
                  <c:v>-5.8333333333333015E-3</c:v>
                </c:pt>
                <c:pt idx="57">
                  <c:v>-5.0000000000000044E-3</c:v>
                </c:pt>
                <c:pt idx="58">
                  <c:v>-3.333333333333327E-3</c:v>
                </c:pt>
                <c:pt idx="59">
                  <c:v>-2.4999999999999467E-3</c:v>
                </c:pt>
                <c:pt idx="60">
                  <c:v>-1.6666666666667052E-3</c:v>
                </c:pt>
                <c:pt idx="61">
                  <c:v>-1.6666666666666496E-3</c:v>
                </c:pt>
                <c:pt idx="62">
                  <c:v>-1.6666666666665941E-3</c:v>
                </c:pt>
                <c:pt idx="63">
                  <c:v>-8.3333333333340809E-4</c:v>
                </c:pt>
                <c:pt idx="64">
                  <c:v>-8.3333333333335258E-4</c:v>
                </c:pt>
                <c:pt idx="65">
                  <c:v>-8.3333333333335258E-4</c:v>
                </c:pt>
                <c:pt idx="66">
                  <c:v>-8.3333333333329707E-4</c:v>
                </c:pt>
                <c:pt idx="67">
                  <c:v>0</c:v>
                </c:pt>
                <c:pt idx="68">
                  <c:v>0</c:v>
                </c:pt>
                <c:pt idx="69">
                  <c:v>3.671328671328667E-4</c:v>
                </c:pt>
                <c:pt idx="70">
                  <c:v>8.3333333333332482E-4</c:v>
                </c:pt>
                <c:pt idx="71">
                  <c:v>8.3333333333335258E-4</c:v>
                </c:pt>
                <c:pt idx="72">
                  <c:v>8.3333333333335258E-4</c:v>
                </c:pt>
                <c:pt idx="73">
                  <c:v>1.6666666666666496E-3</c:v>
                </c:pt>
                <c:pt idx="74">
                  <c:v>1.6666666666666774E-3</c:v>
                </c:pt>
                <c:pt idx="75">
                  <c:v>2.5000000000000022E-3</c:v>
                </c:pt>
                <c:pt idx="76">
                  <c:v>2.5000000000000022E-3</c:v>
                </c:pt>
                <c:pt idx="77">
                  <c:v>4.1666666666666519E-3</c:v>
                </c:pt>
                <c:pt idx="78">
                  <c:v>4.1666666666666519E-3</c:v>
                </c:pt>
                <c:pt idx="79">
                  <c:v>4.1666666666666796E-3</c:v>
                </c:pt>
                <c:pt idx="80">
                  <c:v>4.1666666666667074E-3</c:v>
                </c:pt>
                <c:pt idx="81">
                  <c:v>5.0000000000000044E-3</c:v>
                </c:pt>
                <c:pt idx="82">
                  <c:v>5.00000000000006E-3</c:v>
                </c:pt>
                <c:pt idx="83">
                  <c:v>5.8333333333333015E-3</c:v>
                </c:pt>
                <c:pt idx="84">
                  <c:v>5.8333333333333293E-3</c:v>
                </c:pt>
                <c:pt idx="85">
                  <c:v>5.833333333333357E-3</c:v>
                </c:pt>
                <c:pt idx="86">
                  <c:v>5.833333333333357E-3</c:v>
                </c:pt>
                <c:pt idx="87">
                  <c:v>5.833333333333357E-3</c:v>
                </c:pt>
                <c:pt idx="88">
                  <c:v>6.6666666666665986E-3</c:v>
                </c:pt>
                <c:pt idx="89">
                  <c:v>6.6666666666666541E-3</c:v>
                </c:pt>
                <c:pt idx="90">
                  <c:v>6.6666666666666818E-3</c:v>
                </c:pt>
                <c:pt idx="91">
                  <c:v>7.4999999999999512E-3</c:v>
                </c:pt>
                <c:pt idx="92">
                  <c:v>7.5000000000000067E-3</c:v>
                </c:pt>
                <c:pt idx="93">
                  <c:v>7.5000000000000067E-3</c:v>
                </c:pt>
                <c:pt idx="94">
                  <c:v>7.5000000000000067E-3</c:v>
                </c:pt>
                <c:pt idx="95">
                  <c:v>7.5000000000000067E-3</c:v>
                </c:pt>
                <c:pt idx="96">
                  <c:v>8.3333333333333315E-3</c:v>
                </c:pt>
                <c:pt idx="97">
                  <c:v>9.1666666666666008E-3</c:v>
                </c:pt>
                <c:pt idx="98">
                  <c:v>9.1666666666666563E-3</c:v>
                </c:pt>
                <c:pt idx="99">
                  <c:v>9.1666666666666563E-3</c:v>
                </c:pt>
                <c:pt idx="100">
                  <c:v>1.0000000000000009E-2</c:v>
                </c:pt>
                <c:pt idx="101">
                  <c:v>1.0000000000000009E-2</c:v>
                </c:pt>
                <c:pt idx="102">
                  <c:v>1.0833333333333361E-2</c:v>
                </c:pt>
                <c:pt idx="103">
                  <c:v>1.1666666666666659E-2</c:v>
                </c:pt>
                <c:pt idx="104">
                  <c:v>1.1666666666666659E-2</c:v>
                </c:pt>
                <c:pt idx="105">
                  <c:v>1.2500000000000011E-2</c:v>
                </c:pt>
                <c:pt idx="106">
                  <c:v>1.3333333333333308E-2</c:v>
                </c:pt>
                <c:pt idx="107">
                  <c:v>1.3333333333333364E-2</c:v>
                </c:pt>
                <c:pt idx="108">
                  <c:v>1.4999999999999958E-2</c:v>
                </c:pt>
                <c:pt idx="109">
                  <c:v>1.5000000000000041E-2</c:v>
                </c:pt>
                <c:pt idx="110">
                  <c:v>1.5833333333333366E-2</c:v>
                </c:pt>
                <c:pt idx="111">
                  <c:v>1.6666666666666663E-2</c:v>
                </c:pt>
                <c:pt idx="112">
                  <c:v>1.6666666666666663E-2</c:v>
                </c:pt>
                <c:pt idx="113">
                  <c:v>1.749999999999996E-2</c:v>
                </c:pt>
                <c:pt idx="114">
                  <c:v>1.7500000000000016E-2</c:v>
                </c:pt>
                <c:pt idx="115">
                  <c:v>1.7500000000000016E-2</c:v>
                </c:pt>
                <c:pt idx="116">
                  <c:v>1.9166666666666665E-2</c:v>
                </c:pt>
                <c:pt idx="117">
                  <c:v>1.9999999999999907E-2</c:v>
                </c:pt>
                <c:pt idx="118">
                  <c:v>1.9999999999999962E-2</c:v>
                </c:pt>
                <c:pt idx="119">
                  <c:v>1.9999999999999962E-2</c:v>
                </c:pt>
                <c:pt idx="120">
                  <c:v>1.999999999999999E-2</c:v>
                </c:pt>
                <c:pt idx="121">
                  <c:v>2.0000000000000073E-2</c:v>
                </c:pt>
                <c:pt idx="122">
                  <c:v>2.0833333333333259E-2</c:v>
                </c:pt>
                <c:pt idx="123">
                  <c:v>2.083333333333337E-2</c:v>
                </c:pt>
                <c:pt idx="124">
                  <c:v>2.1666666666666612E-2</c:v>
                </c:pt>
                <c:pt idx="125">
                  <c:v>2.1666666666666723E-2</c:v>
                </c:pt>
                <c:pt idx="126">
                  <c:v>2.2499999999999964E-2</c:v>
                </c:pt>
                <c:pt idx="127">
                  <c:v>2.2499999999999964E-2</c:v>
                </c:pt>
                <c:pt idx="128">
                  <c:v>2.3333333333333317E-2</c:v>
                </c:pt>
                <c:pt idx="129">
                  <c:v>2.4166666666666559E-2</c:v>
                </c:pt>
                <c:pt idx="130">
                  <c:v>2.416666666666667E-2</c:v>
                </c:pt>
                <c:pt idx="131">
                  <c:v>2.5000000000000022E-2</c:v>
                </c:pt>
                <c:pt idx="132">
                  <c:v>2.5833333333333375E-2</c:v>
                </c:pt>
                <c:pt idx="133">
                  <c:v>2.7499999999999969E-2</c:v>
                </c:pt>
                <c:pt idx="134">
                  <c:v>2.750000000000008E-2</c:v>
                </c:pt>
                <c:pt idx="135">
                  <c:v>2.9999999999999971E-2</c:v>
                </c:pt>
                <c:pt idx="136">
                  <c:v>3.0000000000000027E-2</c:v>
                </c:pt>
                <c:pt idx="137">
                  <c:v>3.1666666666666732E-2</c:v>
                </c:pt>
                <c:pt idx="138">
                  <c:v>3.3333333333333326E-2</c:v>
                </c:pt>
                <c:pt idx="139">
                  <c:v>3.833333333333333E-2</c:v>
                </c:pt>
                <c:pt idx="140">
                  <c:v>3.8333333333333358E-2</c:v>
                </c:pt>
                <c:pt idx="141">
                  <c:v>4.0833333333333333E-2</c:v>
                </c:pt>
                <c:pt idx="142">
                  <c:v>4.5833333333333393E-2</c:v>
                </c:pt>
                <c:pt idx="143">
                  <c:v>9.0833333333333377E-2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57-A847-A786-AA8750148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9837920"/>
        <c:axId val="1499840192"/>
      </c:scatterChart>
      <c:valAx>
        <c:axId val="1499837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99840192"/>
        <c:crosses val="autoZero"/>
        <c:crossBetween val="midCat"/>
      </c:valAx>
      <c:valAx>
        <c:axId val="14998401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Inflation Change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99837920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1.xml"/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4.xml"/><Relationship Id="rId2" Type="http://schemas.openxmlformats.org/officeDocument/2006/relationships/chart" Target="../charts/chart43.xml"/><Relationship Id="rId1" Type="http://schemas.openxmlformats.org/officeDocument/2006/relationships/chart" Target="../charts/chart42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7.xml"/><Relationship Id="rId2" Type="http://schemas.openxmlformats.org/officeDocument/2006/relationships/chart" Target="../charts/chart46.xml"/><Relationship Id="rId1" Type="http://schemas.openxmlformats.org/officeDocument/2006/relationships/chart" Target="../charts/chart45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0.xml"/><Relationship Id="rId2" Type="http://schemas.openxmlformats.org/officeDocument/2006/relationships/chart" Target="../charts/chart49.xml"/><Relationship Id="rId1" Type="http://schemas.openxmlformats.org/officeDocument/2006/relationships/chart" Target="../charts/chart48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3.xml"/><Relationship Id="rId2" Type="http://schemas.openxmlformats.org/officeDocument/2006/relationships/chart" Target="../charts/chart52.xml"/><Relationship Id="rId1" Type="http://schemas.openxmlformats.org/officeDocument/2006/relationships/chart" Target="../charts/chart51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6.xml"/><Relationship Id="rId2" Type="http://schemas.openxmlformats.org/officeDocument/2006/relationships/chart" Target="../charts/chart55.xml"/><Relationship Id="rId1" Type="http://schemas.openxmlformats.org/officeDocument/2006/relationships/chart" Target="../charts/chart54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9.xml"/><Relationship Id="rId2" Type="http://schemas.openxmlformats.org/officeDocument/2006/relationships/chart" Target="../charts/chart58.xml"/><Relationship Id="rId1" Type="http://schemas.openxmlformats.org/officeDocument/2006/relationships/chart" Target="../charts/chart57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2.xml"/><Relationship Id="rId2" Type="http://schemas.openxmlformats.org/officeDocument/2006/relationships/chart" Target="../charts/chart61.xml"/><Relationship Id="rId1" Type="http://schemas.openxmlformats.org/officeDocument/2006/relationships/chart" Target="../charts/chart6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444500</xdr:colOff>
      <xdr:row>13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14AE3B-14B3-DA4D-8462-22F6024F43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0</xdr:row>
      <xdr:rowOff>0</xdr:rowOff>
    </xdr:from>
    <xdr:to>
      <xdr:col>11</xdr:col>
      <xdr:colOff>444500</xdr:colOff>
      <xdr:row>13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BE828C-59DE-2A45-8955-F014EA4AB6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0</xdr:row>
      <xdr:rowOff>0</xdr:rowOff>
    </xdr:from>
    <xdr:to>
      <xdr:col>17</xdr:col>
      <xdr:colOff>444500</xdr:colOff>
      <xdr:row>13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77CAC7-CF62-3A48-BE65-B606243357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14</xdr:row>
      <xdr:rowOff>0</xdr:rowOff>
    </xdr:from>
    <xdr:to>
      <xdr:col>5</xdr:col>
      <xdr:colOff>444500</xdr:colOff>
      <xdr:row>27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1C4C888-EE9D-654C-9B25-B965C5AE4C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0</xdr:colOff>
      <xdr:row>14</xdr:row>
      <xdr:rowOff>0</xdr:rowOff>
    </xdr:from>
    <xdr:to>
      <xdr:col>11</xdr:col>
      <xdr:colOff>444500</xdr:colOff>
      <xdr:row>27</xdr:row>
      <xdr:rowOff>101600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4142F16-668B-DB44-B1D5-C990874E0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14</xdr:row>
      <xdr:rowOff>0</xdr:rowOff>
    </xdr:from>
    <xdr:to>
      <xdr:col>17</xdr:col>
      <xdr:colOff>444500</xdr:colOff>
      <xdr:row>27</xdr:row>
      <xdr:rowOff>101600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330E94E-4DCC-EF45-9F24-077FB53D5E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5</xdr:col>
      <xdr:colOff>444500</xdr:colOff>
      <xdr:row>41</xdr:row>
      <xdr:rowOff>101600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2582988-8ECF-0648-B681-CC3FACEA7C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0</xdr:colOff>
      <xdr:row>28</xdr:row>
      <xdr:rowOff>0</xdr:rowOff>
    </xdr:from>
    <xdr:to>
      <xdr:col>11</xdr:col>
      <xdr:colOff>444500</xdr:colOff>
      <xdr:row>41</xdr:row>
      <xdr:rowOff>101600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F08EA43-FA2F-7849-B4EC-77BEA6F394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0</xdr:colOff>
      <xdr:row>28</xdr:row>
      <xdr:rowOff>0</xdr:rowOff>
    </xdr:from>
    <xdr:to>
      <xdr:col>17</xdr:col>
      <xdr:colOff>444500</xdr:colOff>
      <xdr:row>41</xdr:row>
      <xdr:rowOff>101600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0663A38-4869-6849-B559-E7E0750F0B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</xdr:col>
      <xdr:colOff>0</xdr:colOff>
      <xdr:row>42</xdr:row>
      <xdr:rowOff>0</xdr:rowOff>
    </xdr:from>
    <xdr:to>
      <xdr:col>11</xdr:col>
      <xdr:colOff>444500</xdr:colOff>
      <xdr:row>55</xdr:row>
      <xdr:rowOff>101600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F7CDB73-4EEE-8A4E-B2D1-5E9B0FA6A8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12700</xdr:colOff>
      <xdr:row>42</xdr:row>
      <xdr:rowOff>0</xdr:rowOff>
    </xdr:from>
    <xdr:to>
      <xdr:col>5</xdr:col>
      <xdr:colOff>457200</xdr:colOff>
      <xdr:row>55</xdr:row>
      <xdr:rowOff>101600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C005D42-6042-514B-BAB2-F4A2DB2FC3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0</xdr:colOff>
      <xdr:row>42</xdr:row>
      <xdr:rowOff>0</xdr:rowOff>
    </xdr:from>
    <xdr:to>
      <xdr:col>17</xdr:col>
      <xdr:colOff>444500</xdr:colOff>
      <xdr:row>55</xdr:row>
      <xdr:rowOff>101600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032175F-7D7A-454C-8D8C-7D196FDB09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</xdr:col>
      <xdr:colOff>0</xdr:colOff>
      <xdr:row>56</xdr:row>
      <xdr:rowOff>0</xdr:rowOff>
    </xdr:from>
    <xdr:to>
      <xdr:col>11</xdr:col>
      <xdr:colOff>444500</xdr:colOff>
      <xdr:row>69</xdr:row>
      <xdr:rowOff>101600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57CFED66-50F9-DE47-A983-AE9DF39402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0</xdr:colOff>
      <xdr:row>55</xdr:row>
      <xdr:rowOff>190500</xdr:rowOff>
    </xdr:from>
    <xdr:to>
      <xdr:col>5</xdr:col>
      <xdr:colOff>444500</xdr:colOff>
      <xdr:row>69</xdr:row>
      <xdr:rowOff>88900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32BFAFD8-3B01-D244-B0F2-C4CD311861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12</xdr:col>
      <xdr:colOff>12700</xdr:colOff>
      <xdr:row>56</xdr:row>
      <xdr:rowOff>0</xdr:rowOff>
    </xdr:from>
    <xdr:to>
      <xdr:col>17</xdr:col>
      <xdr:colOff>457200</xdr:colOff>
      <xdr:row>69</xdr:row>
      <xdr:rowOff>101600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1794C5AC-4F04-4E4A-B891-B48F45ADBF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12700</xdr:colOff>
      <xdr:row>70</xdr:row>
      <xdr:rowOff>12700</xdr:rowOff>
    </xdr:from>
    <xdr:to>
      <xdr:col>5</xdr:col>
      <xdr:colOff>457200</xdr:colOff>
      <xdr:row>83</xdr:row>
      <xdr:rowOff>114300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422622D-CCAB-2945-9A84-AAB966A54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</xdr:col>
      <xdr:colOff>0</xdr:colOff>
      <xdr:row>70</xdr:row>
      <xdr:rowOff>0</xdr:rowOff>
    </xdr:from>
    <xdr:to>
      <xdr:col>11</xdr:col>
      <xdr:colOff>444500</xdr:colOff>
      <xdr:row>83</xdr:row>
      <xdr:rowOff>101600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600E78E-225D-C44D-8E67-0D69116E07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12</xdr:col>
      <xdr:colOff>0</xdr:colOff>
      <xdr:row>70</xdr:row>
      <xdr:rowOff>0</xdr:rowOff>
    </xdr:from>
    <xdr:to>
      <xdr:col>17</xdr:col>
      <xdr:colOff>444500</xdr:colOff>
      <xdr:row>83</xdr:row>
      <xdr:rowOff>101600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AB97153E-6B7E-4643-908E-48B4EF2850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279400</xdr:colOff>
      <xdr:row>1</xdr:row>
      <xdr:rowOff>63500</xdr:rowOff>
    </xdr:from>
    <xdr:to>
      <xdr:col>15</xdr:col>
      <xdr:colOff>279400</xdr:colOff>
      <xdr:row>11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B88E88-5009-38F4-EAE3-0D56A99F59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304800</xdr:colOff>
      <xdr:row>12</xdr:row>
      <xdr:rowOff>25400</xdr:rowOff>
    </xdr:from>
    <xdr:to>
      <xdr:col>15</xdr:col>
      <xdr:colOff>304800</xdr:colOff>
      <xdr:row>22</xdr:row>
      <xdr:rowOff>25400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ED615EB-49FF-C7EE-2C45-CF360F800C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279400</xdr:colOff>
      <xdr:row>1</xdr:row>
      <xdr:rowOff>63500</xdr:rowOff>
    </xdr:from>
    <xdr:to>
      <xdr:col>15</xdr:col>
      <xdr:colOff>279400</xdr:colOff>
      <xdr:row>11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6D5F63-A8F1-8261-7463-938FF8F314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330200</xdr:colOff>
      <xdr:row>11</xdr:row>
      <xdr:rowOff>190500</xdr:rowOff>
    </xdr:from>
    <xdr:to>
      <xdr:col>15</xdr:col>
      <xdr:colOff>330200</xdr:colOff>
      <xdr:row>21</xdr:row>
      <xdr:rowOff>190500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1F2B090-E242-3A3C-28C2-3A153E811B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279400</xdr:colOff>
      <xdr:row>1</xdr:row>
      <xdr:rowOff>63500</xdr:rowOff>
    </xdr:from>
    <xdr:to>
      <xdr:col>15</xdr:col>
      <xdr:colOff>279400</xdr:colOff>
      <xdr:row>11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23186B-1A94-9910-320F-C49FC064D3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330200</xdr:colOff>
      <xdr:row>11</xdr:row>
      <xdr:rowOff>152400</xdr:rowOff>
    </xdr:from>
    <xdr:to>
      <xdr:col>15</xdr:col>
      <xdr:colOff>330200</xdr:colOff>
      <xdr:row>21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BD170C0-A60B-C2EF-C515-0324DBF316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279400</xdr:colOff>
      <xdr:row>1</xdr:row>
      <xdr:rowOff>63500</xdr:rowOff>
    </xdr:from>
    <xdr:to>
      <xdr:col>15</xdr:col>
      <xdr:colOff>279400</xdr:colOff>
      <xdr:row>11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7EEF53-A620-42E2-0A2A-81E727384F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355600</xdr:colOff>
      <xdr:row>12</xdr:row>
      <xdr:rowOff>114300</xdr:rowOff>
    </xdr:from>
    <xdr:to>
      <xdr:col>15</xdr:col>
      <xdr:colOff>355600</xdr:colOff>
      <xdr:row>22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A42BFB4-6AD3-EEEE-7602-C851537CEB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342900</xdr:colOff>
      <xdr:row>23</xdr:row>
      <xdr:rowOff>152400</xdr:rowOff>
    </xdr:from>
    <xdr:to>
      <xdr:col>15</xdr:col>
      <xdr:colOff>342900</xdr:colOff>
      <xdr:row>33</xdr:row>
      <xdr:rowOff>165100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CEA7406-A415-843E-DBCA-D168AEE9AF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279400</xdr:colOff>
      <xdr:row>1</xdr:row>
      <xdr:rowOff>63500</xdr:rowOff>
    </xdr:from>
    <xdr:to>
      <xdr:col>15</xdr:col>
      <xdr:colOff>279400</xdr:colOff>
      <xdr:row>11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84A029-BAC2-FA98-3901-729B73DF98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279400</xdr:colOff>
      <xdr:row>12</xdr:row>
      <xdr:rowOff>0</xdr:rowOff>
    </xdr:from>
    <xdr:to>
      <xdr:col>15</xdr:col>
      <xdr:colOff>279400</xdr:colOff>
      <xdr:row>22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A53543D-6ED8-0690-4596-D03B7C9FCF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279400</xdr:colOff>
      <xdr:row>23</xdr:row>
      <xdr:rowOff>0</xdr:rowOff>
    </xdr:from>
    <xdr:to>
      <xdr:col>15</xdr:col>
      <xdr:colOff>279400</xdr:colOff>
      <xdr:row>33</xdr:row>
      <xdr:rowOff>12700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563ACF7-8D9B-5840-2D9C-66CE899520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279400</xdr:colOff>
      <xdr:row>1</xdr:row>
      <xdr:rowOff>63500</xdr:rowOff>
    </xdr:from>
    <xdr:to>
      <xdr:col>15</xdr:col>
      <xdr:colOff>279400</xdr:colOff>
      <xdr:row>11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D69221-D146-EAFC-1F32-960034CA6C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279400</xdr:colOff>
      <xdr:row>12</xdr:row>
      <xdr:rowOff>0</xdr:rowOff>
    </xdr:from>
    <xdr:to>
      <xdr:col>15</xdr:col>
      <xdr:colOff>279400</xdr:colOff>
      <xdr:row>22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2C9E8BB-E666-EFA1-62A2-2FC4C9DDD5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279400</xdr:colOff>
      <xdr:row>1</xdr:row>
      <xdr:rowOff>63500</xdr:rowOff>
    </xdr:from>
    <xdr:to>
      <xdr:col>15</xdr:col>
      <xdr:colOff>279400</xdr:colOff>
      <xdr:row>11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D5187D-A187-D927-D655-440877A13D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292100</xdr:colOff>
      <xdr:row>12</xdr:row>
      <xdr:rowOff>0</xdr:rowOff>
    </xdr:from>
    <xdr:to>
      <xdr:col>15</xdr:col>
      <xdr:colOff>292100</xdr:colOff>
      <xdr:row>22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EBD93A7-D851-D119-2E04-4101AF5949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292100</xdr:colOff>
      <xdr:row>22</xdr:row>
      <xdr:rowOff>165100</xdr:rowOff>
    </xdr:from>
    <xdr:to>
      <xdr:col>15</xdr:col>
      <xdr:colOff>292100</xdr:colOff>
      <xdr:row>32</xdr:row>
      <xdr:rowOff>190500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47C1929-85B3-A663-1B79-112C8E7B97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279400</xdr:colOff>
      <xdr:row>1</xdr:row>
      <xdr:rowOff>63500</xdr:rowOff>
    </xdr:from>
    <xdr:to>
      <xdr:col>15</xdr:col>
      <xdr:colOff>279400</xdr:colOff>
      <xdr:row>11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023D46-11A7-2C63-0411-EFAAC947AC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368300</xdr:colOff>
      <xdr:row>12</xdr:row>
      <xdr:rowOff>0</xdr:rowOff>
    </xdr:from>
    <xdr:to>
      <xdr:col>15</xdr:col>
      <xdr:colOff>368300</xdr:colOff>
      <xdr:row>22</xdr:row>
      <xdr:rowOff>12700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879F23C-13CF-7D25-FDAC-D25B86C1D1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558800</xdr:colOff>
      <xdr:row>22</xdr:row>
      <xdr:rowOff>152400</xdr:rowOff>
    </xdr:from>
    <xdr:to>
      <xdr:col>15</xdr:col>
      <xdr:colOff>558800</xdr:colOff>
      <xdr:row>32</xdr:row>
      <xdr:rowOff>177800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2CD3D14-8CEF-2EA8-D498-632E220187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279400</xdr:colOff>
      <xdr:row>1</xdr:row>
      <xdr:rowOff>63500</xdr:rowOff>
    </xdr:from>
    <xdr:to>
      <xdr:col>15</xdr:col>
      <xdr:colOff>279400</xdr:colOff>
      <xdr:row>11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30D8CC-3EB9-7E97-212B-BB55C8E080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355600</xdr:colOff>
      <xdr:row>12</xdr:row>
      <xdr:rowOff>76200</xdr:rowOff>
    </xdr:from>
    <xdr:to>
      <xdr:col>15</xdr:col>
      <xdr:colOff>355600</xdr:colOff>
      <xdr:row>22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EFB4D37-B63A-C96C-BC7F-5BFF484A31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406400</xdr:colOff>
      <xdr:row>23</xdr:row>
      <xdr:rowOff>152400</xdr:rowOff>
    </xdr:from>
    <xdr:to>
      <xdr:col>15</xdr:col>
      <xdr:colOff>406400</xdr:colOff>
      <xdr:row>33</xdr:row>
      <xdr:rowOff>165100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B9C265A-E86E-D2A3-D681-808D90E5B1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279400</xdr:colOff>
      <xdr:row>1</xdr:row>
      <xdr:rowOff>63500</xdr:rowOff>
    </xdr:from>
    <xdr:to>
      <xdr:col>15</xdr:col>
      <xdr:colOff>279400</xdr:colOff>
      <xdr:row>11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7936E6-A6FB-ACE7-8701-0A4F50C0AD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279400</xdr:colOff>
      <xdr:row>12</xdr:row>
      <xdr:rowOff>12700</xdr:rowOff>
    </xdr:from>
    <xdr:to>
      <xdr:col>15</xdr:col>
      <xdr:colOff>279400</xdr:colOff>
      <xdr:row>22</xdr:row>
      <xdr:rowOff>25400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E53C4B0-DF09-E6B1-AD1E-367664CA51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279400</xdr:colOff>
      <xdr:row>23</xdr:row>
      <xdr:rowOff>12700</xdr:rowOff>
    </xdr:from>
    <xdr:to>
      <xdr:col>15</xdr:col>
      <xdr:colOff>279400</xdr:colOff>
      <xdr:row>33</xdr:row>
      <xdr:rowOff>38100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D05A146-34F8-A9CA-147B-333A0F8A9E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279400</xdr:colOff>
      <xdr:row>1</xdr:row>
      <xdr:rowOff>63500</xdr:rowOff>
    </xdr:from>
    <xdr:to>
      <xdr:col>15</xdr:col>
      <xdr:colOff>279400</xdr:colOff>
      <xdr:row>11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A42F3F-1201-4E6F-D24C-7F4EEE3FF0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279400</xdr:colOff>
      <xdr:row>12</xdr:row>
      <xdr:rowOff>12700</xdr:rowOff>
    </xdr:from>
    <xdr:to>
      <xdr:col>15</xdr:col>
      <xdr:colOff>279400</xdr:colOff>
      <xdr:row>22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E1F22E6-B8CD-710D-B5D5-FF305884EF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279400</xdr:colOff>
      <xdr:row>23</xdr:row>
      <xdr:rowOff>0</xdr:rowOff>
    </xdr:from>
    <xdr:to>
      <xdr:col>15</xdr:col>
      <xdr:colOff>279400</xdr:colOff>
      <xdr:row>33</xdr:row>
      <xdr:rowOff>12700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62748C2-E3B0-C9A1-2944-74B5958E50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279400</xdr:colOff>
      <xdr:row>1</xdr:row>
      <xdr:rowOff>63500</xdr:rowOff>
    </xdr:from>
    <xdr:to>
      <xdr:col>15</xdr:col>
      <xdr:colOff>279400</xdr:colOff>
      <xdr:row>11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E947A0-6703-C684-2B9E-AD22693203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279400</xdr:colOff>
      <xdr:row>12</xdr:row>
      <xdr:rowOff>0</xdr:rowOff>
    </xdr:from>
    <xdr:to>
      <xdr:col>15</xdr:col>
      <xdr:colOff>279400</xdr:colOff>
      <xdr:row>22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B019A75-2849-8811-99A1-1DB3074C12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279400</xdr:colOff>
      <xdr:row>23</xdr:row>
      <xdr:rowOff>12700</xdr:rowOff>
    </xdr:from>
    <xdr:to>
      <xdr:col>15</xdr:col>
      <xdr:colOff>279400</xdr:colOff>
      <xdr:row>33</xdr:row>
      <xdr:rowOff>25400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7A4B063-CCD0-FB2A-0E32-6A1D285627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279400</xdr:colOff>
      <xdr:row>1</xdr:row>
      <xdr:rowOff>63500</xdr:rowOff>
    </xdr:from>
    <xdr:to>
      <xdr:col>15</xdr:col>
      <xdr:colOff>279400</xdr:colOff>
      <xdr:row>11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909259-8AFB-36FD-F1F1-743FA523BD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279400</xdr:colOff>
      <xdr:row>12</xdr:row>
      <xdr:rowOff>0</xdr:rowOff>
    </xdr:from>
    <xdr:to>
      <xdr:col>15</xdr:col>
      <xdr:colOff>279400</xdr:colOff>
      <xdr:row>21</xdr:row>
      <xdr:rowOff>203200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784F926-02C2-6BA3-001F-2459B7FDEC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279400</xdr:colOff>
      <xdr:row>23</xdr:row>
      <xdr:rowOff>0</xdr:rowOff>
    </xdr:from>
    <xdr:to>
      <xdr:col>15</xdr:col>
      <xdr:colOff>279400</xdr:colOff>
      <xdr:row>33</xdr:row>
      <xdr:rowOff>12700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E7851B9-6A00-2136-58F4-52F796E794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279400</xdr:colOff>
      <xdr:row>1</xdr:row>
      <xdr:rowOff>63500</xdr:rowOff>
    </xdr:from>
    <xdr:to>
      <xdr:col>15</xdr:col>
      <xdr:colOff>279400</xdr:colOff>
      <xdr:row>11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67E3D1-2FDA-287C-C35B-19B7516730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292100</xdr:colOff>
      <xdr:row>12</xdr:row>
      <xdr:rowOff>12700</xdr:rowOff>
    </xdr:from>
    <xdr:to>
      <xdr:col>15</xdr:col>
      <xdr:colOff>292100</xdr:colOff>
      <xdr:row>22</xdr:row>
      <xdr:rowOff>12700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D1C6E4A-9986-E5CF-01A9-2FA39B5B55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279400</xdr:colOff>
      <xdr:row>23</xdr:row>
      <xdr:rowOff>0</xdr:rowOff>
    </xdr:from>
    <xdr:to>
      <xdr:col>15</xdr:col>
      <xdr:colOff>279400</xdr:colOff>
      <xdr:row>33</xdr:row>
      <xdr:rowOff>12700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9B30A90-BA71-6A84-2F9C-926A3E9316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279400</xdr:colOff>
      <xdr:row>1</xdr:row>
      <xdr:rowOff>63500</xdr:rowOff>
    </xdr:from>
    <xdr:to>
      <xdr:col>15</xdr:col>
      <xdr:colOff>279400</xdr:colOff>
      <xdr:row>11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230E83-F950-68FB-9A73-B440D7FCFE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279400</xdr:colOff>
      <xdr:row>12</xdr:row>
      <xdr:rowOff>0</xdr:rowOff>
    </xdr:from>
    <xdr:to>
      <xdr:col>15</xdr:col>
      <xdr:colOff>279400</xdr:colOff>
      <xdr:row>22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0170D85-8491-64D2-AE37-E697F65A3A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279400</xdr:colOff>
      <xdr:row>23</xdr:row>
      <xdr:rowOff>12700</xdr:rowOff>
    </xdr:from>
    <xdr:to>
      <xdr:col>15</xdr:col>
      <xdr:colOff>279400</xdr:colOff>
      <xdr:row>33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01AB906-2376-FFCD-D023-EC8B7F5759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279400</xdr:colOff>
      <xdr:row>1</xdr:row>
      <xdr:rowOff>63500</xdr:rowOff>
    </xdr:from>
    <xdr:to>
      <xdr:col>15</xdr:col>
      <xdr:colOff>279400</xdr:colOff>
      <xdr:row>11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C7A757-FD05-87AC-E2DC-4978A0703F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279400</xdr:colOff>
      <xdr:row>12</xdr:row>
      <xdr:rowOff>38100</xdr:rowOff>
    </xdr:from>
    <xdr:to>
      <xdr:col>15</xdr:col>
      <xdr:colOff>279400</xdr:colOff>
      <xdr:row>22</xdr:row>
      <xdr:rowOff>50800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172498E-F293-506E-B6C1-476007D336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266700</xdr:colOff>
      <xdr:row>23</xdr:row>
      <xdr:rowOff>12700</xdr:rowOff>
    </xdr:from>
    <xdr:to>
      <xdr:col>15</xdr:col>
      <xdr:colOff>266700</xdr:colOff>
      <xdr:row>33</xdr:row>
      <xdr:rowOff>38100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DF7AA26-4E7C-2679-40FC-2DDFD56252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F726D-17DC-8F48-9A5E-792D3B254D3F}">
  <dimension ref="A1:AD145"/>
  <sheetViews>
    <sheetView workbookViewId="0">
      <pane xSplit="1" ySplit="1" topLeftCell="N127" activePane="bottomRight" state="frozen"/>
      <selection pane="topRight" activeCell="B1" sqref="B1"/>
      <selection pane="bottomLeft" activeCell="A2" sqref="A2"/>
      <selection pane="bottomRight" activeCell="AA150" sqref="AA150"/>
    </sheetView>
  </sheetViews>
  <sheetFormatPr baseColWidth="10" defaultRowHeight="16" x14ac:dyDescent="0.2"/>
  <cols>
    <col min="2" max="10" width="10.83203125" style="20"/>
    <col min="11" max="11" width="10.83203125" style="19"/>
    <col min="12" max="13" width="10.83203125" style="20"/>
    <col min="14" max="14" width="10.83203125" style="29"/>
    <col min="15" max="15" width="15.83203125" style="11" customWidth="1"/>
    <col min="16" max="30" width="10.83203125" style="31"/>
  </cols>
  <sheetData>
    <row r="1" spans="1:30" ht="97" thickBot="1" x14ac:dyDescent="0.25">
      <c r="A1" s="12" t="s">
        <v>0</v>
      </c>
      <c r="B1" s="13" t="s">
        <v>6</v>
      </c>
      <c r="C1" s="14" t="s">
        <v>7</v>
      </c>
      <c r="D1" s="15" t="s">
        <v>3</v>
      </c>
      <c r="E1" s="15" t="s">
        <v>4</v>
      </c>
      <c r="F1" s="15" t="s">
        <v>5</v>
      </c>
      <c r="G1" s="15" t="s">
        <v>16</v>
      </c>
      <c r="H1" s="16" t="s">
        <v>8</v>
      </c>
      <c r="I1" s="16" t="s">
        <v>9</v>
      </c>
      <c r="J1" s="15" t="s">
        <v>10</v>
      </c>
      <c r="K1" s="17" t="s">
        <v>53</v>
      </c>
      <c r="L1" s="15" t="s">
        <v>11</v>
      </c>
      <c r="M1" s="15" t="s">
        <v>12</v>
      </c>
      <c r="N1" s="26" t="s">
        <v>19</v>
      </c>
      <c r="O1" s="30" t="s">
        <v>2</v>
      </c>
      <c r="P1" s="35" t="s">
        <v>13</v>
      </c>
      <c r="Q1" s="35" t="s">
        <v>14</v>
      </c>
      <c r="R1" s="36" t="s">
        <v>1</v>
      </c>
      <c r="S1" s="35" t="s">
        <v>58</v>
      </c>
      <c r="T1" s="36" t="s">
        <v>15</v>
      </c>
      <c r="U1" s="35" t="s">
        <v>60</v>
      </c>
      <c r="V1" s="35" t="s">
        <v>61</v>
      </c>
      <c r="W1" s="35" t="s">
        <v>17</v>
      </c>
      <c r="X1" s="35" t="s">
        <v>18</v>
      </c>
      <c r="Y1" s="35" t="s">
        <v>62</v>
      </c>
      <c r="Z1" s="35" t="s">
        <v>51</v>
      </c>
      <c r="AA1" s="35" t="s">
        <v>59</v>
      </c>
      <c r="AB1" s="35" t="s">
        <v>57</v>
      </c>
      <c r="AC1" s="35" t="s">
        <v>55</v>
      </c>
      <c r="AD1" s="35" t="s">
        <v>20</v>
      </c>
    </row>
    <row r="2" spans="1:30" x14ac:dyDescent="0.2">
      <c r="A2" s="1">
        <v>41426</v>
      </c>
      <c r="B2" s="18">
        <v>5.2583708724477485E-2</v>
      </c>
      <c r="C2" s="19">
        <v>-0.13666666666666666</v>
      </c>
      <c r="D2" s="19">
        <v>6.083333333333333E-2</v>
      </c>
      <c r="E2" s="19">
        <v>0.21833333333333335</v>
      </c>
      <c r="F2" s="19">
        <v>0.29416666666666663</v>
      </c>
      <c r="G2" s="19">
        <f>0.3657*E2+(1-0.3657)*D2</f>
        <v>0.11843108333333334</v>
      </c>
      <c r="H2" s="19">
        <v>-5.02028835127365</v>
      </c>
      <c r="I2" s="19">
        <v>0.92171577824375905</v>
      </c>
      <c r="J2" s="22">
        <v>1618.77</v>
      </c>
      <c r="K2" s="24">
        <f>AVERAGE(K3:K145)</f>
        <v>1.075140262303014E-2</v>
      </c>
      <c r="L2" s="22">
        <v>90.95</v>
      </c>
      <c r="M2" s="19">
        <f t="shared" ref="M2:M33" si="0">L2/J2</f>
        <v>5.618463401224387E-2</v>
      </c>
      <c r="N2" s="27">
        <v>7.4999999999999997E-3</v>
      </c>
      <c r="O2" s="11">
        <v>-3.1231512210139143</v>
      </c>
      <c r="P2" s="10">
        <f t="shared" ref="P2:P33" si="1">F2-D2</f>
        <v>0.23333333333333331</v>
      </c>
      <c r="Q2" s="10">
        <f t="shared" ref="Q2:Q33" si="2">2*E2-F2-D2</f>
        <v>8.1666666666666748E-2</v>
      </c>
      <c r="R2" s="32">
        <v>3.5433333333333303E-2</v>
      </c>
      <c r="S2" s="10">
        <f t="shared" ref="S2:S33" si="3">R2-N2</f>
        <v>2.7933333333333303E-2</v>
      </c>
      <c r="T2" s="32">
        <f t="shared" ref="T2:T33" si="4">D2-B2</f>
        <v>8.2496246088558448E-3</v>
      </c>
      <c r="U2" s="10">
        <f>AVERAGE(U3:U145)</f>
        <v>-7.4009324009324047E-4</v>
      </c>
      <c r="V2" s="10">
        <f>AVERAGE(V3:V145)</f>
        <v>-4.6037296037296016E-4</v>
      </c>
      <c r="W2" s="10">
        <f t="shared" ref="W2:W33" si="5">H2-G2</f>
        <v>-5.1387194346069833</v>
      </c>
      <c r="X2" s="10">
        <f t="shared" ref="X2:X33" si="6">I2-H2</f>
        <v>5.9420041295174091</v>
      </c>
      <c r="Y2" s="10">
        <f t="shared" ref="Y2:Y33" si="7">K2-I2</f>
        <v>-0.91096437562072896</v>
      </c>
      <c r="Z2" s="10">
        <f t="shared" ref="Z2:Z33" si="8">D2-C2</f>
        <v>0.19749999999999998</v>
      </c>
      <c r="AA2" s="10">
        <f>AVERAGE(AA3:AA145)</f>
        <v>3.671328671328667E-4</v>
      </c>
      <c r="AB2" s="34">
        <v>16.86</v>
      </c>
      <c r="AC2" s="34">
        <v>3.5626535626535505</v>
      </c>
      <c r="AD2" s="10">
        <f t="shared" ref="AD2:AD33" si="9">M2-N2</f>
        <v>4.868463401224387E-2</v>
      </c>
    </row>
    <row r="3" spans="1:30" x14ac:dyDescent="0.2">
      <c r="A3" s="1">
        <v>41456</v>
      </c>
      <c r="B3" s="18">
        <v>4.4828491592124133E-2</v>
      </c>
      <c r="C3" s="19">
        <v>-0.16749999999999998</v>
      </c>
      <c r="D3" s="19">
        <v>4.9999999999999996E-2</v>
      </c>
      <c r="E3" s="19">
        <v>0.21333333333333335</v>
      </c>
      <c r="F3" s="19">
        <v>0.29499999999999998</v>
      </c>
      <c r="G3" s="19">
        <f t="shared" ref="G3:G66" si="10">0.3657*E3+(1-0.3657)*D3</f>
        <v>0.10973100000000001</v>
      </c>
      <c r="H3" s="19">
        <v>2.4581801421995508</v>
      </c>
      <c r="I3" s="19">
        <v>2.4288456640289224</v>
      </c>
      <c r="J3" s="22">
        <v>1668.68</v>
      </c>
      <c r="K3" s="24">
        <f>-1+J3/J2</f>
        <v>3.0832051495888857E-2</v>
      </c>
      <c r="L3" s="22">
        <f>L2*2/3+L5/3</f>
        <v>92.09</v>
      </c>
      <c r="M3" s="19">
        <f t="shared" si="0"/>
        <v>5.5187333700889324E-2</v>
      </c>
      <c r="N3" s="27">
        <v>7.4999999999999997E-3</v>
      </c>
      <c r="O3" s="11">
        <v>3.4388141552305238</v>
      </c>
      <c r="P3" s="10">
        <f t="shared" si="1"/>
        <v>0.245</v>
      </c>
      <c r="Q3" s="10">
        <f t="shared" si="2"/>
        <v>8.1666666666666721E-2</v>
      </c>
      <c r="R3" s="32">
        <v>3.5841666666666702E-2</v>
      </c>
      <c r="S3" s="10">
        <f t="shared" si="3"/>
        <v>2.8341666666666702E-2</v>
      </c>
      <c r="T3" s="32">
        <f t="shared" si="4"/>
        <v>5.1715084078758633E-3</v>
      </c>
      <c r="U3" s="10">
        <f t="shared" ref="U3:U34" si="11">P3-P2</f>
        <v>1.1666666666666686E-2</v>
      </c>
      <c r="V3" s="10">
        <f t="shared" ref="V3:V34" si="12">Q3-Q2</f>
        <v>0</v>
      </c>
      <c r="W3" s="10">
        <f t="shared" si="5"/>
        <v>2.3484491421995508</v>
      </c>
      <c r="X3" s="10">
        <f t="shared" si="6"/>
        <v>-2.9334478170628397E-2</v>
      </c>
      <c r="Y3" s="10">
        <f t="shared" si="7"/>
        <v>-2.3980136125330338</v>
      </c>
      <c r="Z3" s="10">
        <f t="shared" si="8"/>
        <v>0.21749999999999997</v>
      </c>
      <c r="AA3" s="10">
        <f t="shared" ref="AA3:AA34" si="13">Z3-Z2</f>
        <v>1.999999999999999E-2</v>
      </c>
      <c r="AB3" s="34">
        <v>13.45</v>
      </c>
      <c r="AC3" s="34">
        <v>-16.975308641975307</v>
      </c>
      <c r="AD3" s="10">
        <f t="shared" si="9"/>
        <v>4.7687333700889324E-2</v>
      </c>
    </row>
    <row r="4" spans="1:30" x14ac:dyDescent="0.2">
      <c r="A4" s="1">
        <v>41487</v>
      </c>
      <c r="B4" s="18">
        <v>6.4357428089687377E-2</v>
      </c>
      <c r="C4" s="19">
        <v>-0.15833333333333333</v>
      </c>
      <c r="D4" s="19">
        <v>6.9166666666666668E-2</v>
      </c>
      <c r="E4" s="19">
        <v>0.23583333333333334</v>
      </c>
      <c r="F4" s="19">
        <v>0.30333333333333334</v>
      </c>
      <c r="G4" s="19">
        <f t="shared" si="10"/>
        <v>0.13011666666666666</v>
      </c>
      <c r="H4" s="19">
        <v>-0.79307812152723534</v>
      </c>
      <c r="I4" s="19">
        <v>-0.74915777143932383</v>
      </c>
      <c r="J4" s="22">
        <v>1670.09</v>
      </c>
      <c r="K4" s="24">
        <f t="shared" ref="K4:K67" si="14">-1+J4/J3</f>
        <v>8.4497926504778498E-4</v>
      </c>
      <c r="L4" s="22">
        <f>L2/3+L5*2/3</f>
        <v>93.23</v>
      </c>
      <c r="M4" s="19">
        <f t="shared" si="0"/>
        <v>5.5823338861977503E-2</v>
      </c>
      <c r="N4" s="27">
        <v>6.6666666666666671E-3</v>
      </c>
      <c r="O4" s="11">
        <v>-1.8423176925388944</v>
      </c>
      <c r="P4" s="10">
        <f t="shared" si="1"/>
        <v>0.23416666666666669</v>
      </c>
      <c r="Q4" s="10">
        <f t="shared" si="2"/>
        <v>9.9166666666666667E-2</v>
      </c>
      <c r="R4" s="32">
        <v>3.55833333333333E-2</v>
      </c>
      <c r="S4" s="10">
        <f t="shared" si="3"/>
        <v>2.8916666666666632E-2</v>
      </c>
      <c r="T4" s="32">
        <f t="shared" si="4"/>
        <v>4.8092385769792911E-3</v>
      </c>
      <c r="U4" s="10">
        <f t="shared" si="11"/>
        <v>-1.0833333333333306E-2</v>
      </c>
      <c r="V4" s="10">
        <f t="shared" si="12"/>
        <v>1.7499999999999946E-2</v>
      </c>
      <c r="W4" s="10">
        <f t="shared" si="5"/>
        <v>-0.92319478819390199</v>
      </c>
      <c r="X4" s="10">
        <f t="shared" si="6"/>
        <v>4.3920350087911508E-2</v>
      </c>
      <c r="Y4" s="10">
        <f t="shared" si="7"/>
        <v>0.75000275070437161</v>
      </c>
      <c r="Z4" s="10">
        <f t="shared" si="8"/>
        <v>0.22749999999999998</v>
      </c>
      <c r="AA4" s="10">
        <f t="shared" si="13"/>
        <v>1.0000000000000009E-2</v>
      </c>
      <c r="AB4" s="34">
        <v>17.010000000000002</v>
      </c>
      <c r="AC4" s="34">
        <v>43.665540540540547</v>
      </c>
      <c r="AD4" s="10">
        <f t="shared" si="9"/>
        <v>4.9156672195310835E-2</v>
      </c>
    </row>
    <row r="5" spans="1:30" x14ac:dyDescent="0.2">
      <c r="A5" s="1">
        <v>41518</v>
      </c>
      <c r="B5" s="18">
        <v>6.7847311011433667E-2</v>
      </c>
      <c r="C5" s="19">
        <v>-0.15666666666666665</v>
      </c>
      <c r="D5" s="19">
        <v>7.166666666666667E-2</v>
      </c>
      <c r="E5" s="19">
        <v>0.22999999999999998</v>
      </c>
      <c r="F5" s="19">
        <v>0.29499999999999998</v>
      </c>
      <c r="G5" s="19">
        <f t="shared" si="10"/>
        <v>0.12956916666666668</v>
      </c>
      <c r="H5" s="19">
        <v>0.95391684368753005</v>
      </c>
      <c r="I5" s="19">
        <v>1.2471351429200861</v>
      </c>
      <c r="J5" s="22">
        <v>1687.17</v>
      </c>
      <c r="K5" s="24">
        <f t="shared" si="14"/>
        <v>1.0226993754827607E-2</v>
      </c>
      <c r="L5" s="22">
        <v>94.37</v>
      </c>
      <c r="M5" s="19">
        <f t="shared" si="0"/>
        <v>5.5933901148076365E-2</v>
      </c>
      <c r="N5" s="27">
        <v>6.6666666666666671E-3</v>
      </c>
      <c r="O5" s="11">
        <v>0.76476526172699799</v>
      </c>
      <c r="P5" s="10">
        <f t="shared" si="1"/>
        <v>0.22333333333333333</v>
      </c>
      <c r="Q5" s="10">
        <f t="shared" si="2"/>
        <v>9.333333333333331E-2</v>
      </c>
      <c r="R5" s="32">
        <v>3.5825000000000003E-2</v>
      </c>
      <c r="S5" s="10">
        <f t="shared" si="3"/>
        <v>2.9158333333333335E-2</v>
      </c>
      <c r="T5" s="32">
        <f t="shared" si="4"/>
        <v>3.8193556552330032E-3</v>
      </c>
      <c r="U5" s="10">
        <f t="shared" si="11"/>
        <v>-1.0833333333333361E-2</v>
      </c>
      <c r="V5" s="10">
        <f t="shared" si="12"/>
        <v>-5.833333333333357E-3</v>
      </c>
      <c r="W5" s="10">
        <f t="shared" si="5"/>
        <v>0.82434767702086331</v>
      </c>
      <c r="X5" s="10">
        <f t="shared" si="6"/>
        <v>0.29321829923255605</v>
      </c>
      <c r="Y5" s="10">
        <f t="shared" si="7"/>
        <v>-1.2369081491652585</v>
      </c>
      <c r="Z5" s="10">
        <f t="shared" si="8"/>
        <v>0.22833333333333333</v>
      </c>
      <c r="AA5" s="10">
        <f t="shared" si="13"/>
        <v>8.3333333333335258E-4</v>
      </c>
      <c r="AB5" s="34">
        <v>16.600000000000001</v>
      </c>
      <c r="AC5" s="34">
        <v>-6.0204695966270538E-2</v>
      </c>
      <c r="AD5" s="10">
        <f t="shared" si="9"/>
        <v>4.9267234481409697E-2</v>
      </c>
    </row>
    <row r="6" spans="1:30" x14ac:dyDescent="0.2">
      <c r="A6" s="1">
        <v>41548</v>
      </c>
      <c r="B6" s="18">
        <v>6.4237812682873277E-2</v>
      </c>
      <c r="C6" s="19">
        <v>-0.16666666666666666</v>
      </c>
      <c r="D6" s="19">
        <v>6.9166666666666668E-2</v>
      </c>
      <c r="E6" s="19">
        <v>0.22500000000000001</v>
      </c>
      <c r="F6" s="19">
        <v>0.29083333333333333</v>
      </c>
      <c r="G6" s="19">
        <f t="shared" si="10"/>
        <v>0.12615491666666667</v>
      </c>
      <c r="H6" s="19">
        <v>2.1513664882120809</v>
      </c>
      <c r="I6" s="19">
        <v>2.4954858610769515</v>
      </c>
      <c r="J6" s="22">
        <v>1720.03</v>
      </c>
      <c r="K6" s="24">
        <f t="shared" si="14"/>
        <v>1.947640131107109E-2</v>
      </c>
      <c r="L6" s="22">
        <f>L5*2/3+L8/3</f>
        <v>96.313333333333333</v>
      </c>
      <c r="M6" s="19">
        <f t="shared" si="0"/>
        <v>5.5995147371460573E-2</v>
      </c>
      <c r="N6" s="27">
        <v>7.4999999999999997E-3</v>
      </c>
      <c r="O6" s="11">
        <v>2.8438546235537174</v>
      </c>
      <c r="P6" s="10">
        <f t="shared" si="1"/>
        <v>0.22166666666666668</v>
      </c>
      <c r="Q6" s="10">
        <f t="shared" si="2"/>
        <v>9.0000000000000011E-2</v>
      </c>
      <c r="R6" s="32">
        <v>3.5941666666666698E-2</v>
      </c>
      <c r="S6" s="10">
        <f t="shared" si="3"/>
        <v>2.8441666666666698E-2</v>
      </c>
      <c r="T6" s="32">
        <f t="shared" si="4"/>
        <v>4.9288539837933909E-3</v>
      </c>
      <c r="U6" s="10">
        <f t="shared" si="11"/>
        <v>-1.6666666666666496E-3</v>
      </c>
      <c r="V6" s="10">
        <f t="shared" si="12"/>
        <v>-3.3333333333332993E-3</v>
      </c>
      <c r="W6" s="10">
        <f t="shared" si="5"/>
        <v>2.0252115715454142</v>
      </c>
      <c r="X6" s="10">
        <f t="shared" si="6"/>
        <v>0.3441193728648706</v>
      </c>
      <c r="Y6" s="10">
        <f t="shared" si="7"/>
        <v>-2.4760094597658804</v>
      </c>
      <c r="Z6" s="10">
        <f t="shared" si="8"/>
        <v>0.23583333333333334</v>
      </c>
      <c r="AA6" s="10">
        <f t="shared" si="13"/>
        <v>7.5000000000000067E-3</v>
      </c>
      <c r="AB6" s="34">
        <v>13.75</v>
      </c>
      <c r="AC6" s="34">
        <v>-17.861409796893657</v>
      </c>
      <c r="AD6" s="10">
        <f t="shared" si="9"/>
        <v>4.8495147371460573E-2</v>
      </c>
    </row>
    <row r="7" spans="1:30" x14ac:dyDescent="0.2">
      <c r="A7" s="1">
        <v>41579</v>
      </c>
      <c r="B7" s="18">
        <v>6.7238377046671155E-2</v>
      </c>
      <c r="C7" s="19">
        <v>-0.15333333333333335</v>
      </c>
      <c r="D7" s="19">
        <v>7.4999999999999997E-2</v>
      </c>
      <c r="E7" s="19">
        <v>0.24</v>
      </c>
      <c r="F7" s="19">
        <v>0.30416666666666664</v>
      </c>
      <c r="G7" s="19">
        <f t="shared" si="10"/>
        <v>0.1353405</v>
      </c>
      <c r="H7" s="19">
        <v>-1.2729616680096534</v>
      </c>
      <c r="I7" s="19">
        <v>3.8646517641560685E-2</v>
      </c>
      <c r="J7" s="22">
        <v>1783.54</v>
      </c>
      <c r="K7" s="24">
        <f t="shared" si="14"/>
        <v>3.6923774585327029E-2</v>
      </c>
      <c r="L7" s="22">
        <f>L5/3+L8*2/3</f>
        <v>98.256666666666661</v>
      </c>
      <c r="M7" s="19">
        <f t="shared" si="0"/>
        <v>5.5090811905909969E-2</v>
      </c>
      <c r="N7" s="27">
        <v>6.6666666666666671E-3</v>
      </c>
      <c r="O7" s="11">
        <v>-0.40587403799491967</v>
      </c>
      <c r="P7" s="10">
        <f t="shared" si="1"/>
        <v>0.22916666666666663</v>
      </c>
      <c r="Q7" s="10">
        <f t="shared" si="2"/>
        <v>0.10083333333333334</v>
      </c>
      <c r="R7" s="32">
        <v>3.58333333333333E-2</v>
      </c>
      <c r="S7" s="10">
        <f t="shared" si="3"/>
        <v>2.9166666666666632E-2</v>
      </c>
      <c r="T7" s="32">
        <f t="shared" si="4"/>
        <v>7.7616229533288422E-3</v>
      </c>
      <c r="U7" s="10">
        <f t="shared" si="11"/>
        <v>7.4999999999999512E-3</v>
      </c>
      <c r="V7" s="10">
        <f t="shared" si="12"/>
        <v>1.0833333333333334E-2</v>
      </c>
      <c r="W7" s="10">
        <f t="shared" si="5"/>
        <v>-1.4083021680096535</v>
      </c>
      <c r="X7" s="10">
        <f t="shared" si="6"/>
        <v>1.3116081856512141</v>
      </c>
      <c r="Y7" s="10">
        <f t="shared" si="7"/>
        <v>-1.7227430562336554E-3</v>
      </c>
      <c r="Z7" s="10">
        <f t="shared" si="8"/>
        <v>0.22833333333333333</v>
      </c>
      <c r="AA7" s="10">
        <f t="shared" si="13"/>
        <v>-7.5000000000000067E-3</v>
      </c>
      <c r="AB7" s="34">
        <v>13.7</v>
      </c>
      <c r="AC7" s="34">
        <v>3.1626506024096335</v>
      </c>
      <c r="AD7" s="10">
        <f t="shared" si="9"/>
        <v>4.8424145239243301E-2</v>
      </c>
    </row>
    <row r="8" spans="1:30" x14ac:dyDescent="0.2">
      <c r="A8" s="1">
        <v>41609</v>
      </c>
      <c r="B8" s="18">
        <v>9.4568323978306168E-2</v>
      </c>
      <c r="C8" s="19">
        <v>-0.14166666666666666</v>
      </c>
      <c r="D8" s="19">
        <v>9.8333333333333328E-2</v>
      </c>
      <c r="E8" s="19">
        <v>0.26333333333333336</v>
      </c>
      <c r="F8" s="19">
        <v>0.31083333333333335</v>
      </c>
      <c r="G8" s="19">
        <f t="shared" si="10"/>
        <v>0.15867383333333335</v>
      </c>
      <c r="H8" s="19">
        <v>-0.73664307051348743</v>
      </c>
      <c r="I8" s="19">
        <v>0.74090576482059856</v>
      </c>
      <c r="J8" s="22">
        <v>1807.78</v>
      </c>
      <c r="K8" s="24">
        <f t="shared" si="14"/>
        <v>1.3590948338697117E-2</v>
      </c>
      <c r="L8" s="22">
        <v>100.2</v>
      </c>
      <c r="M8" s="19">
        <f t="shared" si="0"/>
        <v>5.5427098430118713E-2</v>
      </c>
      <c r="N8" s="27">
        <v>7.4999999999999997E-3</v>
      </c>
      <c r="O8" s="11">
        <v>0.39463790345239053</v>
      </c>
      <c r="P8" s="10">
        <f t="shared" si="1"/>
        <v>0.21250000000000002</v>
      </c>
      <c r="Q8" s="10">
        <f t="shared" si="2"/>
        <v>0.11750000000000005</v>
      </c>
      <c r="R8" s="32">
        <v>3.5125000000000003E-2</v>
      </c>
      <c r="S8" s="10">
        <f t="shared" si="3"/>
        <v>2.7625000000000004E-2</v>
      </c>
      <c r="T8" s="32">
        <f t="shared" si="4"/>
        <v>3.7650093550271602E-3</v>
      </c>
      <c r="U8" s="10">
        <f t="shared" si="11"/>
        <v>-1.6666666666666607E-2</v>
      </c>
      <c r="V8" s="10">
        <f t="shared" si="12"/>
        <v>1.6666666666666705E-2</v>
      </c>
      <c r="W8" s="10">
        <f t="shared" si="5"/>
        <v>-0.89531690384682072</v>
      </c>
      <c r="X8" s="10">
        <f t="shared" si="6"/>
        <v>1.477548835334086</v>
      </c>
      <c r="Y8" s="10">
        <f t="shared" si="7"/>
        <v>-0.72731481648190144</v>
      </c>
      <c r="Z8" s="10">
        <f t="shared" si="8"/>
        <v>0.24</v>
      </c>
      <c r="AA8" s="10">
        <f t="shared" si="13"/>
        <v>1.1666666666666659E-2</v>
      </c>
      <c r="AB8" s="34">
        <v>13.72</v>
      </c>
      <c r="AC8" s="34">
        <v>-5.704467353951892</v>
      </c>
      <c r="AD8" s="10">
        <f t="shared" si="9"/>
        <v>4.7927098430118713E-2</v>
      </c>
    </row>
    <row r="9" spans="1:30" x14ac:dyDescent="0.2">
      <c r="A9" s="1">
        <v>41640</v>
      </c>
      <c r="B9" s="18">
        <v>8.5721877523984816E-2</v>
      </c>
      <c r="C9" s="19">
        <v>-0.13666666666666666</v>
      </c>
      <c r="D9" s="19">
        <v>8.7500000000000008E-2</v>
      </c>
      <c r="E9" s="19">
        <v>0.23583333333333334</v>
      </c>
      <c r="F9" s="19">
        <v>0.29583333333333334</v>
      </c>
      <c r="G9" s="19">
        <f t="shared" si="10"/>
        <v>0.14174550000000002</v>
      </c>
      <c r="H9" s="19">
        <v>2.2263747055168537</v>
      </c>
      <c r="I9" s="19">
        <v>0.5281816567063613</v>
      </c>
      <c r="J9" s="22">
        <v>1822.36</v>
      </c>
      <c r="K9" s="24">
        <f t="shared" si="14"/>
        <v>8.0651406697718198E-3</v>
      </c>
      <c r="L9" s="22">
        <f>L8*2/3+L11/3</f>
        <v>100.41666666666666</v>
      </c>
      <c r="M9" s="19">
        <f t="shared" si="0"/>
        <v>5.5102541027385731E-2</v>
      </c>
      <c r="N9" s="27">
        <v>5.8333333333333336E-3</v>
      </c>
      <c r="O9" s="11">
        <v>-0.84486748191592764</v>
      </c>
      <c r="P9" s="10">
        <f t="shared" si="1"/>
        <v>0.20833333333333331</v>
      </c>
      <c r="Q9" s="10">
        <f t="shared" si="2"/>
        <v>8.8333333333333333E-2</v>
      </c>
      <c r="R9" s="32">
        <v>3.5725E-2</v>
      </c>
      <c r="S9" s="10">
        <f t="shared" si="3"/>
        <v>2.9891666666666667E-2</v>
      </c>
      <c r="T9" s="32">
        <f t="shared" si="4"/>
        <v>1.7781224760151926E-3</v>
      </c>
      <c r="U9" s="10">
        <f t="shared" si="11"/>
        <v>-4.1666666666667074E-3</v>
      </c>
      <c r="V9" s="10">
        <f t="shared" si="12"/>
        <v>-2.9166666666666716E-2</v>
      </c>
      <c r="W9" s="10">
        <f t="shared" si="5"/>
        <v>2.0846292055168538</v>
      </c>
      <c r="X9" s="10">
        <f t="shared" si="6"/>
        <v>-1.6981930488104924</v>
      </c>
      <c r="Y9" s="10">
        <f t="shared" si="7"/>
        <v>-0.52011651603658948</v>
      </c>
      <c r="Z9" s="10">
        <f t="shared" si="8"/>
        <v>0.22416666666666668</v>
      </c>
      <c r="AA9" s="10">
        <f t="shared" si="13"/>
        <v>-1.583333333333331E-2</v>
      </c>
      <c r="AB9" s="34">
        <v>18.41</v>
      </c>
      <c r="AC9" s="34">
        <v>33.793604651162788</v>
      </c>
      <c r="AD9" s="10">
        <f t="shared" si="9"/>
        <v>4.9269207694052394E-2</v>
      </c>
    </row>
    <row r="10" spans="1:30" x14ac:dyDescent="0.2">
      <c r="A10" s="1">
        <v>41671</v>
      </c>
      <c r="B10" s="18">
        <v>8.9329438844108988E-2</v>
      </c>
      <c r="C10" s="19">
        <v>-0.14416666666666667</v>
      </c>
      <c r="D10" s="19">
        <v>8.9166666666666672E-2</v>
      </c>
      <c r="E10" s="19">
        <v>0.23833333333333331</v>
      </c>
      <c r="F10" s="19">
        <v>0.29583333333333334</v>
      </c>
      <c r="G10" s="19">
        <f t="shared" si="10"/>
        <v>0.14371691666666667</v>
      </c>
      <c r="H10" s="19">
        <v>0.33187520770269208</v>
      </c>
      <c r="I10" s="19">
        <v>1.9235565948146682</v>
      </c>
      <c r="J10" s="22">
        <v>1817.04</v>
      </c>
      <c r="K10" s="24">
        <f t="shared" si="14"/>
        <v>-2.91929146820602E-3</v>
      </c>
      <c r="L10" s="22">
        <f>L8/3+L11*2/3</f>
        <v>100.63333333333333</v>
      </c>
      <c r="M10" s="19">
        <f t="shared" si="0"/>
        <v>5.5383113928880665E-2</v>
      </c>
      <c r="N10" s="27">
        <v>5.8333333333333336E-3</v>
      </c>
      <c r="O10" s="11">
        <v>2.1320616401803507</v>
      </c>
      <c r="P10" s="10">
        <f t="shared" si="1"/>
        <v>0.20666666666666667</v>
      </c>
      <c r="Q10" s="10">
        <f t="shared" si="2"/>
        <v>9.1666666666666619E-2</v>
      </c>
      <c r="R10" s="32">
        <v>3.4974999999999999E-2</v>
      </c>
      <c r="S10" s="10">
        <f t="shared" si="3"/>
        <v>2.9141666666666666E-2</v>
      </c>
      <c r="T10" s="32">
        <f t="shared" si="4"/>
        <v>-1.6277217744231631E-4</v>
      </c>
      <c r="U10" s="10">
        <f t="shared" si="11"/>
        <v>-1.6666666666666496E-3</v>
      </c>
      <c r="V10" s="10">
        <f t="shared" si="12"/>
        <v>3.3333333333332854E-3</v>
      </c>
      <c r="W10" s="10">
        <f t="shared" si="5"/>
        <v>0.18815829103602541</v>
      </c>
      <c r="X10" s="10">
        <f t="shared" si="6"/>
        <v>1.5916813871119762</v>
      </c>
      <c r="Y10" s="10">
        <f t="shared" si="7"/>
        <v>-1.9264758862828741</v>
      </c>
      <c r="Z10" s="10">
        <f t="shared" si="8"/>
        <v>0.23333333333333334</v>
      </c>
      <c r="AA10" s="10">
        <f t="shared" si="13"/>
        <v>9.1666666666666563E-3</v>
      </c>
      <c r="AB10" s="34">
        <v>14</v>
      </c>
      <c r="AC10" s="34">
        <v>-23.954372623574148</v>
      </c>
      <c r="AD10" s="10">
        <f t="shared" si="9"/>
        <v>4.9549780595547328E-2</v>
      </c>
    </row>
    <row r="11" spans="1:30" x14ac:dyDescent="0.2">
      <c r="A11" s="1">
        <v>41699</v>
      </c>
      <c r="B11" s="18">
        <v>9.8214000828992107E-2</v>
      </c>
      <c r="C11" s="19">
        <v>-0.13833333333333334</v>
      </c>
      <c r="D11" s="19">
        <v>9.9166666666666667E-2</v>
      </c>
      <c r="E11" s="19">
        <v>0.23916666666666667</v>
      </c>
      <c r="F11" s="19">
        <v>0.29583333333333334</v>
      </c>
      <c r="G11" s="19">
        <f t="shared" si="10"/>
        <v>0.15036466666666667</v>
      </c>
      <c r="H11" s="19">
        <v>-0.15367518215759768</v>
      </c>
      <c r="I11" s="19">
        <v>1.8661356629257053E-2</v>
      </c>
      <c r="J11" s="22">
        <v>1863.52</v>
      </c>
      <c r="K11" s="24">
        <f t="shared" si="14"/>
        <v>2.5580064280368076E-2</v>
      </c>
      <c r="L11" s="22">
        <v>100.85</v>
      </c>
      <c r="M11" s="19">
        <f t="shared" si="0"/>
        <v>5.4118013222288999E-2</v>
      </c>
      <c r="N11" s="27">
        <v>6.6666666666666671E-3</v>
      </c>
      <c r="O11" s="11">
        <v>-0.42414010254649709</v>
      </c>
      <c r="P11" s="10">
        <f t="shared" si="1"/>
        <v>0.19666666666666666</v>
      </c>
      <c r="Q11" s="10">
        <f t="shared" si="2"/>
        <v>8.3333333333333329E-2</v>
      </c>
      <c r="R11" s="32">
        <v>3.4658333333333298E-2</v>
      </c>
      <c r="S11" s="10">
        <f t="shared" si="3"/>
        <v>2.799166666666663E-2</v>
      </c>
      <c r="T11" s="32">
        <f t="shared" si="4"/>
        <v>9.5266583767456003E-4</v>
      </c>
      <c r="U11" s="10">
        <f t="shared" si="11"/>
        <v>-1.0000000000000009E-2</v>
      </c>
      <c r="V11" s="10">
        <f t="shared" si="12"/>
        <v>-8.3333333333332898E-3</v>
      </c>
      <c r="W11" s="10">
        <f t="shared" si="5"/>
        <v>-0.30403984882426438</v>
      </c>
      <c r="X11" s="10">
        <f t="shared" si="6"/>
        <v>0.17233653878685473</v>
      </c>
      <c r="Y11" s="10">
        <f t="shared" si="7"/>
        <v>6.9187076511110224E-3</v>
      </c>
      <c r="Z11" s="10">
        <f t="shared" si="8"/>
        <v>0.23749999999999999</v>
      </c>
      <c r="AA11" s="10">
        <f t="shared" si="13"/>
        <v>4.1666666666666519E-3</v>
      </c>
      <c r="AB11" s="34">
        <v>13.88</v>
      </c>
      <c r="AC11" s="34">
        <v>-1.5602836879432536</v>
      </c>
      <c r="AD11" s="10">
        <f t="shared" si="9"/>
        <v>4.7451346555622331E-2</v>
      </c>
    </row>
    <row r="12" spans="1:30" x14ac:dyDescent="0.2">
      <c r="A12" s="1">
        <v>41730</v>
      </c>
      <c r="B12" s="18">
        <v>0.10053543916145674</v>
      </c>
      <c r="C12" s="19">
        <v>-0.14499999999999999</v>
      </c>
      <c r="D12" s="19">
        <v>9.9999999999999992E-2</v>
      </c>
      <c r="E12" s="19">
        <v>0.23416666666666666</v>
      </c>
      <c r="F12" s="19">
        <v>0.29166666666666669</v>
      </c>
      <c r="G12" s="19">
        <f t="shared" si="10"/>
        <v>0.14906475</v>
      </c>
      <c r="H12" s="19">
        <v>1.3714711807019109</v>
      </c>
      <c r="I12" s="19">
        <v>0.65116083035459127</v>
      </c>
      <c r="J12" s="22">
        <v>1864.26</v>
      </c>
      <c r="K12" s="24">
        <f t="shared" si="14"/>
        <v>3.9709796514131313E-4</v>
      </c>
      <c r="L12" s="22">
        <f>L11*2/3+L14/3</f>
        <v>101.60666666666667</v>
      </c>
      <c r="M12" s="19">
        <f t="shared" si="0"/>
        <v>5.4502412038378051E-2</v>
      </c>
      <c r="N12" s="27">
        <v>7.4999999999999997E-3</v>
      </c>
      <c r="O12" s="11">
        <v>0.74520035393408268</v>
      </c>
      <c r="P12" s="10">
        <f t="shared" si="1"/>
        <v>0.19166666666666671</v>
      </c>
      <c r="Q12" s="10">
        <f t="shared" si="2"/>
        <v>7.6666666666666647E-2</v>
      </c>
      <c r="R12" s="32">
        <v>3.51666666666667E-2</v>
      </c>
      <c r="S12" s="10">
        <f t="shared" si="3"/>
        <v>2.76666666666667E-2</v>
      </c>
      <c r="T12" s="32">
        <f t="shared" si="4"/>
        <v>-5.3543916145674941E-4</v>
      </c>
      <c r="U12" s="10">
        <f t="shared" si="11"/>
        <v>-4.9999999999999489E-3</v>
      </c>
      <c r="V12" s="10">
        <f t="shared" si="12"/>
        <v>-6.6666666666666818E-3</v>
      </c>
      <c r="W12" s="10">
        <f t="shared" si="5"/>
        <v>1.2224064307019109</v>
      </c>
      <c r="X12" s="10">
        <f t="shared" si="6"/>
        <v>-0.72031035034731961</v>
      </c>
      <c r="Y12" s="10">
        <f t="shared" si="7"/>
        <v>-0.65076373238944996</v>
      </c>
      <c r="Z12" s="10">
        <f t="shared" si="8"/>
        <v>0.245</v>
      </c>
      <c r="AA12" s="10">
        <f t="shared" si="13"/>
        <v>7.5000000000000067E-3</v>
      </c>
      <c r="AB12" s="34">
        <v>13.41</v>
      </c>
      <c r="AC12" s="34">
        <v>2.4446142093200951</v>
      </c>
      <c r="AD12" s="10">
        <f t="shared" si="9"/>
        <v>4.7002412038378051E-2</v>
      </c>
    </row>
    <row r="13" spans="1:30" x14ac:dyDescent="0.2">
      <c r="A13" s="1">
        <v>41760</v>
      </c>
      <c r="B13" s="18">
        <v>0.10034888857445989</v>
      </c>
      <c r="C13" s="19">
        <v>-0.13500000000000001</v>
      </c>
      <c r="D13" s="19">
        <v>9.8333333333333328E-2</v>
      </c>
      <c r="E13" s="19">
        <v>0.22500000000000001</v>
      </c>
      <c r="F13" s="19">
        <v>0.28416666666666668</v>
      </c>
      <c r="G13" s="19">
        <f t="shared" si="10"/>
        <v>0.14465533333333333</v>
      </c>
      <c r="H13" s="19">
        <v>1.2634659900202849</v>
      </c>
      <c r="I13" s="19">
        <v>0.52857925920722915</v>
      </c>
      <c r="J13" s="22">
        <v>1889.77</v>
      </c>
      <c r="K13" s="24">
        <f t="shared" si="14"/>
        <v>1.3683713645092466E-2</v>
      </c>
      <c r="L13" s="22">
        <f>L11/3+L14*2/3</f>
        <v>102.36333333333334</v>
      </c>
      <c r="M13" s="19">
        <f t="shared" si="0"/>
        <v>5.4167085588898829E-2</v>
      </c>
      <c r="N13" s="27">
        <v>7.4999999999999997E-3</v>
      </c>
      <c r="O13" s="11">
        <v>1.3893836371301047</v>
      </c>
      <c r="P13" s="10">
        <f t="shared" si="1"/>
        <v>0.18583333333333335</v>
      </c>
      <c r="Q13" s="10">
        <f t="shared" si="2"/>
        <v>6.7500000000000004E-2</v>
      </c>
      <c r="R13" s="32">
        <v>3.5275000000000001E-2</v>
      </c>
      <c r="S13" s="10">
        <f t="shared" si="3"/>
        <v>2.7775000000000001E-2</v>
      </c>
      <c r="T13" s="32">
        <f t="shared" si="4"/>
        <v>-2.0155552411265654E-3</v>
      </c>
      <c r="U13" s="10">
        <f t="shared" si="11"/>
        <v>-5.833333333333357E-3</v>
      </c>
      <c r="V13" s="10">
        <f t="shared" si="12"/>
        <v>-9.1666666666666424E-3</v>
      </c>
      <c r="W13" s="10">
        <f t="shared" si="5"/>
        <v>1.1188106566869516</v>
      </c>
      <c r="X13" s="10">
        <f t="shared" si="6"/>
        <v>-0.73488673081305578</v>
      </c>
      <c r="Y13" s="10">
        <f t="shared" si="7"/>
        <v>-0.51489554556213668</v>
      </c>
      <c r="Z13" s="10">
        <f t="shared" si="8"/>
        <v>0.23333333333333334</v>
      </c>
      <c r="AA13" s="10">
        <f t="shared" si="13"/>
        <v>-1.1666666666666659E-2</v>
      </c>
      <c r="AB13" s="34">
        <v>11.4</v>
      </c>
      <c r="AC13" s="34">
        <v>-11.696359411309064</v>
      </c>
      <c r="AD13" s="10">
        <f t="shared" si="9"/>
        <v>4.666708558889883E-2</v>
      </c>
    </row>
    <row r="14" spans="1:30" x14ac:dyDescent="0.2">
      <c r="A14" s="1">
        <v>41791</v>
      </c>
      <c r="B14" s="18">
        <v>0.12043898584918399</v>
      </c>
      <c r="C14" s="19">
        <v>-0.11499999999999999</v>
      </c>
      <c r="D14" s="19">
        <v>0.11833333333333333</v>
      </c>
      <c r="E14" s="19">
        <v>0.23416666666666666</v>
      </c>
      <c r="F14" s="19">
        <v>0.28750000000000003</v>
      </c>
      <c r="G14" s="19">
        <f t="shared" si="10"/>
        <v>0.16069358333333333</v>
      </c>
      <c r="H14" s="19">
        <v>-0.23317380209140204</v>
      </c>
      <c r="I14" s="19">
        <v>0.87980608554314443</v>
      </c>
      <c r="J14" s="22">
        <v>1947.09</v>
      </c>
      <c r="K14" s="24">
        <f t="shared" si="14"/>
        <v>3.03317334913773E-2</v>
      </c>
      <c r="L14" s="22">
        <v>103.12</v>
      </c>
      <c r="M14" s="19">
        <f t="shared" si="0"/>
        <v>5.2961085517361811E-2</v>
      </c>
      <c r="N14" s="27">
        <v>8.3333333333333332E-3</v>
      </c>
      <c r="O14" s="11">
        <v>-0.15960421366991845</v>
      </c>
      <c r="P14" s="10">
        <f t="shared" si="1"/>
        <v>0.16916666666666669</v>
      </c>
      <c r="Q14" s="10">
        <f t="shared" si="2"/>
        <v>6.2499999999999958E-2</v>
      </c>
      <c r="R14" s="32">
        <v>3.5424999999999998E-2</v>
      </c>
      <c r="S14" s="10">
        <f t="shared" si="3"/>
        <v>2.7091666666666667E-2</v>
      </c>
      <c r="T14" s="32">
        <f t="shared" si="4"/>
        <v>-2.1056525158506534E-3</v>
      </c>
      <c r="U14" s="10">
        <f t="shared" si="11"/>
        <v>-1.6666666666666663E-2</v>
      </c>
      <c r="V14" s="10">
        <f t="shared" si="12"/>
        <v>-5.0000000000000461E-3</v>
      </c>
      <c r="W14" s="10">
        <f t="shared" si="5"/>
        <v>-0.39386738542473537</v>
      </c>
      <c r="X14" s="10">
        <f t="shared" si="6"/>
        <v>1.1129798876345465</v>
      </c>
      <c r="Y14" s="10">
        <f t="shared" si="7"/>
        <v>-0.84947435205176713</v>
      </c>
      <c r="Z14" s="10">
        <f t="shared" si="8"/>
        <v>0.23333333333333334</v>
      </c>
      <c r="AA14" s="10">
        <f t="shared" si="13"/>
        <v>0</v>
      </c>
      <c r="AB14" s="34">
        <v>11.57</v>
      </c>
      <c r="AC14" s="34">
        <v>-2.5273799494523908</v>
      </c>
      <c r="AD14" s="10">
        <f t="shared" si="9"/>
        <v>4.462775218402848E-2</v>
      </c>
    </row>
    <row r="15" spans="1:30" x14ac:dyDescent="0.2">
      <c r="A15" s="1">
        <v>41821</v>
      </c>
      <c r="B15" s="18">
        <v>0.12138223328678212</v>
      </c>
      <c r="C15" s="19">
        <v>-0.11333333333333334</v>
      </c>
      <c r="D15" s="19">
        <v>0.11916666666666666</v>
      </c>
      <c r="E15" s="19">
        <v>0.22999999999999998</v>
      </c>
      <c r="F15" s="19">
        <v>0.27666666666666667</v>
      </c>
      <c r="G15" s="19">
        <f t="shared" si="10"/>
        <v>0.15969841666666668</v>
      </c>
      <c r="H15" s="19">
        <v>0.39169156182108367</v>
      </c>
      <c r="I15" s="19">
        <v>-1.3143736600130462</v>
      </c>
      <c r="J15" s="22">
        <v>1973.1</v>
      </c>
      <c r="K15" s="24">
        <f t="shared" si="14"/>
        <v>1.3358396376130566E-2</v>
      </c>
      <c r="L15" s="22">
        <f>L14*2/3+L17/3</f>
        <v>104.06666666666666</v>
      </c>
      <c r="M15" s="19">
        <f t="shared" si="0"/>
        <v>5.2742722957106414E-2</v>
      </c>
      <c r="N15" s="27">
        <v>7.4999999999999997E-3</v>
      </c>
      <c r="O15" s="11">
        <v>2.1744398396726858E-3</v>
      </c>
      <c r="P15" s="10">
        <f t="shared" si="1"/>
        <v>0.15750000000000003</v>
      </c>
      <c r="Q15" s="10">
        <f t="shared" si="2"/>
        <v>6.4166666666666636E-2</v>
      </c>
      <c r="R15" s="32">
        <v>3.5691666666666698E-2</v>
      </c>
      <c r="S15" s="10">
        <f t="shared" si="3"/>
        <v>2.8191666666666698E-2</v>
      </c>
      <c r="T15" s="32">
        <f t="shared" si="4"/>
        <v>-2.2155666201154611E-3</v>
      </c>
      <c r="U15" s="10">
        <f t="shared" si="11"/>
        <v>-1.1666666666666659E-2</v>
      </c>
      <c r="V15" s="10">
        <f t="shared" si="12"/>
        <v>1.6666666666666774E-3</v>
      </c>
      <c r="W15" s="10">
        <f t="shared" si="5"/>
        <v>0.23199314515441699</v>
      </c>
      <c r="X15" s="10">
        <f t="shared" si="6"/>
        <v>-1.7060652218341299</v>
      </c>
      <c r="Y15" s="10">
        <f t="shared" si="7"/>
        <v>1.3277320563891768</v>
      </c>
      <c r="Z15" s="10">
        <f t="shared" si="8"/>
        <v>0.23249999999999998</v>
      </c>
      <c r="AA15" s="10">
        <f t="shared" si="13"/>
        <v>-8.3333333333335258E-4</v>
      </c>
      <c r="AB15" s="34">
        <v>16.95</v>
      </c>
      <c r="AC15" s="34">
        <v>64.244186046511615</v>
      </c>
      <c r="AD15" s="10">
        <f t="shared" si="9"/>
        <v>4.5242722957106414E-2</v>
      </c>
    </row>
    <row r="16" spans="1:30" x14ac:dyDescent="0.2">
      <c r="A16" s="1">
        <v>41852</v>
      </c>
      <c r="B16" s="18">
        <v>0.10415775378152083</v>
      </c>
      <c r="C16" s="19">
        <v>-0.13500000000000001</v>
      </c>
      <c r="D16" s="19">
        <v>0.10166666666666667</v>
      </c>
      <c r="E16" s="19">
        <v>0.19916666666666669</v>
      </c>
      <c r="F16" s="19">
        <v>0.24750000000000003</v>
      </c>
      <c r="G16" s="19">
        <f t="shared" si="10"/>
        <v>0.13732241666666667</v>
      </c>
      <c r="H16" s="19">
        <v>3.1883543298386385</v>
      </c>
      <c r="I16" s="19">
        <v>1.3564337964559248</v>
      </c>
      <c r="J16" s="22">
        <v>1961.53</v>
      </c>
      <c r="K16" s="24">
        <f t="shared" si="14"/>
        <v>-5.8638690385687253E-3</v>
      </c>
      <c r="L16" s="22">
        <f>L14/3+L17*2/3</f>
        <v>105.01333333333334</v>
      </c>
      <c r="M16" s="19">
        <f t="shared" si="0"/>
        <v>5.353644009183308E-2</v>
      </c>
      <c r="N16" s="27">
        <v>7.4999999999999997E-3</v>
      </c>
      <c r="O16" s="11">
        <v>2.1528110708148573</v>
      </c>
      <c r="P16" s="10">
        <f t="shared" si="1"/>
        <v>0.14583333333333337</v>
      </c>
      <c r="Q16" s="10">
        <f t="shared" si="2"/>
        <v>4.9166666666666678E-2</v>
      </c>
      <c r="R16" s="32">
        <v>3.5233333333333297E-2</v>
      </c>
      <c r="S16" s="10">
        <f t="shared" si="3"/>
        <v>2.7733333333333297E-2</v>
      </c>
      <c r="T16" s="32">
        <f t="shared" si="4"/>
        <v>-2.4910871148541569E-3</v>
      </c>
      <c r="U16" s="10">
        <f t="shared" si="11"/>
        <v>-1.1666666666666659E-2</v>
      </c>
      <c r="V16" s="10">
        <f t="shared" si="12"/>
        <v>-1.4999999999999958E-2</v>
      </c>
      <c r="W16" s="10">
        <f t="shared" si="5"/>
        <v>3.0510319131719719</v>
      </c>
      <c r="X16" s="10">
        <f t="shared" si="6"/>
        <v>-1.8319205333827138</v>
      </c>
      <c r="Y16" s="10">
        <f t="shared" si="7"/>
        <v>-1.3622976654944936</v>
      </c>
      <c r="Z16" s="10">
        <f t="shared" si="8"/>
        <v>0.23666666666666669</v>
      </c>
      <c r="AA16" s="10">
        <f t="shared" si="13"/>
        <v>4.1666666666667074E-3</v>
      </c>
      <c r="AB16" s="34">
        <v>11.98</v>
      </c>
      <c r="AC16" s="34">
        <v>-20.767195767195755</v>
      </c>
      <c r="AD16" s="10">
        <f t="shared" si="9"/>
        <v>4.6036440091833081E-2</v>
      </c>
    </row>
    <row r="17" spans="1:30" x14ac:dyDescent="0.2">
      <c r="A17" s="1">
        <v>41883</v>
      </c>
      <c r="B17" s="18">
        <v>0.10844734790706688</v>
      </c>
      <c r="C17" s="19">
        <v>-0.11666666666666665</v>
      </c>
      <c r="D17" s="19">
        <v>0.10583333333333333</v>
      </c>
      <c r="E17" s="19">
        <v>0.20583333333333334</v>
      </c>
      <c r="F17" s="19">
        <v>0.255</v>
      </c>
      <c r="G17" s="19">
        <f t="shared" si="10"/>
        <v>0.14240333333333333</v>
      </c>
      <c r="H17" s="19">
        <v>-0.43329142224554085</v>
      </c>
      <c r="I17" s="19">
        <v>-1.7029454155572443</v>
      </c>
      <c r="J17" s="22">
        <v>1993.23</v>
      </c>
      <c r="K17" s="24">
        <f t="shared" si="14"/>
        <v>1.6160854027213567E-2</v>
      </c>
      <c r="L17" s="22">
        <v>105.96</v>
      </c>
      <c r="M17" s="19">
        <f t="shared" si="0"/>
        <v>5.3159946418627049E-2</v>
      </c>
      <c r="N17" s="27">
        <v>7.4999999999999997E-3</v>
      </c>
      <c r="O17" s="11">
        <v>-0.63321922178810008</v>
      </c>
      <c r="P17" s="10">
        <f t="shared" si="1"/>
        <v>0.14916666666666667</v>
      </c>
      <c r="Q17" s="10">
        <f t="shared" si="2"/>
        <v>5.0833333333333341E-2</v>
      </c>
      <c r="R17" s="32">
        <v>3.59916666666667E-2</v>
      </c>
      <c r="S17" s="10">
        <f t="shared" si="3"/>
        <v>2.84916666666667E-2</v>
      </c>
      <c r="T17" s="32">
        <f t="shared" si="4"/>
        <v>-2.6140145737335446E-3</v>
      </c>
      <c r="U17" s="10">
        <f t="shared" si="11"/>
        <v>3.3333333333332993E-3</v>
      </c>
      <c r="V17" s="10">
        <f t="shared" si="12"/>
        <v>1.6666666666666635E-3</v>
      </c>
      <c r="W17" s="10">
        <f t="shared" si="5"/>
        <v>-0.57569475557887417</v>
      </c>
      <c r="X17" s="10">
        <f t="shared" si="6"/>
        <v>-1.2696539933117035</v>
      </c>
      <c r="Y17" s="10">
        <f t="shared" si="7"/>
        <v>1.7191062695844579</v>
      </c>
      <c r="Z17" s="10">
        <f t="shared" si="8"/>
        <v>0.22249999999999998</v>
      </c>
      <c r="AA17" s="10">
        <f t="shared" si="13"/>
        <v>-1.4166666666666716E-2</v>
      </c>
      <c r="AB17" s="34">
        <v>16.309999999999999</v>
      </c>
      <c r="AC17" s="34">
        <v>31.957928802588988</v>
      </c>
      <c r="AD17" s="10">
        <f t="shared" si="9"/>
        <v>4.565994641862705E-2</v>
      </c>
    </row>
    <row r="18" spans="1:30" x14ac:dyDescent="0.2">
      <c r="A18" s="1">
        <v>41913</v>
      </c>
      <c r="B18" s="18">
        <v>9.106082647655088E-2</v>
      </c>
      <c r="C18" s="19">
        <v>-0.11583333333333333</v>
      </c>
      <c r="D18" s="19">
        <v>8.8333333333333333E-2</v>
      </c>
      <c r="E18" s="19">
        <v>0.1925</v>
      </c>
      <c r="F18" s="19">
        <v>0.24833333333333332</v>
      </c>
      <c r="G18" s="19">
        <f t="shared" si="10"/>
        <v>0.12642708333333336</v>
      </c>
      <c r="H18" s="19">
        <v>0.47151301818402214</v>
      </c>
      <c r="I18" s="19">
        <v>1.6125622408445506</v>
      </c>
      <c r="J18" s="22">
        <v>1937.27</v>
      </c>
      <c r="K18" s="24">
        <f t="shared" si="14"/>
        <v>-2.8075033990056397E-2</v>
      </c>
      <c r="L18" s="22">
        <f>L17*2/3+L20/3</f>
        <v>104.74333333333334</v>
      </c>
      <c r="M18" s="19">
        <f t="shared" si="0"/>
        <v>5.4067493603541759E-2</v>
      </c>
      <c r="N18" s="27">
        <v>7.4999999999999997E-3</v>
      </c>
      <c r="O18" s="11">
        <v>0.54311279831289316</v>
      </c>
      <c r="P18" s="10">
        <f t="shared" si="1"/>
        <v>0.15999999999999998</v>
      </c>
      <c r="Q18" s="10">
        <f t="shared" si="2"/>
        <v>4.8333333333333353E-2</v>
      </c>
      <c r="R18" s="32">
        <v>3.5900000000000001E-2</v>
      </c>
      <c r="S18" s="10">
        <f t="shared" si="3"/>
        <v>2.8400000000000002E-2</v>
      </c>
      <c r="T18" s="32">
        <f t="shared" si="4"/>
        <v>-2.7274931432175464E-3</v>
      </c>
      <c r="U18" s="10">
        <f t="shared" si="11"/>
        <v>1.0833333333333306E-2</v>
      </c>
      <c r="V18" s="10">
        <f t="shared" si="12"/>
        <v>-2.4999999999999883E-3</v>
      </c>
      <c r="W18" s="10">
        <f t="shared" si="5"/>
        <v>0.34508593485068878</v>
      </c>
      <c r="X18" s="10">
        <f t="shared" si="6"/>
        <v>1.1410492226605284</v>
      </c>
      <c r="Y18" s="10">
        <f t="shared" si="7"/>
        <v>-1.640637274834607</v>
      </c>
      <c r="Z18" s="10">
        <f t="shared" si="8"/>
        <v>0.20416666666666666</v>
      </c>
      <c r="AA18" s="10">
        <f t="shared" si="13"/>
        <v>-1.8333333333333313E-2</v>
      </c>
      <c r="AB18" s="34">
        <v>14.03</v>
      </c>
      <c r="AC18" s="34">
        <v>-9.2496765847348108</v>
      </c>
      <c r="AD18" s="10">
        <f t="shared" si="9"/>
        <v>4.656749360354176E-2</v>
      </c>
    </row>
    <row r="19" spans="1:30" x14ac:dyDescent="0.2">
      <c r="A19" s="1">
        <v>41944</v>
      </c>
      <c r="B19" s="18">
        <v>7.2590193306476467E-2</v>
      </c>
      <c r="C19" s="19">
        <v>-0.1275</v>
      </c>
      <c r="D19" s="19">
        <v>7.0833333333333331E-2</v>
      </c>
      <c r="E19" s="19">
        <v>0.16583333333333333</v>
      </c>
      <c r="F19" s="19">
        <v>0.22166666666666668</v>
      </c>
      <c r="G19" s="19">
        <f t="shared" si="10"/>
        <v>0.10557483333333334</v>
      </c>
      <c r="H19" s="19">
        <v>2.5724386206863681</v>
      </c>
      <c r="I19" s="19">
        <v>-0.45060331009494359</v>
      </c>
      <c r="J19" s="22">
        <v>2044.57</v>
      </c>
      <c r="K19" s="24">
        <f t="shared" si="14"/>
        <v>5.538722016032871E-2</v>
      </c>
      <c r="L19" s="22">
        <f>L17/3+L20*2/3</f>
        <v>103.52666666666667</v>
      </c>
      <c r="M19" s="19">
        <f t="shared" si="0"/>
        <v>5.0634933832867879E-2</v>
      </c>
      <c r="N19" s="27">
        <v>7.4999999999999997E-3</v>
      </c>
      <c r="O19" s="11">
        <v>2.6535892327475388</v>
      </c>
      <c r="P19" s="10">
        <f t="shared" si="1"/>
        <v>0.15083333333333335</v>
      </c>
      <c r="Q19" s="10">
        <f t="shared" si="2"/>
        <v>3.9166666666666655E-2</v>
      </c>
      <c r="R19" s="32">
        <v>3.6041666666666701E-2</v>
      </c>
      <c r="S19" s="10">
        <f t="shared" si="3"/>
        <v>2.8541666666666701E-2</v>
      </c>
      <c r="T19" s="32">
        <f t="shared" si="4"/>
        <v>-1.756859973143135E-3</v>
      </c>
      <c r="U19" s="10">
        <f t="shared" si="11"/>
        <v>-9.1666666666666285E-3</v>
      </c>
      <c r="V19" s="10">
        <f t="shared" si="12"/>
        <v>-9.1666666666666979E-3</v>
      </c>
      <c r="W19" s="10">
        <f t="shared" si="5"/>
        <v>2.4668637873530348</v>
      </c>
      <c r="X19" s="10">
        <f t="shared" si="6"/>
        <v>-3.0230419307813117</v>
      </c>
      <c r="Y19" s="10">
        <f t="shared" si="7"/>
        <v>0.5059905302552723</v>
      </c>
      <c r="Z19" s="10">
        <f t="shared" si="8"/>
        <v>0.19833333333333333</v>
      </c>
      <c r="AA19" s="10">
        <f t="shared" si="13"/>
        <v>-5.8333333333333293E-3</v>
      </c>
      <c r="AB19" s="34">
        <v>13.33</v>
      </c>
      <c r="AC19" s="34">
        <v>-4.9893086243763314</v>
      </c>
      <c r="AD19" s="10">
        <f t="shared" si="9"/>
        <v>4.3134933832867879E-2</v>
      </c>
    </row>
    <row r="20" spans="1:30" x14ac:dyDescent="0.2">
      <c r="A20" s="1">
        <v>41974</v>
      </c>
      <c r="B20" s="18">
        <v>7.1621436914131448E-2</v>
      </c>
      <c r="C20" s="19">
        <v>-0.13583333333333333</v>
      </c>
      <c r="D20" s="19">
        <v>6.4166666666666664E-2</v>
      </c>
      <c r="E20" s="19">
        <v>0.15166666666666667</v>
      </c>
      <c r="F20" s="19">
        <v>0.20666666666666667</v>
      </c>
      <c r="G20" s="19">
        <f t="shared" si="10"/>
        <v>9.616541666666667E-2</v>
      </c>
      <c r="H20" s="19">
        <v>1.4790637132695239</v>
      </c>
      <c r="I20" s="19">
        <v>-1.2777746041036986</v>
      </c>
      <c r="J20" s="22">
        <v>2054.27</v>
      </c>
      <c r="K20" s="24">
        <f t="shared" si="14"/>
        <v>4.7442738570946386E-3</v>
      </c>
      <c r="L20" s="22">
        <v>102.31</v>
      </c>
      <c r="M20" s="19">
        <f t="shared" si="0"/>
        <v>4.9803579860485725E-2</v>
      </c>
      <c r="N20" s="27">
        <v>0.01</v>
      </c>
      <c r="O20" s="11">
        <v>-0.18651939975316809</v>
      </c>
      <c r="P20" s="10">
        <f t="shared" si="1"/>
        <v>0.14250000000000002</v>
      </c>
      <c r="Q20" s="10">
        <f t="shared" si="2"/>
        <v>3.2500000000000015E-2</v>
      </c>
      <c r="R20" s="32">
        <v>3.5666666666666701E-2</v>
      </c>
      <c r="S20" s="10">
        <f t="shared" si="3"/>
        <v>2.5666666666666699E-2</v>
      </c>
      <c r="T20" s="32">
        <f t="shared" si="4"/>
        <v>-7.4547702474647842E-3</v>
      </c>
      <c r="U20" s="10">
        <f t="shared" si="11"/>
        <v>-8.3333333333333315E-3</v>
      </c>
      <c r="V20" s="10">
        <f t="shared" si="12"/>
        <v>-6.6666666666666402E-3</v>
      </c>
      <c r="W20" s="10">
        <f t="shared" si="5"/>
        <v>1.3828982966028573</v>
      </c>
      <c r="X20" s="10">
        <f t="shared" si="6"/>
        <v>-2.7568383173732225</v>
      </c>
      <c r="Y20" s="10">
        <f t="shared" si="7"/>
        <v>1.2825188779607932</v>
      </c>
      <c r="Z20" s="10">
        <f t="shared" si="8"/>
        <v>0.2</v>
      </c>
      <c r="AA20" s="10">
        <f t="shared" si="13"/>
        <v>1.6666666666666774E-3</v>
      </c>
      <c r="AB20" s="34">
        <v>19.2</v>
      </c>
      <c r="AC20" s="34">
        <v>53.969526864474716</v>
      </c>
      <c r="AD20" s="10">
        <f t="shared" si="9"/>
        <v>3.9803579860485723E-2</v>
      </c>
    </row>
    <row r="21" spans="1:30" x14ac:dyDescent="0.2">
      <c r="A21" s="1">
        <v>42005</v>
      </c>
      <c r="B21" s="18">
        <v>5.7046470503611897E-2</v>
      </c>
      <c r="C21" s="19">
        <v>-0.12</v>
      </c>
      <c r="D21" s="19">
        <v>4.9999999999999996E-2</v>
      </c>
      <c r="E21" s="19">
        <v>0.11583333333333333</v>
      </c>
      <c r="F21" s="19">
        <v>0.16749999999999998</v>
      </c>
      <c r="G21" s="19">
        <f t="shared" si="10"/>
        <v>7.4075249999999995E-2</v>
      </c>
      <c r="H21" s="19">
        <v>6.0089659027047322</v>
      </c>
      <c r="I21" s="19">
        <v>1.1830048495998224</v>
      </c>
      <c r="J21" s="22">
        <v>2028.18</v>
      </c>
      <c r="K21" s="24">
        <f t="shared" si="14"/>
        <v>-1.270037531580559E-2</v>
      </c>
      <c r="L21" s="22">
        <f>L20*2/3+L23/3</f>
        <v>101.28999999999999</v>
      </c>
      <c r="M21" s="19">
        <f t="shared" si="0"/>
        <v>4.9941326706702559E-2</v>
      </c>
      <c r="N21" s="27">
        <v>9.1666666666666667E-3</v>
      </c>
      <c r="O21" s="11">
        <v>2.4047017706743326</v>
      </c>
      <c r="P21" s="10">
        <f t="shared" si="1"/>
        <v>0.11749999999999999</v>
      </c>
      <c r="Q21" s="10">
        <f t="shared" si="2"/>
        <v>1.4166666666666682E-2</v>
      </c>
      <c r="R21" s="32">
        <v>3.6291666666666701E-2</v>
      </c>
      <c r="S21" s="10">
        <f t="shared" si="3"/>
        <v>2.7125000000000035E-2</v>
      </c>
      <c r="T21" s="32">
        <f t="shared" si="4"/>
        <v>-7.0464705036119013E-3</v>
      </c>
      <c r="U21" s="10">
        <f t="shared" si="11"/>
        <v>-2.5000000000000022E-2</v>
      </c>
      <c r="V21" s="10">
        <f t="shared" si="12"/>
        <v>-1.8333333333333333E-2</v>
      </c>
      <c r="W21" s="10">
        <f t="shared" si="5"/>
        <v>5.9348906527047323</v>
      </c>
      <c r="X21" s="10">
        <f t="shared" si="6"/>
        <v>-4.8259610531049102</v>
      </c>
      <c r="Y21" s="10">
        <f t="shared" si="7"/>
        <v>-1.1957052249156281</v>
      </c>
      <c r="Z21" s="10">
        <f t="shared" si="8"/>
        <v>0.16999999999999998</v>
      </c>
      <c r="AA21" s="10">
        <f t="shared" si="13"/>
        <v>-3.0000000000000027E-2</v>
      </c>
      <c r="AB21" s="34">
        <v>20.97</v>
      </c>
      <c r="AC21" s="34">
        <v>17.875210792580098</v>
      </c>
      <c r="AD21" s="10">
        <f t="shared" si="9"/>
        <v>4.0774660040035896E-2</v>
      </c>
    </row>
    <row r="22" spans="1:30" x14ac:dyDescent="0.2">
      <c r="A22" s="1">
        <v>42036</v>
      </c>
      <c r="B22" s="18">
        <v>7.9048727188269316E-2</v>
      </c>
      <c r="C22" s="19">
        <v>-0.11583333333333333</v>
      </c>
      <c r="D22" s="19">
        <v>7.166666666666667E-2</v>
      </c>
      <c r="E22" s="19">
        <v>0.155</v>
      </c>
      <c r="F22" s="19">
        <v>0.20499999999999999</v>
      </c>
      <c r="G22" s="19">
        <f t="shared" si="10"/>
        <v>0.10214166666666667</v>
      </c>
      <c r="H22" s="19">
        <v>-3.6375515686267956</v>
      </c>
      <c r="I22" s="19">
        <v>2.0940890887866437</v>
      </c>
      <c r="J22" s="22">
        <v>2082.1999999999998</v>
      </c>
      <c r="K22" s="24">
        <f t="shared" si="14"/>
        <v>2.6634716839728068E-2</v>
      </c>
      <c r="L22" s="22">
        <f>L20/3+L23*2/3</f>
        <v>100.27000000000001</v>
      </c>
      <c r="M22" s="19">
        <f t="shared" si="0"/>
        <v>4.8155796753433878E-2</v>
      </c>
      <c r="N22" s="27">
        <v>9.1666666666666667E-3</v>
      </c>
      <c r="O22" s="11">
        <v>0.8220675256694463</v>
      </c>
      <c r="P22" s="10">
        <f t="shared" si="1"/>
        <v>0.1333333333333333</v>
      </c>
      <c r="Q22" s="10">
        <f t="shared" si="2"/>
        <v>3.333333333333334E-2</v>
      </c>
      <c r="R22" s="32">
        <v>3.7591666666666697E-2</v>
      </c>
      <c r="S22" s="10">
        <f t="shared" si="3"/>
        <v>2.842500000000003E-2</v>
      </c>
      <c r="T22" s="32">
        <f t="shared" si="4"/>
        <v>-7.3820605216026458E-3</v>
      </c>
      <c r="U22" s="10">
        <f t="shared" si="11"/>
        <v>1.583333333333331E-2</v>
      </c>
      <c r="V22" s="10">
        <f t="shared" si="12"/>
        <v>1.9166666666666658E-2</v>
      </c>
      <c r="W22" s="10">
        <f t="shared" si="5"/>
        <v>-3.7396932352934624</v>
      </c>
      <c r="X22" s="10">
        <f t="shared" si="6"/>
        <v>5.7316406574134398</v>
      </c>
      <c r="Y22" s="10">
        <f t="shared" si="7"/>
        <v>-2.0674543719469156</v>
      </c>
      <c r="Z22" s="10">
        <f t="shared" si="8"/>
        <v>0.1875</v>
      </c>
      <c r="AA22" s="10">
        <f t="shared" si="13"/>
        <v>1.7500000000000016E-2</v>
      </c>
      <c r="AB22" s="34">
        <v>13.34</v>
      </c>
      <c r="AC22" s="34">
        <v>-36.385312350977586</v>
      </c>
      <c r="AD22" s="10">
        <f t="shared" si="9"/>
        <v>3.8989130086767215E-2</v>
      </c>
    </row>
    <row r="23" spans="1:30" x14ac:dyDescent="0.2">
      <c r="A23" s="1">
        <v>42064</v>
      </c>
      <c r="B23" s="18">
        <v>6.4717582934280524E-2</v>
      </c>
      <c r="C23" s="19">
        <v>-0.14416666666666667</v>
      </c>
      <c r="D23" s="19">
        <v>5.5833333333333339E-2</v>
      </c>
      <c r="E23" s="19">
        <v>0.13833333333333334</v>
      </c>
      <c r="F23" s="19">
        <v>0.19083333333333333</v>
      </c>
      <c r="G23" s="19">
        <f t="shared" si="10"/>
        <v>8.6003583333333328E-2</v>
      </c>
      <c r="H23" s="19">
        <v>1.1854893142214218</v>
      </c>
      <c r="I23" s="19">
        <v>-0.77587497808463413</v>
      </c>
      <c r="J23" s="22">
        <v>2079.9899999999998</v>
      </c>
      <c r="K23" s="24">
        <f t="shared" si="14"/>
        <v>-1.0613773892997891E-3</v>
      </c>
      <c r="L23" s="22">
        <v>99.25</v>
      </c>
      <c r="M23" s="19">
        <f t="shared" si="0"/>
        <v>4.7716575560459433E-2</v>
      </c>
      <c r="N23" s="27">
        <v>9.1666666666666667E-3</v>
      </c>
      <c r="O23" s="11">
        <v>0.79790760681101336</v>
      </c>
      <c r="P23" s="10">
        <f t="shared" si="1"/>
        <v>0.13499999999999998</v>
      </c>
      <c r="Q23" s="10">
        <f t="shared" si="2"/>
        <v>3.0000000000000006E-2</v>
      </c>
      <c r="R23" s="32">
        <v>3.80666666666667E-2</v>
      </c>
      <c r="S23" s="10">
        <f t="shared" si="3"/>
        <v>2.8900000000000033E-2</v>
      </c>
      <c r="T23" s="32">
        <f t="shared" si="4"/>
        <v>-8.8842496009471847E-3</v>
      </c>
      <c r="U23" s="10">
        <f t="shared" si="11"/>
        <v>1.6666666666666774E-3</v>
      </c>
      <c r="V23" s="10">
        <f t="shared" si="12"/>
        <v>-3.333333333333334E-3</v>
      </c>
      <c r="W23" s="10">
        <f t="shared" si="5"/>
        <v>1.0994857308880885</v>
      </c>
      <c r="X23" s="10">
        <f t="shared" si="6"/>
        <v>-1.9613642923060559</v>
      </c>
      <c r="Y23" s="10">
        <f t="shared" si="7"/>
        <v>0.77481360069533434</v>
      </c>
      <c r="Z23" s="10">
        <f t="shared" si="8"/>
        <v>0.2</v>
      </c>
      <c r="AA23" s="10">
        <f t="shared" si="13"/>
        <v>1.2500000000000011E-2</v>
      </c>
      <c r="AB23" s="34">
        <v>15.29</v>
      </c>
      <c r="AC23" s="34">
        <v>7.4490513000702752</v>
      </c>
      <c r="AD23" s="10">
        <f t="shared" si="9"/>
        <v>3.854990889379277E-2</v>
      </c>
    </row>
    <row r="24" spans="1:30" x14ac:dyDescent="0.2">
      <c r="A24" s="1">
        <v>42095</v>
      </c>
      <c r="B24" s="18">
        <v>7.5883934760301988E-2</v>
      </c>
      <c r="C24" s="19">
        <v>-0.14666666666666667</v>
      </c>
      <c r="D24" s="19">
        <v>6.9999999999999993E-2</v>
      </c>
      <c r="E24" s="19">
        <v>0.16166666666666665</v>
      </c>
      <c r="F24" s="19">
        <v>0.21083333333333332</v>
      </c>
      <c r="G24" s="19">
        <f t="shared" si="10"/>
        <v>0.10352249999999999</v>
      </c>
      <c r="H24" s="19">
        <v>-2.2229609455409638</v>
      </c>
      <c r="I24" s="19">
        <v>0.65171915556261339</v>
      </c>
      <c r="J24" s="22">
        <v>2094.86</v>
      </c>
      <c r="K24" s="24">
        <f t="shared" si="14"/>
        <v>7.1490728320811048E-3</v>
      </c>
      <c r="L24" s="22">
        <f>L23*2/3+L26/3</f>
        <v>97.803333333333342</v>
      </c>
      <c r="M24" s="19">
        <f t="shared" si="0"/>
        <v>4.6687288569801005E-2</v>
      </c>
      <c r="N24" s="27">
        <v>0.01</v>
      </c>
      <c r="O24" s="11">
        <v>-0.23417506109101072</v>
      </c>
      <c r="P24" s="10">
        <f t="shared" si="1"/>
        <v>0.14083333333333331</v>
      </c>
      <c r="Q24" s="10">
        <f t="shared" si="2"/>
        <v>4.2499999999999996E-2</v>
      </c>
      <c r="R24" s="32">
        <v>3.8116666666666701E-2</v>
      </c>
      <c r="S24" s="10">
        <f t="shared" si="3"/>
        <v>2.81166666666667E-2</v>
      </c>
      <c r="T24" s="32">
        <f t="shared" si="4"/>
        <v>-5.8839347603019954E-3</v>
      </c>
      <c r="U24" s="10">
        <f t="shared" si="11"/>
        <v>5.8333333333333293E-3</v>
      </c>
      <c r="V24" s="10">
        <f t="shared" si="12"/>
        <v>1.249999999999999E-2</v>
      </c>
      <c r="W24" s="10">
        <f t="shared" si="5"/>
        <v>-2.3264834455409638</v>
      </c>
      <c r="X24" s="10">
        <f t="shared" si="6"/>
        <v>2.8746801011035772</v>
      </c>
      <c r="Y24" s="10">
        <f t="shared" si="7"/>
        <v>-0.64457008273053229</v>
      </c>
      <c r="Z24" s="10">
        <f t="shared" si="8"/>
        <v>0.21666666666666667</v>
      </c>
      <c r="AA24" s="10">
        <f t="shared" si="13"/>
        <v>1.6666666666666663E-2</v>
      </c>
      <c r="AB24" s="34">
        <v>14.55</v>
      </c>
      <c r="AC24" s="34">
        <v>-0.81799591002044147</v>
      </c>
      <c r="AD24" s="10">
        <f t="shared" si="9"/>
        <v>3.6687288569801003E-2</v>
      </c>
    </row>
    <row r="25" spans="1:30" x14ac:dyDescent="0.2">
      <c r="A25" s="1">
        <v>42125</v>
      </c>
      <c r="B25" s="18">
        <v>7.3903397550769093E-2</v>
      </c>
      <c r="C25" s="19">
        <v>-0.14083333333333334</v>
      </c>
      <c r="D25" s="19">
        <v>6.7500000000000004E-2</v>
      </c>
      <c r="E25" s="19">
        <v>0.16</v>
      </c>
      <c r="F25" s="19">
        <v>0.21083333333333332</v>
      </c>
      <c r="G25" s="19">
        <f t="shared" si="10"/>
        <v>0.10132725000000001</v>
      </c>
      <c r="H25" s="19">
        <v>0.37532703476401696</v>
      </c>
      <c r="I25" s="19">
        <v>-0.13018686351002895</v>
      </c>
      <c r="J25" s="22">
        <v>2111.94</v>
      </c>
      <c r="K25" s="24">
        <f t="shared" si="14"/>
        <v>8.1532894799651867E-3</v>
      </c>
      <c r="L25" s="22">
        <f>L23/3+L26*2/3</f>
        <v>96.356666666666669</v>
      </c>
      <c r="M25" s="19">
        <f t="shared" si="0"/>
        <v>4.56247178739295E-2</v>
      </c>
      <c r="N25" s="27">
        <v>0.01</v>
      </c>
      <c r="O25" s="11">
        <v>0.44906329589973976</v>
      </c>
      <c r="P25" s="10">
        <f t="shared" si="1"/>
        <v>0.14333333333333331</v>
      </c>
      <c r="Q25" s="10">
        <f t="shared" si="2"/>
        <v>4.1666666666666685E-2</v>
      </c>
      <c r="R25" s="32">
        <v>3.85E-2</v>
      </c>
      <c r="S25" s="10">
        <f t="shared" si="3"/>
        <v>2.8499999999999998E-2</v>
      </c>
      <c r="T25" s="32">
        <f t="shared" si="4"/>
        <v>-6.4033975507690882E-3</v>
      </c>
      <c r="U25" s="10">
        <f t="shared" si="11"/>
        <v>2.5000000000000022E-3</v>
      </c>
      <c r="V25" s="10">
        <f t="shared" si="12"/>
        <v>-8.3333333333331094E-4</v>
      </c>
      <c r="W25" s="10">
        <f t="shared" si="5"/>
        <v>0.27399978476401698</v>
      </c>
      <c r="X25" s="10">
        <f t="shared" si="6"/>
        <v>-0.50551389827404591</v>
      </c>
      <c r="Y25" s="10">
        <f t="shared" si="7"/>
        <v>0.13834015298999414</v>
      </c>
      <c r="Z25" s="10">
        <f t="shared" si="8"/>
        <v>0.20833333333333334</v>
      </c>
      <c r="AA25" s="10">
        <f t="shared" si="13"/>
        <v>-8.3333333333333315E-3</v>
      </c>
      <c r="AB25" s="34">
        <v>13.84</v>
      </c>
      <c r="AC25" s="34">
        <v>8.9763779527559215</v>
      </c>
      <c r="AD25" s="10">
        <f t="shared" si="9"/>
        <v>3.5624717873929498E-2</v>
      </c>
    </row>
    <row r="26" spans="1:30" x14ac:dyDescent="0.2">
      <c r="A26" s="1">
        <v>42156</v>
      </c>
      <c r="B26" s="18">
        <v>8.6698665269582156E-2</v>
      </c>
      <c r="C26" s="19">
        <v>-0.13500000000000001</v>
      </c>
      <c r="D26" s="19">
        <v>0.08</v>
      </c>
      <c r="E26" s="19">
        <v>0.18000000000000002</v>
      </c>
      <c r="F26" s="19">
        <v>0.22916666666666666</v>
      </c>
      <c r="G26" s="19">
        <f t="shared" si="10"/>
        <v>0.11657000000000001</v>
      </c>
      <c r="H26" s="19">
        <v>-3.6542343023703516</v>
      </c>
      <c r="I26" s="19">
        <v>-1.8355747500308994</v>
      </c>
      <c r="J26" s="22">
        <v>2099.29</v>
      </c>
      <c r="K26" s="24">
        <f t="shared" si="14"/>
        <v>-5.9897534967849886E-3</v>
      </c>
      <c r="L26" s="22">
        <v>94.91</v>
      </c>
      <c r="M26" s="19">
        <f t="shared" si="0"/>
        <v>4.5210523557964837E-2</v>
      </c>
      <c r="N26" s="27">
        <v>1.0833333333333334E-2</v>
      </c>
      <c r="O26" s="11">
        <v>-3.3442885744124804</v>
      </c>
      <c r="P26" s="10">
        <f t="shared" si="1"/>
        <v>0.14916666666666667</v>
      </c>
      <c r="Q26" s="10">
        <f t="shared" si="2"/>
        <v>5.0833333333333383E-2</v>
      </c>
      <c r="R26" s="32">
        <v>3.805E-2</v>
      </c>
      <c r="S26" s="10">
        <f t="shared" si="3"/>
        <v>2.7216666666666667E-2</v>
      </c>
      <c r="T26" s="32">
        <f t="shared" si="4"/>
        <v>-6.6986652695821547E-3</v>
      </c>
      <c r="U26" s="10">
        <f t="shared" si="11"/>
        <v>5.833333333333357E-3</v>
      </c>
      <c r="V26" s="10">
        <f t="shared" si="12"/>
        <v>9.1666666666666979E-3</v>
      </c>
      <c r="W26" s="10">
        <f t="shared" si="5"/>
        <v>-3.7708043023703515</v>
      </c>
      <c r="X26" s="10">
        <f t="shared" si="6"/>
        <v>1.8186595523394522</v>
      </c>
      <c r="Y26" s="10">
        <f t="shared" si="7"/>
        <v>1.8295849965341144</v>
      </c>
      <c r="Z26" s="10">
        <f t="shared" si="8"/>
        <v>0.21500000000000002</v>
      </c>
      <c r="AA26" s="10">
        <f t="shared" si="13"/>
        <v>6.6666666666666818E-3</v>
      </c>
      <c r="AB26" s="34">
        <v>18.23</v>
      </c>
      <c r="AC26" s="34">
        <v>33.455344070278194</v>
      </c>
      <c r="AD26" s="10">
        <f t="shared" si="9"/>
        <v>3.4377190224631503E-2</v>
      </c>
    </row>
    <row r="27" spans="1:30" x14ac:dyDescent="0.2">
      <c r="A27" s="1">
        <v>42186</v>
      </c>
      <c r="B27" s="18">
        <v>8.7778972310733325E-2</v>
      </c>
      <c r="C27" s="19">
        <v>-0.11833333333333333</v>
      </c>
      <c r="D27" s="19">
        <v>7.9166666666666663E-2</v>
      </c>
      <c r="E27" s="19">
        <v>0.16749999999999998</v>
      </c>
      <c r="F27" s="19">
        <v>0.21583333333333332</v>
      </c>
      <c r="G27" s="19">
        <f t="shared" si="10"/>
        <v>0.11147016666666666</v>
      </c>
      <c r="H27" s="19">
        <v>2.5427262752982904</v>
      </c>
      <c r="I27" s="19">
        <v>0.19396133752374034</v>
      </c>
      <c r="J27" s="22">
        <v>2094.14</v>
      </c>
      <c r="K27" s="24">
        <f t="shared" si="14"/>
        <v>-2.4532103711255582E-3</v>
      </c>
      <c r="L27" s="22">
        <f>L26*2/3+L29/3</f>
        <v>93.493333333333339</v>
      </c>
      <c r="M27" s="19">
        <f t="shared" si="0"/>
        <v>4.4645216333833143E-2</v>
      </c>
      <c r="N27" s="27">
        <v>1.0833333333333334E-2</v>
      </c>
      <c r="O27" s="11">
        <v>1.9551601207275044</v>
      </c>
      <c r="P27" s="10">
        <f t="shared" si="1"/>
        <v>0.13666666666666666</v>
      </c>
      <c r="Q27" s="10">
        <f t="shared" si="2"/>
        <v>3.999999999999998E-2</v>
      </c>
      <c r="R27" s="32">
        <v>3.7908333333333301E-2</v>
      </c>
      <c r="S27" s="10">
        <f t="shared" si="3"/>
        <v>2.7074999999999967E-2</v>
      </c>
      <c r="T27" s="32">
        <f t="shared" si="4"/>
        <v>-8.6123056440666618E-3</v>
      </c>
      <c r="U27" s="10">
        <f t="shared" si="11"/>
        <v>-1.2500000000000011E-2</v>
      </c>
      <c r="V27" s="10">
        <f t="shared" si="12"/>
        <v>-1.0833333333333403E-2</v>
      </c>
      <c r="W27" s="10">
        <f t="shared" si="5"/>
        <v>2.4312561086316236</v>
      </c>
      <c r="X27" s="10">
        <f t="shared" si="6"/>
        <v>-2.3487649377745501</v>
      </c>
      <c r="Y27" s="10">
        <f t="shared" si="7"/>
        <v>-0.1964145478948659</v>
      </c>
      <c r="Z27" s="10">
        <f t="shared" si="8"/>
        <v>0.19750000000000001</v>
      </c>
      <c r="AA27" s="10">
        <f t="shared" si="13"/>
        <v>-1.7500000000000016E-2</v>
      </c>
      <c r="AB27" s="34">
        <v>12.12</v>
      </c>
      <c r="AC27" s="34">
        <v>-28.747795414462097</v>
      </c>
      <c r="AD27" s="10">
        <f t="shared" si="9"/>
        <v>3.3811883000499809E-2</v>
      </c>
    </row>
    <row r="28" spans="1:30" x14ac:dyDescent="0.2">
      <c r="A28" s="1">
        <v>42217</v>
      </c>
      <c r="B28" s="18">
        <v>8.0176108981575997E-2</v>
      </c>
      <c r="C28" s="19">
        <v>-0.10416666666666667</v>
      </c>
      <c r="D28" s="19">
        <v>7.4999999999999997E-2</v>
      </c>
      <c r="E28" s="19">
        <v>0.16416666666666666</v>
      </c>
      <c r="F28" s="19">
        <v>0.21666666666666667</v>
      </c>
      <c r="G28" s="19">
        <f t="shared" si="10"/>
        <v>0.10760824999999999</v>
      </c>
      <c r="H28" s="19">
        <v>-2.0562684973590928</v>
      </c>
      <c r="I28" s="19">
        <v>-1.5737927055170298</v>
      </c>
      <c r="J28" s="22">
        <v>2039.87</v>
      </c>
      <c r="K28" s="24">
        <f t="shared" si="14"/>
        <v>-2.5915172815571097E-2</v>
      </c>
      <c r="L28" s="22">
        <f>L26/3+L29*2/3</f>
        <v>92.076666666666668</v>
      </c>
      <c r="M28" s="19">
        <f t="shared" si="0"/>
        <v>4.5138497387905444E-2</v>
      </c>
      <c r="N28" s="27">
        <v>1.1666666666666667E-2</v>
      </c>
      <c r="O28" s="11">
        <v>-2.9682787226250409</v>
      </c>
      <c r="P28" s="10">
        <f t="shared" si="1"/>
        <v>0.14166666666666666</v>
      </c>
      <c r="Q28" s="10">
        <f t="shared" si="2"/>
        <v>3.6666666666666639E-2</v>
      </c>
      <c r="R28" s="32">
        <v>3.8249999999999999E-2</v>
      </c>
      <c r="S28" s="10">
        <f t="shared" si="3"/>
        <v>2.6583333333333334E-2</v>
      </c>
      <c r="T28" s="32">
        <f t="shared" si="4"/>
        <v>-5.1761089815759997E-3</v>
      </c>
      <c r="U28" s="10">
        <f t="shared" si="11"/>
        <v>5.0000000000000044E-3</v>
      </c>
      <c r="V28" s="10">
        <f t="shared" si="12"/>
        <v>-3.3333333333333409E-3</v>
      </c>
      <c r="W28" s="10">
        <f t="shared" si="5"/>
        <v>-2.163876747359093</v>
      </c>
      <c r="X28" s="10">
        <f t="shared" si="6"/>
        <v>0.48247579184206302</v>
      </c>
      <c r="Y28" s="10">
        <f t="shared" si="7"/>
        <v>1.5478775327014587</v>
      </c>
      <c r="Z28" s="10">
        <f t="shared" si="8"/>
        <v>0.17916666666666667</v>
      </c>
      <c r="AA28" s="10">
        <f t="shared" si="13"/>
        <v>-1.833333333333334E-2</v>
      </c>
      <c r="AB28" s="34">
        <v>28.43</v>
      </c>
      <c r="AC28" s="34">
        <v>118.69230769230769</v>
      </c>
      <c r="AD28" s="10">
        <f t="shared" si="9"/>
        <v>3.3471830721238778E-2</v>
      </c>
    </row>
    <row r="29" spans="1:30" x14ac:dyDescent="0.2">
      <c r="A29" s="1">
        <v>42248</v>
      </c>
      <c r="B29" s="18">
        <v>6.7917662215778898E-2</v>
      </c>
      <c r="C29" s="19">
        <v>-0.12166666666666666</v>
      </c>
      <c r="D29" s="19">
        <v>6.4166666666666664E-2</v>
      </c>
      <c r="E29" s="19">
        <v>0.14916666666666667</v>
      </c>
      <c r="F29" s="19">
        <v>0.20916666666666664</v>
      </c>
      <c r="G29" s="19">
        <f t="shared" si="10"/>
        <v>9.5251166666666665E-2</v>
      </c>
      <c r="H29" s="19">
        <v>0.59783704388381986</v>
      </c>
      <c r="I29" s="19">
        <v>-2.8866130758421926</v>
      </c>
      <c r="J29" s="22">
        <v>1944.41</v>
      </c>
      <c r="K29" s="24">
        <f t="shared" si="14"/>
        <v>-4.6797099815184207E-2</v>
      </c>
      <c r="L29" s="22">
        <v>90.66</v>
      </c>
      <c r="M29" s="19">
        <f t="shared" si="0"/>
        <v>4.6625968802875936E-2</v>
      </c>
      <c r="N29" s="27">
        <v>1.1666666666666667E-2</v>
      </c>
      <c r="O29" s="11">
        <v>-0.94912629185626851</v>
      </c>
      <c r="P29" s="10">
        <f t="shared" si="1"/>
        <v>0.14499999999999996</v>
      </c>
      <c r="Q29" s="10">
        <f t="shared" si="2"/>
        <v>2.5000000000000036E-2</v>
      </c>
      <c r="R29" s="32">
        <v>3.7866666666666701E-2</v>
      </c>
      <c r="S29" s="10">
        <f t="shared" si="3"/>
        <v>2.6200000000000036E-2</v>
      </c>
      <c r="T29" s="32">
        <f t="shared" si="4"/>
        <v>-3.7509955491122349E-3</v>
      </c>
      <c r="U29" s="10">
        <f t="shared" si="11"/>
        <v>3.3333333333332993E-3</v>
      </c>
      <c r="V29" s="10">
        <f t="shared" si="12"/>
        <v>-1.1666666666666603E-2</v>
      </c>
      <c r="W29" s="10">
        <f t="shared" si="5"/>
        <v>0.5025858772171532</v>
      </c>
      <c r="X29" s="10">
        <f t="shared" si="6"/>
        <v>-3.4844501197260125</v>
      </c>
      <c r="Y29" s="10">
        <f t="shared" si="7"/>
        <v>2.8398159760270083</v>
      </c>
      <c r="Z29" s="10">
        <f t="shared" si="8"/>
        <v>0.18583333333333332</v>
      </c>
      <c r="AA29" s="10">
        <f t="shared" si="13"/>
        <v>6.6666666666666541E-3</v>
      </c>
      <c r="AB29" s="34">
        <v>24.5</v>
      </c>
      <c r="AC29" s="34">
        <v>-6.0942889996167153</v>
      </c>
      <c r="AD29" s="10">
        <f t="shared" si="9"/>
        <v>3.4959302136209271E-2</v>
      </c>
    </row>
    <row r="30" spans="1:30" x14ac:dyDescent="0.2">
      <c r="A30" s="1">
        <v>42278</v>
      </c>
      <c r="B30" s="18">
        <v>7.2056751482370299E-2</v>
      </c>
      <c r="C30" s="19">
        <v>-0.11583333333333333</v>
      </c>
      <c r="D30" s="19">
        <v>7.0833333333333331E-2</v>
      </c>
      <c r="E30" s="19">
        <v>0.16250000000000001</v>
      </c>
      <c r="F30" s="19">
        <v>0.22083333333333333</v>
      </c>
      <c r="G30" s="19">
        <f t="shared" si="10"/>
        <v>0.10435583333333334</v>
      </c>
      <c r="H30" s="19">
        <v>0.11936853485828847</v>
      </c>
      <c r="I30" s="19">
        <v>3.4858030430408138</v>
      </c>
      <c r="J30" s="22">
        <v>2024.81</v>
      </c>
      <c r="K30" s="24">
        <f t="shared" si="14"/>
        <v>4.1349303901954793E-2</v>
      </c>
      <c r="L30" s="22">
        <f>L29*2/3+L32/3</f>
        <v>89.283333333333331</v>
      </c>
      <c r="M30" s="19">
        <f t="shared" si="0"/>
        <v>4.4094672257314678E-2</v>
      </c>
      <c r="N30" s="27">
        <v>0.01</v>
      </c>
      <c r="O30" s="11">
        <v>2.683391280512204</v>
      </c>
      <c r="P30" s="10">
        <f t="shared" si="1"/>
        <v>0.15</v>
      </c>
      <c r="Q30" s="10">
        <f t="shared" si="2"/>
        <v>3.3333333333333354E-2</v>
      </c>
      <c r="R30" s="32">
        <v>3.8516666666666699E-2</v>
      </c>
      <c r="S30" s="10">
        <f t="shared" si="3"/>
        <v>2.8516666666666697E-2</v>
      </c>
      <c r="T30" s="32">
        <f t="shared" si="4"/>
        <v>-1.2234181490369672E-3</v>
      </c>
      <c r="U30" s="10">
        <f t="shared" si="11"/>
        <v>5.0000000000000322E-3</v>
      </c>
      <c r="V30" s="10">
        <f t="shared" si="12"/>
        <v>8.3333333333333176E-3</v>
      </c>
      <c r="W30" s="10">
        <f t="shared" si="5"/>
        <v>1.5012701524955124E-2</v>
      </c>
      <c r="X30" s="10">
        <f t="shared" si="6"/>
        <v>3.3664345081825253</v>
      </c>
      <c r="Y30" s="10">
        <f t="shared" si="7"/>
        <v>-3.4444537391388588</v>
      </c>
      <c r="Z30" s="10">
        <f t="shared" si="8"/>
        <v>0.18666666666666665</v>
      </c>
      <c r="AA30" s="10">
        <f t="shared" si="13"/>
        <v>8.3333333333332482E-4</v>
      </c>
      <c r="AB30" s="34">
        <v>15.07</v>
      </c>
      <c r="AC30" s="34">
        <v>-22.8761514841351</v>
      </c>
      <c r="AD30" s="10">
        <f t="shared" si="9"/>
        <v>3.4094672257314676E-2</v>
      </c>
    </row>
    <row r="31" spans="1:30" x14ac:dyDescent="0.2">
      <c r="A31" s="1">
        <v>42309</v>
      </c>
      <c r="B31" s="18">
        <v>6.7605645950319579E-2</v>
      </c>
      <c r="C31" s="19">
        <v>-0.12166666666666666</v>
      </c>
      <c r="D31" s="19">
        <v>6.9166666666666668E-2</v>
      </c>
      <c r="E31" s="19">
        <v>0.15583333333333335</v>
      </c>
      <c r="F31" s="19">
        <v>0.21583333333333332</v>
      </c>
      <c r="G31" s="19">
        <f t="shared" si="10"/>
        <v>0.10086066666666668</v>
      </c>
      <c r="H31" s="19">
        <v>2.174291321625621</v>
      </c>
      <c r="I31" s="19">
        <v>-1.8790029362665939</v>
      </c>
      <c r="J31" s="22">
        <v>2080.62</v>
      </c>
      <c r="K31" s="24">
        <f t="shared" si="14"/>
        <v>2.7563079992690698E-2</v>
      </c>
      <c r="L31" s="22">
        <f>L29/3+L32*2/3</f>
        <v>87.906666666666666</v>
      </c>
      <c r="M31" s="19">
        <f t="shared" si="0"/>
        <v>4.2250226695247896E-2</v>
      </c>
      <c r="N31" s="27">
        <v>0.01</v>
      </c>
      <c r="O31" s="11">
        <v>1.084910181769061</v>
      </c>
      <c r="P31" s="10">
        <f t="shared" si="1"/>
        <v>0.14666666666666667</v>
      </c>
      <c r="Q31" s="10">
        <f t="shared" si="2"/>
        <v>2.6666666666666713E-2</v>
      </c>
      <c r="R31" s="32">
        <v>3.8633333333333297E-2</v>
      </c>
      <c r="S31" s="10">
        <f t="shared" si="3"/>
        <v>2.8633333333333295E-2</v>
      </c>
      <c r="T31" s="32">
        <f t="shared" si="4"/>
        <v>1.5610207163470891E-3</v>
      </c>
      <c r="U31" s="10">
        <f t="shared" si="11"/>
        <v>-3.333333333333327E-3</v>
      </c>
      <c r="V31" s="10">
        <f t="shared" si="12"/>
        <v>-6.6666666666666402E-3</v>
      </c>
      <c r="W31" s="10">
        <f t="shared" si="5"/>
        <v>2.0734306549589543</v>
      </c>
      <c r="X31" s="10">
        <f t="shared" si="6"/>
        <v>-4.0532942578922153</v>
      </c>
      <c r="Y31" s="10">
        <f t="shared" si="7"/>
        <v>1.9065660162592846</v>
      </c>
      <c r="Z31" s="10">
        <f t="shared" si="8"/>
        <v>0.19083333333333333</v>
      </c>
      <c r="AA31" s="10">
        <f t="shared" si="13"/>
        <v>4.1666666666666796E-3</v>
      </c>
      <c r="AB31" s="34">
        <v>16.13</v>
      </c>
      <c r="AC31" s="34">
        <v>13.992932862190809</v>
      </c>
      <c r="AD31" s="10">
        <f t="shared" si="9"/>
        <v>3.2250226695247894E-2</v>
      </c>
    </row>
    <row r="32" spans="1:30" x14ac:dyDescent="0.2">
      <c r="A32" s="1">
        <v>42339</v>
      </c>
      <c r="B32" s="18">
        <v>8.2403299769430463E-2</v>
      </c>
      <c r="C32" s="19">
        <v>-9.9999999999999992E-2</v>
      </c>
      <c r="D32" s="19">
        <v>7.9166666666666663E-2</v>
      </c>
      <c r="E32" s="19">
        <v>0.16749999999999998</v>
      </c>
      <c r="F32" s="19">
        <v>0.22583333333333333</v>
      </c>
      <c r="G32" s="19">
        <f t="shared" si="10"/>
        <v>0.11147016666666666</v>
      </c>
      <c r="H32" s="19">
        <v>-1.305032059013933</v>
      </c>
      <c r="I32" s="19">
        <v>-2.2541701966681482</v>
      </c>
      <c r="J32" s="22">
        <v>2054.08</v>
      </c>
      <c r="K32" s="24">
        <f t="shared" si="14"/>
        <v>-1.2755813171073993E-2</v>
      </c>
      <c r="L32" s="22">
        <v>86.53</v>
      </c>
      <c r="M32" s="19">
        <f t="shared" si="0"/>
        <v>4.2125915251596827E-2</v>
      </c>
      <c r="N32" s="27">
        <v>0.02</v>
      </c>
      <c r="O32" s="11">
        <v>-0.60205936122706527</v>
      </c>
      <c r="P32" s="10">
        <f t="shared" si="1"/>
        <v>0.14666666666666667</v>
      </c>
      <c r="Q32" s="10">
        <f t="shared" si="2"/>
        <v>2.9999999999999971E-2</v>
      </c>
      <c r="R32" s="32">
        <v>3.8124999999999999E-2</v>
      </c>
      <c r="S32" s="10">
        <f t="shared" si="3"/>
        <v>1.8124999999999999E-2</v>
      </c>
      <c r="T32" s="32">
        <f t="shared" si="4"/>
        <v>-3.2366331027638001E-3</v>
      </c>
      <c r="U32" s="10">
        <f t="shared" si="11"/>
        <v>0</v>
      </c>
      <c r="V32" s="10">
        <f t="shared" si="12"/>
        <v>3.3333333333332577E-3</v>
      </c>
      <c r="W32" s="10">
        <f t="shared" si="5"/>
        <v>-1.4165022256805997</v>
      </c>
      <c r="X32" s="10">
        <f t="shared" si="6"/>
        <v>-0.94913813765421517</v>
      </c>
      <c r="Y32" s="10">
        <f t="shared" si="7"/>
        <v>2.2414143834970743</v>
      </c>
      <c r="Z32" s="10">
        <f t="shared" si="8"/>
        <v>0.17916666666666664</v>
      </c>
      <c r="AA32" s="10">
        <f t="shared" si="13"/>
        <v>-1.1666666666666686E-2</v>
      </c>
      <c r="AB32" s="34">
        <v>18.21</v>
      </c>
      <c r="AC32" s="34">
        <v>0.55218111540586978</v>
      </c>
      <c r="AD32" s="10">
        <f t="shared" si="9"/>
        <v>2.2125915251596826E-2</v>
      </c>
    </row>
    <row r="33" spans="1:30" x14ac:dyDescent="0.2">
      <c r="A33" s="1">
        <v>42370</v>
      </c>
      <c r="B33" s="18">
        <v>4.7280346637833065E-2</v>
      </c>
      <c r="C33" s="19">
        <v>-0.13083333333333333</v>
      </c>
      <c r="D33" s="19">
        <v>4.6666666666666669E-2</v>
      </c>
      <c r="E33" s="19">
        <v>0.13666666666666666</v>
      </c>
      <c r="F33" s="19">
        <v>0.19916666666666669</v>
      </c>
      <c r="G33" s="19">
        <f t="shared" si="10"/>
        <v>7.9579666666666674E-2</v>
      </c>
      <c r="H33" s="19">
        <v>0.74773687375149223</v>
      </c>
      <c r="I33" s="19">
        <v>-1.6993920773898274</v>
      </c>
      <c r="J33" s="22">
        <v>1918.6</v>
      </c>
      <c r="K33" s="24">
        <f t="shared" si="14"/>
        <v>-6.5956535285870088E-2</v>
      </c>
      <c r="L33" s="22">
        <f>L32*2/3+L35/3</f>
        <v>86.5</v>
      </c>
      <c r="M33" s="19">
        <f t="shared" si="0"/>
        <v>4.508495778171584E-2</v>
      </c>
      <c r="N33" s="27">
        <v>2.8333333333333335E-2</v>
      </c>
      <c r="O33" s="11">
        <v>-1.3845334693391671</v>
      </c>
      <c r="P33" s="10">
        <f t="shared" si="1"/>
        <v>0.15250000000000002</v>
      </c>
      <c r="Q33" s="10">
        <f t="shared" si="2"/>
        <v>2.7499999999999962E-2</v>
      </c>
      <c r="R33" s="32">
        <v>3.8824999999999998E-2</v>
      </c>
      <c r="S33" s="10">
        <f t="shared" si="3"/>
        <v>1.0491666666666663E-2</v>
      </c>
      <c r="T33" s="32">
        <f t="shared" si="4"/>
        <v>-6.1367997116639622E-4</v>
      </c>
      <c r="U33" s="10">
        <f t="shared" si="11"/>
        <v>5.833333333333357E-3</v>
      </c>
      <c r="V33" s="10">
        <f t="shared" si="12"/>
        <v>-2.5000000000000092E-3</v>
      </c>
      <c r="W33" s="10">
        <f t="shared" si="5"/>
        <v>0.66815720708482551</v>
      </c>
      <c r="X33" s="10">
        <f t="shared" si="6"/>
        <v>-2.4471289511413197</v>
      </c>
      <c r="Y33" s="10">
        <f t="shared" si="7"/>
        <v>1.6334355421039572</v>
      </c>
      <c r="Z33" s="10">
        <f t="shared" si="8"/>
        <v>0.17749999999999999</v>
      </c>
      <c r="AA33" s="10">
        <f t="shared" si="13"/>
        <v>-1.6666666666666496E-3</v>
      </c>
      <c r="AB33" s="34">
        <v>20.2</v>
      </c>
      <c r="AC33" s="34">
        <v>10.928061504667763</v>
      </c>
      <c r="AD33" s="10">
        <f t="shared" si="9"/>
        <v>1.6751624448382504E-2</v>
      </c>
    </row>
    <row r="34" spans="1:30" x14ac:dyDescent="0.2">
      <c r="A34" s="1">
        <v>42401</v>
      </c>
      <c r="B34" s="18">
        <v>2.9527290380968425E-2</v>
      </c>
      <c r="C34" s="19">
        <v>-0.12083333333333333</v>
      </c>
      <c r="D34" s="19">
        <v>3.1666666666666669E-2</v>
      </c>
      <c r="E34" s="19">
        <v>0.11749999999999999</v>
      </c>
      <c r="F34" s="19">
        <v>0.1925</v>
      </c>
      <c r="G34" s="19">
        <f t="shared" si="10"/>
        <v>6.305591666666667E-2</v>
      </c>
      <c r="H34" s="19">
        <v>-0.74469809119246388</v>
      </c>
      <c r="I34" s="19">
        <v>0.79501458547820381</v>
      </c>
      <c r="J34" s="22">
        <v>1904.42</v>
      </c>
      <c r="K34" s="24">
        <f t="shared" si="14"/>
        <v>-7.3908057958927964E-3</v>
      </c>
      <c r="L34" s="22">
        <f>L32/3+L35*2/3</f>
        <v>86.47</v>
      </c>
      <c r="M34" s="19">
        <f t="shared" ref="M34:M65" si="15">L34/J34</f>
        <v>4.5404900179582236E-2</v>
      </c>
      <c r="N34" s="27">
        <v>3.1666666666666669E-2</v>
      </c>
      <c r="O34" s="11">
        <v>0.51269214936388086</v>
      </c>
      <c r="P34" s="10">
        <f t="shared" ref="P34:P65" si="16">F34-D34</f>
        <v>0.16083333333333333</v>
      </c>
      <c r="Q34" s="10">
        <f t="shared" ref="Q34:Q65" si="17">2*E34-F34-D34</f>
        <v>1.0833333333333313E-2</v>
      </c>
      <c r="R34" s="32">
        <v>3.8808333333333299E-2</v>
      </c>
      <c r="S34" s="10">
        <f t="shared" ref="S34:S65" si="18">R34-N34</f>
        <v>7.1416666666666295E-3</v>
      </c>
      <c r="T34" s="32">
        <f t="shared" ref="T34:T65" si="19">D34-B34</f>
        <v>2.1393762856982447E-3</v>
      </c>
      <c r="U34" s="10">
        <f t="shared" si="11"/>
        <v>8.3333333333333037E-3</v>
      </c>
      <c r="V34" s="10">
        <f t="shared" si="12"/>
        <v>-1.6666666666666649E-2</v>
      </c>
      <c r="W34" s="10">
        <f t="shared" ref="W34:W65" si="20">H34-G34</f>
        <v>-0.80775400785913054</v>
      </c>
      <c r="X34" s="10">
        <f t="shared" ref="X34:X65" si="21">I34-H34</f>
        <v>1.5397126766706677</v>
      </c>
      <c r="Y34" s="10">
        <f t="shared" ref="Y34:Y65" si="22">K34-I34</f>
        <v>-0.8024053912740966</v>
      </c>
      <c r="Z34" s="10">
        <f t="shared" ref="Z34:Z65" si="23">D34-C34</f>
        <v>0.1525</v>
      </c>
      <c r="AA34" s="10">
        <f t="shared" si="13"/>
        <v>-2.4999999999999994E-2</v>
      </c>
      <c r="AB34" s="34">
        <v>20.55</v>
      </c>
      <c r="AC34" s="34">
        <v>2.8528528528528607</v>
      </c>
      <c r="AD34" s="10">
        <f t="shared" ref="AD34:AD65" si="24">M34-N34</f>
        <v>1.3738233512915567E-2</v>
      </c>
    </row>
    <row r="35" spans="1:30" x14ac:dyDescent="0.2">
      <c r="A35" s="1">
        <v>42430</v>
      </c>
      <c r="B35" s="18">
        <v>3.9134294963795578E-2</v>
      </c>
      <c r="C35" s="19">
        <v>-0.15083333333333335</v>
      </c>
      <c r="D35" s="19">
        <v>0.04</v>
      </c>
      <c r="E35" s="19">
        <v>0.125</v>
      </c>
      <c r="F35" s="19">
        <v>0.19333333333333333</v>
      </c>
      <c r="G35" s="19">
        <f t="shared" si="10"/>
        <v>7.1084499999999995E-2</v>
      </c>
      <c r="H35" s="19">
        <v>3.6665012685518694</v>
      </c>
      <c r="I35" s="19">
        <v>3.6887940172112277</v>
      </c>
      <c r="J35" s="22">
        <v>2021.95</v>
      </c>
      <c r="K35" s="24">
        <f t="shared" si="14"/>
        <v>6.1714327721825946E-2</v>
      </c>
      <c r="L35" s="22">
        <v>86.44</v>
      </c>
      <c r="M35" s="19">
        <f t="shared" si="15"/>
        <v>4.2750809861767103E-2</v>
      </c>
      <c r="N35" s="27">
        <v>0.03</v>
      </c>
      <c r="O35" s="11">
        <v>2.1127325139720563</v>
      </c>
      <c r="P35" s="10">
        <f t="shared" si="16"/>
        <v>0.15333333333333332</v>
      </c>
      <c r="Q35" s="10">
        <f t="shared" si="17"/>
        <v>1.666666666666667E-2</v>
      </c>
      <c r="R35" s="32">
        <v>3.8716666666666698E-2</v>
      </c>
      <c r="S35" s="10">
        <f t="shared" si="18"/>
        <v>8.7166666666666989E-3</v>
      </c>
      <c r="T35" s="32">
        <f t="shared" si="19"/>
        <v>8.6570503620442274E-4</v>
      </c>
      <c r="U35" s="10">
        <f t="shared" ref="U35:U66" si="25">P35-P34</f>
        <v>-7.5000000000000067E-3</v>
      </c>
      <c r="V35" s="10">
        <f t="shared" ref="V35:V66" si="26">Q35-Q34</f>
        <v>5.833333333333357E-3</v>
      </c>
      <c r="W35" s="10">
        <f t="shared" si="20"/>
        <v>3.5954167685518694</v>
      </c>
      <c r="X35" s="10">
        <f t="shared" si="21"/>
        <v>2.2292748659358264E-2</v>
      </c>
      <c r="Y35" s="10">
        <f t="shared" si="22"/>
        <v>-3.6270796894894017</v>
      </c>
      <c r="Z35" s="10">
        <f t="shared" si="23"/>
        <v>0.19083333333333335</v>
      </c>
      <c r="AA35" s="10">
        <f t="shared" ref="AA35:AA66" si="27">Z35-Z34</f>
        <v>3.8333333333333358E-2</v>
      </c>
      <c r="AB35" s="34">
        <v>13.95</v>
      </c>
      <c r="AC35" s="34">
        <v>-16.467065868263475</v>
      </c>
      <c r="AD35" s="10">
        <f t="shared" si="24"/>
        <v>1.2750809861767104E-2</v>
      </c>
    </row>
    <row r="36" spans="1:30" x14ac:dyDescent="0.2">
      <c r="A36" s="1">
        <v>42461</v>
      </c>
      <c r="B36" s="18">
        <v>4.9262316766870075E-2</v>
      </c>
      <c r="C36" s="19">
        <v>-0.14583333333333334</v>
      </c>
      <c r="D36" s="19">
        <v>5.0833333333333335E-2</v>
      </c>
      <c r="E36" s="19">
        <v>0.14083333333333334</v>
      </c>
      <c r="F36" s="19">
        <v>0.20416666666666669</v>
      </c>
      <c r="G36" s="19">
        <f t="shared" si="10"/>
        <v>8.3746333333333339E-2</v>
      </c>
      <c r="H36" s="19">
        <v>0.99565047548179075</v>
      </c>
      <c r="I36" s="19">
        <v>2.3541003738795974</v>
      </c>
      <c r="J36" s="22">
        <v>2075.54</v>
      </c>
      <c r="K36" s="24">
        <f t="shared" si="14"/>
        <v>2.6504117312495357E-2</v>
      </c>
      <c r="L36" s="22">
        <f>L35*2/3+L38/3</f>
        <v>86.6</v>
      </c>
      <c r="M36" s="19">
        <f t="shared" si="15"/>
        <v>4.1724081443865212E-2</v>
      </c>
      <c r="N36" s="27">
        <v>3.0833333333333334E-2</v>
      </c>
      <c r="O36" s="11">
        <v>0.44664249623499269</v>
      </c>
      <c r="P36" s="10">
        <f t="shared" si="16"/>
        <v>0.15333333333333335</v>
      </c>
      <c r="Q36" s="10">
        <f t="shared" si="17"/>
        <v>2.6666666666666651E-2</v>
      </c>
      <c r="R36" s="32">
        <v>3.88583333333333E-2</v>
      </c>
      <c r="S36" s="10">
        <f t="shared" si="18"/>
        <v>8.0249999999999662E-3</v>
      </c>
      <c r="T36" s="32">
        <f t="shared" si="19"/>
        <v>1.5710165664632597E-3</v>
      </c>
      <c r="U36" s="10">
        <f t="shared" si="25"/>
        <v>0</v>
      </c>
      <c r="V36" s="10">
        <f t="shared" si="26"/>
        <v>9.9999999999999811E-3</v>
      </c>
      <c r="W36" s="10">
        <f t="shared" si="20"/>
        <v>0.91190414214845739</v>
      </c>
      <c r="X36" s="10">
        <f t="shared" si="21"/>
        <v>1.3584498983978066</v>
      </c>
      <c r="Y36" s="10">
        <f t="shared" si="22"/>
        <v>-2.327596256567102</v>
      </c>
      <c r="Z36" s="10">
        <f t="shared" si="23"/>
        <v>0.19666666666666668</v>
      </c>
      <c r="AA36" s="10">
        <f t="shared" si="27"/>
        <v>5.8333333333333293E-3</v>
      </c>
      <c r="AB36" s="34">
        <v>15.7</v>
      </c>
      <c r="AC36" s="34">
        <v>11.189801699716707</v>
      </c>
      <c r="AD36" s="10">
        <f t="shared" si="24"/>
        <v>1.0890748110531877E-2</v>
      </c>
    </row>
    <row r="37" spans="1:30" x14ac:dyDescent="0.2">
      <c r="A37" s="1">
        <v>42491</v>
      </c>
      <c r="B37" s="18">
        <v>4.8811821417151013E-2</v>
      </c>
      <c r="C37" s="19">
        <v>-0.14166666666666666</v>
      </c>
      <c r="D37" s="19">
        <v>4.6666666666666669E-2</v>
      </c>
      <c r="E37" s="19">
        <v>0.12916666666666668</v>
      </c>
      <c r="F37" s="19">
        <v>0.18999999999999997</v>
      </c>
      <c r="G37" s="19">
        <f t="shared" si="10"/>
        <v>7.6836916666666671E-2</v>
      </c>
      <c r="H37" s="19">
        <v>0.93152499791470111</v>
      </c>
      <c r="I37" s="19">
        <v>0.32928548796022916</v>
      </c>
      <c r="J37" s="22">
        <v>2065.5500000000002</v>
      </c>
      <c r="K37" s="24">
        <f t="shared" si="14"/>
        <v>-4.8132052381547608E-3</v>
      </c>
      <c r="L37" s="22">
        <f>L35/3+L38*2/3</f>
        <v>86.759999999999991</v>
      </c>
      <c r="M37" s="19">
        <f t="shared" si="15"/>
        <v>4.2003340514632899E-2</v>
      </c>
      <c r="N37" s="27">
        <v>3.0833333333333334E-2</v>
      </c>
      <c r="O37" s="11">
        <v>0.80909571022157933</v>
      </c>
      <c r="P37" s="10">
        <f t="shared" si="16"/>
        <v>0.14333333333333331</v>
      </c>
      <c r="Q37" s="10">
        <f t="shared" si="17"/>
        <v>2.1666666666666716E-2</v>
      </c>
      <c r="R37" s="32">
        <v>3.86083333333333E-2</v>
      </c>
      <c r="S37" s="10">
        <f t="shared" si="18"/>
        <v>7.774999999999966E-3</v>
      </c>
      <c r="T37" s="32">
        <f t="shared" si="19"/>
        <v>-2.1451547504843446E-3</v>
      </c>
      <c r="U37" s="10">
        <f t="shared" si="25"/>
        <v>-1.0000000000000037E-2</v>
      </c>
      <c r="V37" s="10">
        <f t="shared" si="26"/>
        <v>-4.9999999999999351E-3</v>
      </c>
      <c r="W37" s="10">
        <f t="shared" si="20"/>
        <v>0.85468808124803441</v>
      </c>
      <c r="X37" s="10">
        <f t="shared" si="21"/>
        <v>-0.60223950995447195</v>
      </c>
      <c r="Y37" s="10">
        <f t="shared" si="22"/>
        <v>-0.33409869319838392</v>
      </c>
      <c r="Z37" s="10">
        <f t="shared" si="23"/>
        <v>0.18833333333333332</v>
      </c>
      <c r="AA37" s="10">
        <f t="shared" si="27"/>
        <v>-8.3333333333333592E-3</v>
      </c>
      <c r="AB37" s="34">
        <v>14.19</v>
      </c>
      <c r="AC37" s="34">
        <v>-9.0384615384615401</v>
      </c>
      <c r="AD37" s="10">
        <f t="shared" si="24"/>
        <v>1.1170007181299565E-2</v>
      </c>
    </row>
    <row r="38" spans="1:30" x14ac:dyDescent="0.2">
      <c r="A38" s="1">
        <v>42522</v>
      </c>
      <c r="B38" s="18">
        <v>8.9930273123214506E-3</v>
      </c>
      <c r="C38" s="19">
        <v>-0.19333333333333333</v>
      </c>
      <c r="D38" s="19">
        <v>1.2499999999999999E-2</v>
      </c>
      <c r="E38" s="19">
        <v>8.5833333333333331E-2</v>
      </c>
      <c r="F38" s="19">
        <v>0.14916666666666667</v>
      </c>
      <c r="G38" s="19">
        <f t="shared" si="10"/>
        <v>3.9317999999999999E-2</v>
      </c>
      <c r="H38" s="19">
        <v>3.6057950305249831</v>
      </c>
      <c r="I38" s="19">
        <v>0.76956631529654373</v>
      </c>
      <c r="J38" s="22">
        <v>2083.89</v>
      </c>
      <c r="K38" s="24">
        <f t="shared" si="14"/>
        <v>8.8789910677542494E-3</v>
      </c>
      <c r="L38" s="22">
        <v>86.92</v>
      </c>
      <c r="M38" s="19">
        <f t="shared" si="15"/>
        <v>4.1710454966432969E-2</v>
      </c>
      <c r="N38" s="27">
        <v>3.1666666666666669E-2</v>
      </c>
      <c r="O38" s="11">
        <v>3.3950819422879635</v>
      </c>
      <c r="P38" s="10">
        <f t="shared" si="16"/>
        <v>0.13666666666666666</v>
      </c>
      <c r="Q38" s="10">
        <f t="shared" si="17"/>
        <v>9.9999999999999933E-3</v>
      </c>
      <c r="R38" s="32">
        <v>3.83166666666667E-2</v>
      </c>
      <c r="S38" s="10">
        <f t="shared" si="18"/>
        <v>6.6500000000000309E-3</v>
      </c>
      <c r="T38" s="32">
        <f t="shared" si="19"/>
        <v>3.5069726876785483E-3</v>
      </c>
      <c r="U38" s="10">
        <f t="shared" si="25"/>
        <v>-6.6666666666666541E-3</v>
      </c>
      <c r="V38" s="10">
        <f t="shared" si="26"/>
        <v>-1.1666666666666723E-2</v>
      </c>
      <c r="W38" s="10">
        <f t="shared" si="20"/>
        <v>3.5664770305249829</v>
      </c>
      <c r="X38" s="10">
        <f t="shared" si="21"/>
        <v>-2.8362287152284393</v>
      </c>
      <c r="Y38" s="10">
        <f t="shared" si="22"/>
        <v>-0.76068732422878949</v>
      </c>
      <c r="Z38" s="10">
        <f t="shared" si="23"/>
        <v>0.20583333333333334</v>
      </c>
      <c r="AA38" s="10">
        <f t="shared" si="27"/>
        <v>1.7500000000000016E-2</v>
      </c>
      <c r="AB38" s="34">
        <v>15.63</v>
      </c>
      <c r="AC38" s="34">
        <v>16.035634743875281</v>
      </c>
      <c r="AD38" s="10">
        <f t="shared" si="24"/>
        <v>1.00437882997663E-2</v>
      </c>
    </row>
    <row r="39" spans="1:30" x14ac:dyDescent="0.2">
      <c r="A39" s="1">
        <v>42552</v>
      </c>
      <c r="B39" s="18">
        <v>1.078112582657275E-2</v>
      </c>
      <c r="C39" s="19">
        <v>-0.21</v>
      </c>
      <c r="D39" s="19">
        <v>7.4999999999999997E-3</v>
      </c>
      <c r="E39" s="19">
        <v>6.6666666666666666E-2</v>
      </c>
      <c r="F39" s="19">
        <v>0.13083333333333333</v>
      </c>
      <c r="G39" s="19">
        <f t="shared" si="10"/>
        <v>2.9137250000000003E-2</v>
      </c>
      <c r="H39" s="19">
        <v>5.0756542183722937</v>
      </c>
      <c r="I39" s="19">
        <v>2.3978114643991799</v>
      </c>
      <c r="J39" s="22">
        <v>2148.9</v>
      </c>
      <c r="K39" s="24">
        <f t="shared" si="14"/>
        <v>3.119646430473777E-2</v>
      </c>
      <c r="L39" s="22">
        <f>L38*2/3+L41/3</f>
        <v>87.643333333333331</v>
      </c>
      <c r="M39" s="19">
        <f t="shared" si="15"/>
        <v>4.0785207935843143E-2</v>
      </c>
      <c r="N39" s="27">
        <v>3.2500000000000001E-2</v>
      </c>
      <c r="O39" s="11">
        <v>3.1095108983661892</v>
      </c>
      <c r="P39" s="10">
        <f t="shared" si="16"/>
        <v>0.12333333333333332</v>
      </c>
      <c r="Q39" s="10">
        <f t="shared" si="17"/>
        <v>-4.9999999999999975E-3</v>
      </c>
      <c r="R39" s="32">
        <v>3.8141666666666699E-2</v>
      </c>
      <c r="S39" s="10">
        <f t="shared" si="18"/>
        <v>5.6416666666666976E-3</v>
      </c>
      <c r="T39" s="32">
        <f t="shared" si="19"/>
        <v>-3.2811258265727505E-3</v>
      </c>
      <c r="U39" s="10">
        <f t="shared" si="25"/>
        <v>-1.3333333333333336E-2</v>
      </c>
      <c r="V39" s="10">
        <f t="shared" si="26"/>
        <v>-1.4999999999999991E-2</v>
      </c>
      <c r="W39" s="10">
        <f t="shared" si="20"/>
        <v>5.0465169683722939</v>
      </c>
      <c r="X39" s="10">
        <f t="shared" si="21"/>
        <v>-2.6778427539731138</v>
      </c>
      <c r="Y39" s="10">
        <f t="shared" si="22"/>
        <v>-2.3666150000944421</v>
      </c>
      <c r="Z39" s="10">
        <f t="shared" si="23"/>
        <v>0.2175</v>
      </c>
      <c r="AA39" s="10">
        <f t="shared" si="27"/>
        <v>1.1666666666666659E-2</v>
      </c>
      <c r="AB39" s="34">
        <v>11.87</v>
      </c>
      <c r="AC39" s="34">
        <v>-19.634394041976989</v>
      </c>
      <c r="AD39" s="10">
        <f t="shared" si="24"/>
        <v>8.2852079358431419E-3</v>
      </c>
    </row>
    <row r="40" spans="1:30" x14ac:dyDescent="0.2">
      <c r="A40" s="1">
        <v>42583</v>
      </c>
      <c r="B40" s="18">
        <v>9.0552494918549279E-3</v>
      </c>
      <c r="C40" s="19">
        <v>-0.22583333333333333</v>
      </c>
      <c r="D40" s="19">
        <v>8.3333333333333332E-3</v>
      </c>
      <c r="E40" s="19">
        <v>5.5E-2</v>
      </c>
      <c r="F40" s="19">
        <v>0.10666666666666667</v>
      </c>
      <c r="G40" s="19">
        <f t="shared" si="10"/>
        <v>2.5399333333333336E-2</v>
      </c>
      <c r="H40" s="19">
        <v>3.4464466179817692</v>
      </c>
      <c r="I40" s="19">
        <v>2.0430672328676236</v>
      </c>
      <c r="J40" s="22">
        <v>2170.9499999999998</v>
      </c>
      <c r="K40" s="24">
        <f t="shared" si="14"/>
        <v>1.0261063800083736E-2</v>
      </c>
      <c r="L40" s="22">
        <f>L38/3+L41*2/3</f>
        <v>88.366666666666674</v>
      </c>
      <c r="M40" s="19">
        <f t="shared" si="15"/>
        <v>4.0704146418234728E-2</v>
      </c>
      <c r="N40" s="27">
        <v>3.3333333333333333E-2</v>
      </c>
      <c r="O40" s="11">
        <v>1.5752476292840976</v>
      </c>
      <c r="P40" s="10">
        <f t="shared" si="16"/>
        <v>9.8333333333333342E-2</v>
      </c>
      <c r="Q40" s="10">
        <f t="shared" si="17"/>
        <v>-5.0000000000000062E-3</v>
      </c>
      <c r="R40" s="32">
        <v>2.0650000000000002E-2</v>
      </c>
      <c r="S40" s="10">
        <f t="shared" si="18"/>
        <v>-1.2683333333333331E-2</v>
      </c>
      <c r="T40" s="32">
        <f t="shared" si="19"/>
        <v>-7.2191615852159469E-4</v>
      </c>
      <c r="U40" s="10">
        <f t="shared" si="25"/>
        <v>-2.4999999999999981E-2</v>
      </c>
      <c r="V40" s="10">
        <f t="shared" si="26"/>
        <v>-8.6736173798840355E-18</v>
      </c>
      <c r="W40" s="10">
        <f t="shared" si="20"/>
        <v>3.4210472846484357</v>
      </c>
      <c r="X40" s="10">
        <f t="shared" si="21"/>
        <v>-1.4033793851141456</v>
      </c>
      <c r="Y40" s="10">
        <f t="shared" si="22"/>
        <v>-2.0328061690675399</v>
      </c>
      <c r="Z40" s="10">
        <f t="shared" si="23"/>
        <v>0.23416666666666666</v>
      </c>
      <c r="AA40" s="10">
        <f t="shared" si="27"/>
        <v>1.6666666666666663E-2</v>
      </c>
      <c r="AB40" s="34">
        <v>13.42</v>
      </c>
      <c r="AC40" s="34">
        <v>8.0515297906602168</v>
      </c>
      <c r="AD40" s="10">
        <f t="shared" si="24"/>
        <v>7.3708130849013953E-3</v>
      </c>
    </row>
    <row r="41" spans="1:30" x14ac:dyDescent="0.2">
      <c r="A41" s="1">
        <v>42614</v>
      </c>
      <c r="B41" s="18">
        <v>9.9645637589817777E-3</v>
      </c>
      <c r="C41" s="19">
        <v>-0.21916666666666665</v>
      </c>
      <c r="D41" s="19">
        <v>8.3333333333333332E-3</v>
      </c>
      <c r="E41" s="19">
        <v>6.6666666666666666E-2</v>
      </c>
      <c r="F41" s="19">
        <v>0.12666666666666668</v>
      </c>
      <c r="G41" s="19">
        <f t="shared" si="10"/>
        <v>2.9665833333333336E-2</v>
      </c>
      <c r="H41" s="19">
        <v>-1.8753547763338485</v>
      </c>
      <c r="I41" s="19">
        <v>-5.605119265805758E-3</v>
      </c>
      <c r="J41" s="22">
        <v>2157.69</v>
      </c>
      <c r="K41" s="24">
        <f t="shared" si="14"/>
        <v>-6.1079251019138248E-3</v>
      </c>
      <c r="L41" s="22">
        <v>89.09</v>
      </c>
      <c r="M41" s="19">
        <f t="shared" si="15"/>
        <v>4.1289527225875824E-2</v>
      </c>
      <c r="N41" s="27">
        <v>3.3333333333333333E-2</v>
      </c>
      <c r="O41" s="11">
        <v>0.3941440510082177</v>
      </c>
      <c r="P41" s="10">
        <f t="shared" si="16"/>
        <v>0.11833333333333335</v>
      </c>
      <c r="Q41" s="10">
        <f t="shared" si="17"/>
        <v>-1.6666666666666791E-3</v>
      </c>
      <c r="R41" s="32">
        <v>1.7749999999999998E-2</v>
      </c>
      <c r="S41" s="10">
        <f t="shared" si="18"/>
        <v>-1.5583333333333334E-2</v>
      </c>
      <c r="T41" s="32">
        <f t="shared" si="19"/>
        <v>-1.6312304256484444E-3</v>
      </c>
      <c r="U41" s="10">
        <f t="shared" si="25"/>
        <v>2.0000000000000004E-2</v>
      </c>
      <c r="V41" s="10">
        <f t="shared" si="26"/>
        <v>3.333333333333327E-3</v>
      </c>
      <c r="W41" s="10">
        <f t="shared" si="20"/>
        <v>-1.9050206096671818</v>
      </c>
      <c r="X41" s="10">
        <f t="shared" si="21"/>
        <v>1.8697496570680427</v>
      </c>
      <c r="Y41" s="10">
        <f t="shared" si="22"/>
        <v>-5.0280583610806673E-4</v>
      </c>
      <c r="Z41" s="10">
        <f t="shared" si="23"/>
        <v>0.22749999999999998</v>
      </c>
      <c r="AA41" s="10">
        <f t="shared" si="27"/>
        <v>-6.6666666666666818E-3</v>
      </c>
      <c r="AB41" s="34">
        <v>13.29</v>
      </c>
      <c r="AC41" s="34">
        <v>10.934891485809661</v>
      </c>
      <c r="AD41" s="10">
        <f t="shared" si="24"/>
        <v>7.9561938925424916E-3</v>
      </c>
    </row>
    <row r="42" spans="1:30" x14ac:dyDescent="0.2">
      <c r="A42" s="1">
        <v>42644</v>
      </c>
      <c r="B42" s="18">
        <v>2.6145556849478526E-2</v>
      </c>
      <c r="C42" s="19">
        <v>-0.23916666666666667</v>
      </c>
      <c r="D42" s="19">
        <v>2.9166666666666664E-2</v>
      </c>
      <c r="E42" s="19">
        <v>0.1075</v>
      </c>
      <c r="F42" s="19">
        <v>0.16</v>
      </c>
      <c r="G42" s="19">
        <f t="shared" si="10"/>
        <v>5.7813166666666665E-2</v>
      </c>
      <c r="H42" s="19">
        <v>-4.3978395292544219</v>
      </c>
      <c r="I42" s="19">
        <v>0.27825478371026335</v>
      </c>
      <c r="J42" s="22">
        <v>2143.02</v>
      </c>
      <c r="K42" s="24">
        <f t="shared" si="14"/>
        <v>-6.7989377528746564E-3</v>
      </c>
      <c r="L42" s="22">
        <f>L41*2/3+L44/3</f>
        <v>90.91</v>
      </c>
      <c r="M42" s="19">
        <f t="shared" si="15"/>
        <v>4.2421442637026255E-2</v>
      </c>
      <c r="N42" s="27">
        <v>3.3333333333333333E-2</v>
      </c>
      <c r="O42" s="11">
        <v>0.29248739326307094</v>
      </c>
      <c r="P42" s="10">
        <f t="shared" si="16"/>
        <v>0.13083333333333333</v>
      </c>
      <c r="Q42" s="10">
        <f t="shared" si="17"/>
        <v>2.583333333333333E-2</v>
      </c>
      <c r="R42" s="32">
        <v>1.7666666666666699E-2</v>
      </c>
      <c r="S42" s="10">
        <f t="shared" si="18"/>
        <v>-1.5666666666666634E-2</v>
      </c>
      <c r="T42" s="32">
        <f t="shared" si="19"/>
        <v>3.0211098171881376E-3</v>
      </c>
      <c r="U42" s="10">
        <f t="shared" si="25"/>
        <v>1.2499999999999983E-2</v>
      </c>
      <c r="V42" s="10">
        <f t="shared" si="26"/>
        <v>2.7500000000000011E-2</v>
      </c>
      <c r="W42" s="10">
        <f t="shared" si="20"/>
        <v>-4.4556526959210885</v>
      </c>
      <c r="X42" s="10">
        <f t="shared" si="21"/>
        <v>4.6760943129646853</v>
      </c>
      <c r="Y42" s="10">
        <f t="shared" si="22"/>
        <v>-0.28505372146313801</v>
      </c>
      <c r="Z42" s="10">
        <f t="shared" si="23"/>
        <v>0.26833333333333331</v>
      </c>
      <c r="AA42" s="10">
        <f t="shared" si="27"/>
        <v>4.0833333333333333E-2</v>
      </c>
      <c r="AB42" s="34">
        <v>17.059999999999999</v>
      </c>
      <c r="AC42" s="34">
        <v>25.165077035950102</v>
      </c>
      <c r="AD42" s="10">
        <f t="shared" si="24"/>
        <v>9.088109303692922E-3</v>
      </c>
    </row>
    <row r="43" spans="1:30" x14ac:dyDescent="0.2">
      <c r="A43" s="1">
        <v>42675</v>
      </c>
      <c r="B43" s="18">
        <v>3.2781742510360777E-2</v>
      </c>
      <c r="C43" s="19">
        <v>-0.23083333333333333</v>
      </c>
      <c r="D43" s="19">
        <v>2.4166666666666666E-2</v>
      </c>
      <c r="E43" s="19">
        <v>0.12333333333333334</v>
      </c>
      <c r="F43" s="19">
        <v>0.17500000000000002</v>
      </c>
      <c r="G43" s="19">
        <f t="shared" si="10"/>
        <v>6.0431916666666669E-2</v>
      </c>
      <c r="H43" s="19">
        <v>-1.5995747888767564</v>
      </c>
      <c r="I43" s="19">
        <v>-0.71222048889074685</v>
      </c>
      <c r="J43" s="22">
        <v>2164.9899999999998</v>
      </c>
      <c r="K43" s="24">
        <f t="shared" si="14"/>
        <v>1.0251887523214709E-2</v>
      </c>
      <c r="L43" s="22">
        <f>L41/3+L44*2/3</f>
        <v>92.73</v>
      </c>
      <c r="M43" s="19">
        <f t="shared" si="15"/>
        <v>4.2831606612501683E-2</v>
      </c>
      <c r="N43" s="27">
        <v>3.4166666666666665E-2</v>
      </c>
      <c r="O43" s="11">
        <v>-0.93339874585644023</v>
      </c>
      <c r="P43" s="10">
        <f t="shared" si="16"/>
        <v>0.15083333333333335</v>
      </c>
      <c r="Q43" s="10">
        <f t="shared" si="17"/>
        <v>4.7499999999999987E-2</v>
      </c>
      <c r="R43" s="32">
        <v>1.7566666666666699E-2</v>
      </c>
      <c r="S43" s="10">
        <f t="shared" si="18"/>
        <v>-1.6599999999999965E-2</v>
      </c>
      <c r="T43" s="32">
        <f t="shared" si="19"/>
        <v>-8.6150758436941109E-3</v>
      </c>
      <c r="U43" s="10">
        <f t="shared" si="25"/>
        <v>2.0000000000000018E-2</v>
      </c>
      <c r="V43" s="10">
        <f t="shared" si="26"/>
        <v>2.1666666666666657E-2</v>
      </c>
      <c r="W43" s="10">
        <f t="shared" si="20"/>
        <v>-1.6600067055434231</v>
      </c>
      <c r="X43" s="10">
        <f t="shared" si="21"/>
        <v>0.88735429998600956</v>
      </c>
      <c r="Y43" s="10">
        <f t="shared" si="22"/>
        <v>0.72247237641396156</v>
      </c>
      <c r="Z43" s="10">
        <f t="shared" si="23"/>
        <v>0.255</v>
      </c>
      <c r="AA43" s="10">
        <f t="shared" si="27"/>
        <v>-1.3333333333333308E-2</v>
      </c>
      <c r="AB43" s="34">
        <v>13.33</v>
      </c>
      <c r="AC43" s="34">
        <v>-31.004140786749478</v>
      </c>
      <c r="AD43" s="10">
        <f t="shared" si="24"/>
        <v>8.6649399458350179E-3</v>
      </c>
    </row>
    <row r="44" spans="1:30" x14ac:dyDescent="0.2">
      <c r="A44" s="1">
        <v>42705</v>
      </c>
      <c r="B44" s="18">
        <v>2.808243510277823E-2</v>
      </c>
      <c r="C44" s="19">
        <v>-0.24666666666666667</v>
      </c>
      <c r="D44" s="19">
        <v>1.5833333333333335E-2</v>
      </c>
      <c r="E44" s="19">
        <v>0.10833333333333334</v>
      </c>
      <c r="F44" s="19">
        <v>0.16083333333333333</v>
      </c>
      <c r="G44" s="19">
        <f t="shared" si="10"/>
        <v>4.9660583333333341E-2</v>
      </c>
      <c r="H44" s="19">
        <v>3.0000165696493442</v>
      </c>
      <c r="I44" s="19">
        <v>2.1099425138117134</v>
      </c>
      <c r="J44" s="22">
        <v>2246.63</v>
      </c>
      <c r="K44" s="24">
        <f t="shared" si="14"/>
        <v>3.7709181104762735E-2</v>
      </c>
      <c r="L44" s="22">
        <v>94.55</v>
      </c>
      <c r="M44" s="19">
        <f t="shared" si="15"/>
        <v>4.2085256584306271E-2</v>
      </c>
      <c r="N44" s="27">
        <v>4.5000000000000005E-2</v>
      </c>
      <c r="O44" s="11">
        <v>2.8609360739223297</v>
      </c>
      <c r="P44" s="10">
        <f t="shared" si="16"/>
        <v>0.14499999999999999</v>
      </c>
      <c r="Q44" s="10">
        <f t="shared" si="17"/>
        <v>4.0000000000000008E-2</v>
      </c>
      <c r="R44" s="32">
        <v>1.7708333333333302E-2</v>
      </c>
      <c r="S44" s="10">
        <f t="shared" si="18"/>
        <v>-2.7291666666666704E-2</v>
      </c>
      <c r="T44" s="32">
        <f t="shared" si="19"/>
        <v>-1.2249101769444895E-2</v>
      </c>
      <c r="U44" s="10">
        <f t="shared" si="25"/>
        <v>-5.833333333333357E-3</v>
      </c>
      <c r="V44" s="10">
        <f t="shared" si="26"/>
        <v>-7.4999999999999789E-3</v>
      </c>
      <c r="W44" s="10">
        <f t="shared" si="20"/>
        <v>2.9503559863160107</v>
      </c>
      <c r="X44" s="10">
        <f t="shared" si="21"/>
        <v>-0.89007405583763077</v>
      </c>
      <c r="Y44" s="10">
        <f t="shared" si="22"/>
        <v>-2.0722333327069506</v>
      </c>
      <c r="Z44" s="10">
        <f t="shared" si="23"/>
        <v>0.26250000000000001</v>
      </c>
      <c r="AA44" s="10">
        <f t="shared" si="27"/>
        <v>7.5000000000000067E-3</v>
      </c>
      <c r="AB44" s="34">
        <v>14.04</v>
      </c>
      <c r="AC44" s="34">
        <v>-0.56657223796033884</v>
      </c>
      <c r="AD44" s="10">
        <f t="shared" si="24"/>
        <v>-2.9147434156937338E-3</v>
      </c>
    </row>
    <row r="45" spans="1:30" x14ac:dyDescent="0.2">
      <c r="A45" s="1">
        <v>42736</v>
      </c>
      <c r="B45" s="18">
        <v>4.0294629994893867E-2</v>
      </c>
      <c r="C45" s="19">
        <v>-0.2558333333333333</v>
      </c>
      <c r="D45" s="19">
        <v>2.8333333333333335E-2</v>
      </c>
      <c r="E45" s="19">
        <v>0.12416666666666666</v>
      </c>
      <c r="F45" s="19">
        <v>0.17583333333333331</v>
      </c>
      <c r="G45" s="19">
        <f t="shared" si="10"/>
        <v>6.3379583333333336E-2</v>
      </c>
      <c r="H45" s="19">
        <v>-1.4568783432973742</v>
      </c>
      <c r="I45" s="19">
        <v>0.64683140920647197</v>
      </c>
      <c r="J45" s="22">
        <v>2275.12</v>
      </c>
      <c r="K45" s="24">
        <f t="shared" si="14"/>
        <v>1.2681215865540718E-2</v>
      </c>
      <c r="L45" s="22">
        <f>L44*2/3+L47/3</f>
        <v>96.463333333333338</v>
      </c>
      <c r="M45" s="19">
        <f t="shared" si="15"/>
        <v>4.2399228758629587E-2</v>
      </c>
      <c r="N45" s="27">
        <v>5.4166666666666669E-2</v>
      </c>
      <c r="O45" s="11">
        <v>-0.44945692130845749</v>
      </c>
      <c r="P45" s="10">
        <f t="shared" si="16"/>
        <v>0.14749999999999996</v>
      </c>
      <c r="Q45" s="10">
        <f t="shared" si="17"/>
        <v>4.4166666666666674E-2</v>
      </c>
      <c r="R45" s="32">
        <v>1.7791666666666699E-2</v>
      </c>
      <c r="S45" s="10">
        <f t="shared" si="18"/>
        <v>-3.637499999999997E-2</v>
      </c>
      <c r="T45" s="32">
        <f t="shared" si="19"/>
        <v>-1.1961296661560532E-2</v>
      </c>
      <c r="U45" s="10">
        <f t="shared" si="25"/>
        <v>2.4999999999999745E-3</v>
      </c>
      <c r="V45" s="10">
        <f t="shared" si="26"/>
        <v>4.1666666666666657E-3</v>
      </c>
      <c r="W45" s="10">
        <f t="shared" si="20"/>
        <v>-1.5202579266307075</v>
      </c>
      <c r="X45" s="10">
        <f t="shared" si="21"/>
        <v>2.1037097525038462</v>
      </c>
      <c r="Y45" s="10">
        <f t="shared" si="22"/>
        <v>-0.63415019334093126</v>
      </c>
      <c r="Z45" s="10">
        <f t="shared" si="23"/>
        <v>0.28416666666666662</v>
      </c>
      <c r="AA45" s="10">
        <f t="shared" si="27"/>
        <v>2.1666666666666612E-2</v>
      </c>
      <c r="AB45" s="34">
        <v>11.99</v>
      </c>
      <c r="AC45" s="34">
        <v>-6.692607003891049</v>
      </c>
      <c r="AD45" s="10">
        <f t="shared" si="24"/>
        <v>-1.1767437908037082E-2</v>
      </c>
    </row>
    <row r="46" spans="1:30" x14ac:dyDescent="0.2">
      <c r="A46" s="1">
        <v>42767</v>
      </c>
      <c r="B46" s="18">
        <v>2.4709416804627349E-2</v>
      </c>
      <c r="C46" s="19">
        <v>-0.24750000000000003</v>
      </c>
      <c r="D46" s="19">
        <v>1.1666666666666667E-2</v>
      </c>
      <c r="E46" s="19">
        <v>9.4166666666666662E-2</v>
      </c>
      <c r="F46" s="19">
        <v>0.15416666666666667</v>
      </c>
      <c r="G46" s="19">
        <f t="shared" si="10"/>
        <v>4.1836916666666668E-2</v>
      </c>
      <c r="H46" s="19">
        <v>2.6768879107796684</v>
      </c>
      <c r="I46" s="19">
        <v>1.1857445200154859</v>
      </c>
      <c r="J46" s="22">
        <v>2329.91</v>
      </c>
      <c r="K46" s="24">
        <f t="shared" si="14"/>
        <v>2.4082246211188929E-2</v>
      </c>
      <c r="L46" s="22">
        <f>L44/3+L47*2/3</f>
        <v>98.376666666666665</v>
      </c>
      <c r="M46" s="19">
        <f t="shared" si="15"/>
        <v>4.2223376296366244E-2</v>
      </c>
      <c r="N46" s="27">
        <v>5.5E-2</v>
      </c>
      <c r="O46" s="11">
        <v>2.5257042870557784</v>
      </c>
      <c r="P46" s="10">
        <f t="shared" si="16"/>
        <v>0.14250000000000002</v>
      </c>
      <c r="Q46" s="10">
        <f t="shared" si="17"/>
        <v>2.2499999999999985E-2</v>
      </c>
      <c r="R46" s="32">
        <v>1.755E-2</v>
      </c>
      <c r="S46" s="10">
        <f t="shared" si="18"/>
        <v>-3.7449999999999997E-2</v>
      </c>
      <c r="T46" s="32">
        <f t="shared" si="19"/>
        <v>-1.3042750137960682E-2</v>
      </c>
      <c r="U46" s="10">
        <f t="shared" si="25"/>
        <v>-4.9999999999999489E-3</v>
      </c>
      <c r="V46" s="10">
        <f t="shared" si="26"/>
        <v>-2.1666666666666688E-2</v>
      </c>
      <c r="W46" s="10">
        <f t="shared" si="20"/>
        <v>2.6350509941130018</v>
      </c>
      <c r="X46" s="10">
        <f t="shared" si="21"/>
        <v>-1.4911433907641825</v>
      </c>
      <c r="Y46" s="10">
        <f t="shared" si="22"/>
        <v>-1.161662273804297</v>
      </c>
      <c r="Z46" s="10">
        <f t="shared" si="23"/>
        <v>0.25916666666666671</v>
      </c>
      <c r="AA46" s="10">
        <f t="shared" si="27"/>
        <v>-2.4999999999999911E-2</v>
      </c>
      <c r="AB46" s="34">
        <v>12.92</v>
      </c>
      <c r="AC46" s="34">
        <v>7.7564637197664599</v>
      </c>
      <c r="AD46" s="10">
        <f t="shared" si="24"/>
        <v>-1.2776623703633756E-2</v>
      </c>
    </row>
    <row r="47" spans="1:30" x14ac:dyDescent="0.2">
      <c r="A47" s="1">
        <v>42795</v>
      </c>
      <c r="B47" s="18">
        <v>3.3663127403204769E-2</v>
      </c>
      <c r="C47" s="19">
        <v>-0.26833333333333337</v>
      </c>
      <c r="D47" s="19">
        <v>1.4166666666666668E-2</v>
      </c>
      <c r="E47" s="19">
        <v>9.4166666666666662E-2</v>
      </c>
      <c r="F47" s="19">
        <v>0.1525</v>
      </c>
      <c r="G47" s="19">
        <f t="shared" si="10"/>
        <v>4.3422666666666665E-2</v>
      </c>
      <c r="H47" s="19">
        <v>-0.13048188596865851</v>
      </c>
      <c r="I47" s="19">
        <v>-0.31338695183923404</v>
      </c>
      <c r="J47" s="22">
        <v>2366.8200000000002</v>
      </c>
      <c r="K47" s="24">
        <f t="shared" si="14"/>
        <v>1.5841813632286428E-2</v>
      </c>
      <c r="L47" s="22">
        <v>100.29</v>
      </c>
      <c r="M47" s="19">
        <f t="shared" si="15"/>
        <v>4.2373311024919515E-2</v>
      </c>
      <c r="N47" s="27">
        <v>6.5833333333333341E-2</v>
      </c>
      <c r="O47" s="11">
        <v>0.32195109833132546</v>
      </c>
      <c r="P47" s="10">
        <f t="shared" si="16"/>
        <v>0.13833333333333334</v>
      </c>
      <c r="Q47" s="10">
        <f t="shared" si="17"/>
        <v>2.166666666666666E-2</v>
      </c>
      <c r="R47" s="32">
        <v>1.7458333333333301E-2</v>
      </c>
      <c r="S47" s="10">
        <f t="shared" si="18"/>
        <v>-4.8375000000000043E-2</v>
      </c>
      <c r="T47" s="32">
        <f t="shared" si="19"/>
        <v>-1.9496460736538102E-2</v>
      </c>
      <c r="U47" s="10">
        <f t="shared" si="25"/>
        <v>-4.1666666666666796E-3</v>
      </c>
      <c r="V47" s="10">
        <f t="shared" si="26"/>
        <v>-8.3333333333332482E-4</v>
      </c>
      <c r="W47" s="10">
        <f t="shared" si="20"/>
        <v>-0.17390455263532517</v>
      </c>
      <c r="X47" s="10">
        <f t="shared" si="21"/>
        <v>-0.18290506587057553</v>
      </c>
      <c r="Y47" s="10">
        <f t="shared" si="22"/>
        <v>0.32922876547152047</v>
      </c>
      <c r="Z47" s="10">
        <f t="shared" si="23"/>
        <v>0.28250000000000003</v>
      </c>
      <c r="AA47" s="10">
        <f t="shared" si="27"/>
        <v>2.3333333333333317E-2</v>
      </c>
      <c r="AB47" s="34">
        <v>12.37</v>
      </c>
      <c r="AC47" s="34">
        <v>10.053380782918131</v>
      </c>
      <c r="AD47" s="10">
        <f t="shared" si="24"/>
        <v>-2.3460022308413826E-2</v>
      </c>
    </row>
    <row r="48" spans="1:30" x14ac:dyDescent="0.2">
      <c r="A48" s="1">
        <v>42826</v>
      </c>
      <c r="B48" s="18">
        <v>2.9944499219073311E-2</v>
      </c>
      <c r="C48" s="19">
        <v>-0.25333333333333335</v>
      </c>
      <c r="D48" s="19">
        <v>1.0833333333333334E-2</v>
      </c>
      <c r="E48" s="19">
        <v>9.2500000000000013E-2</v>
      </c>
      <c r="F48" s="19">
        <v>0.1525</v>
      </c>
      <c r="G48" s="19">
        <f t="shared" si="10"/>
        <v>4.0698833333333344E-2</v>
      </c>
      <c r="H48" s="19">
        <v>0.76695809179585517</v>
      </c>
      <c r="I48" s="19">
        <v>1.0510508383513861</v>
      </c>
      <c r="J48" s="22">
        <v>2359.31</v>
      </c>
      <c r="K48" s="24">
        <f t="shared" si="14"/>
        <v>-3.1730338597781849E-3</v>
      </c>
      <c r="L48" s="22">
        <f>L47*2/3+L50/3</f>
        <v>101.53333333333333</v>
      </c>
      <c r="M48" s="19">
        <f t="shared" si="15"/>
        <v>4.303518118998069E-2</v>
      </c>
      <c r="N48" s="27">
        <v>7.4999999999999997E-2</v>
      </c>
      <c r="O48" s="11">
        <v>-0.38364685529762182</v>
      </c>
      <c r="P48" s="10">
        <f t="shared" si="16"/>
        <v>0.14166666666666666</v>
      </c>
      <c r="Q48" s="10">
        <f t="shared" si="17"/>
        <v>2.1666666666666695E-2</v>
      </c>
      <c r="R48" s="32">
        <v>1.7616666666666701E-2</v>
      </c>
      <c r="S48" s="10">
        <f t="shared" si="18"/>
        <v>-5.73833333333333E-2</v>
      </c>
      <c r="T48" s="32">
        <f t="shared" si="19"/>
        <v>-1.9111165885739977E-2</v>
      </c>
      <c r="U48" s="10">
        <f t="shared" si="25"/>
        <v>3.333333333333327E-3</v>
      </c>
      <c r="V48" s="10">
        <f t="shared" si="26"/>
        <v>3.4694469519536142E-17</v>
      </c>
      <c r="W48" s="10">
        <f t="shared" si="20"/>
        <v>0.72625925846252182</v>
      </c>
      <c r="X48" s="10">
        <f t="shared" si="21"/>
        <v>0.28409274655553096</v>
      </c>
      <c r="Y48" s="10">
        <f t="shared" si="22"/>
        <v>-1.0542238722111643</v>
      </c>
      <c r="Z48" s="10">
        <f t="shared" si="23"/>
        <v>0.26416666666666666</v>
      </c>
      <c r="AA48" s="10">
        <f t="shared" si="27"/>
        <v>-1.8333333333333368E-2</v>
      </c>
      <c r="AB48" s="34">
        <v>10.82</v>
      </c>
      <c r="AC48" s="34">
        <v>-12.530315278900561</v>
      </c>
      <c r="AD48" s="10">
        <f t="shared" si="24"/>
        <v>-3.1964818810019308E-2</v>
      </c>
    </row>
    <row r="49" spans="1:30" x14ac:dyDescent="0.2">
      <c r="A49" s="1">
        <v>42856</v>
      </c>
      <c r="B49" s="18">
        <v>3.0672500871987664E-2</v>
      </c>
      <c r="C49" s="19">
        <v>-0.24666666666666667</v>
      </c>
      <c r="D49" s="19">
        <v>1.1666666666666667E-2</v>
      </c>
      <c r="E49" s="19">
        <v>8.9166666666666672E-2</v>
      </c>
      <c r="F49" s="19">
        <v>0.14916666666666667</v>
      </c>
      <c r="G49" s="19">
        <f t="shared" si="10"/>
        <v>4.0008416666666671E-2</v>
      </c>
      <c r="H49" s="19">
        <v>1.5935076252021285</v>
      </c>
      <c r="I49" s="19">
        <v>0.72617613990578755</v>
      </c>
      <c r="J49" s="22">
        <v>2395.35</v>
      </c>
      <c r="K49" s="24">
        <f t="shared" si="14"/>
        <v>1.5275652627251279E-2</v>
      </c>
      <c r="L49" s="22">
        <f>L47/3+L50*2/3</f>
        <v>102.77666666666667</v>
      </c>
      <c r="M49" s="19">
        <f t="shared" si="15"/>
        <v>4.2906742925529325E-2</v>
      </c>
      <c r="N49" s="27">
        <v>7.5833333333333336E-2</v>
      </c>
      <c r="O49" s="11">
        <v>1.8101887790863302</v>
      </c>
      <c r="P49" s="10">
        <f t="shared" si="16"/>
        <v>0.13750000000000001</v>
      </c>
      <c r="Q49" s="10">
        <f t="shared" si="17"/>
        <v>1.7500000000000009E-2</v>
      </c>
      <c r="R49" s="32">
        <v>1.77166666666667E-2</v>
      </c>
      <c r="S49" s="10">
        <f t="shared" si="18"/>
        <v>-5.8116666666666636E-2</v>
      </c>
      <c r="T49" s="32">
        <f t="shared" si="19"/>
        <v>-1.9005834205320996E-2</v>
      </c>
      <c r="U49" s="10">
        <f t="shared" si="25"/>
        <v>-4.1666666666666519E-3</v>
      </c>
      <c r="V49" s="10">
        <f t="shared" si="26"/>
        <v>-4.1666666666666866E-3</v>
      </c>
      <c r="W49" s="10">
        <f t="shared" si="20"/>
        <v>1.5534992085354618</v>
      </c>
      <c r="X49" s="10">
        <f t="shared" si="21"/>
        <v>-0.86733148529634096</v>
      </c>
      <c r="Y49" s="10">
        <f t="shared" si="22"/>
        <v>-0.71090048727853627</v>
      </c>
      <c r="Z49" s="10">
        <f t="shared" si="23"/>
        <v>0.25833333333333336</v>
      </c>
      <c r="AA49" s="10">
        <f t="shared" si="27"/>
        <v>-5.8333333333333015E-3</v>
      </c>
      <c r="AB49" s="34">
        <v>10.41</v>
      </c>
      <c r="AC49" s="34">
        <v>-2.5280898876404501</v>
      </c>
      <c r="AD49" s="10">
        <f t="shared" si="24"/>
        <v>-3.2926590407804011E-2</v>
      </c>
    </row>
    <row r="50" spans="1:30" x14ac:dyDescent="0.2">
      <c r="A50" s="1">
        <v>42887</v>
      </c>
      <c r="B50" s="18">
        <v>4.8586404616320328E-2</v>
      </c>
      <c r="C50" s="19">
        <v>-0.22083333333333333</v>
      </c>
      <c r="D50" s="19">
        <v>3.1666666666666669E-2</v>
      </c>
      <c r="E50" s="19">
        <v>0.10833333333333334</v>
      </c>
      <c r="F50" s="19">
        <v>0.16333333333333333</v>
      </c>
      <c r="G50" s="19">
        <f t="shared" si="10"/>
        <v>5.9703666666666676E-2</v>
      </c>
      <c r="H50" s="19">
        <v>-1.2531727101685597</v>
      </c>
      <c r="I50" s="19">
        <v>0.14213241595320003</v>
      </c>
      <c r="J50" s="22">
        <v>2433.9899999999998</v>
      </c>
      <c r="K50" s="24">
        <f t="shared" si="14"/>
        <v>1.6131254305216336E-2</v>
      </c>
      <c r="L50" s="22">
        <v>104.02</v>
      </c>
      <c r="M50" s="19">
        <f t="shared" si="15"/>
        <v>4.2736412228480812E-2</v>
      </c>
      <c r="N50" s="27">
        <v>8.666666666666667E-2</v>
      </c>
      <c r="O50" s="11">
        <v>-0.8739297602339734</v>
      </c>
      <c r="P50" s="10">
        <f t="shared" si="16"/>
        <v>0.13166666666666665</v>
      </c>
      <c r="Q50" s="10">
        <f t="shared" si="17"/>
        <v>2.1666666666666674E-2</v>
      </c>
      <c r="R50" s="32">
        <v>1.7675E-2</v>
      </c>
      <c r="S50" s="10">
        <f t="shared" si="18"/>
        <v>-6.8991666666666673E-2</v>
      </c>
      <c r="T50" s="32">
        <f t="shared" si="19"/>
        <v>-1.6919737949653658E-2</v>
      </c>
      <c r="U50" s="10">
        <f t="shared" si="25"/>
        <v>-5.833333333333357E-3</v>
      </c>
      <c r="V50" s="10">
        <f t="shared" si="26"/>
        <v>4.1666666666666657E-3</v>
      </c>
      <c r="W50" s="10">
        <f t="shared" si="20"/>
        <v>-1.3128763768352263</v>
      </c>
      <c r="X50" s="10">
        <f t="shared" si="21"/>
        <v>1.3953051261217597</v>
      </c>
      <c r="Y50" s="10">
        <f t="shared" si="22"/>
        <v>-0.12600116164798369</v>
      </c>
      <c r="Z50" s="10">
        <f t="shared" si="23"/>
        <v>0.2525</v>
      </c>
      <c r="AA50" s="10">
        <f t="shared" si="27"/>
        <v>-5.833333333333357E-3</v>
      </c>
      <c r="AB50" s="34">
        <v>11.18</v>
      </c>
      <c r="AC50" s="34">
        <v>11.022840119165833</v>
      </c>
      <c r="AD50" s="10">
        <f t="shared" si="24"/>
        <v>-4.3930254438185858E-2</v>
      </c>
    </row>
    <row r="51" spans="1:30" x14ac:dyDescent="0.2">
      <c r="A51" s="1">
        <v>42917</v>
      </c>
      <c r="B51" s="18">
        <v>4.1530848546611036E-2</v>
      </c>
      <c r="C51" s="19">
        <v>-0.21916666666666665</v>
      </c>
      <c r="D51" s="19">
        <v>2.4999999999999998E-2</v>
      </c>
      <c r="E51" s="19">
        <v>0.105</v>
      </c>
      <c r="F51" s="19">
        <v>0.16333333333333333</v>
      </c>
      <c r="G51" s="19">
        <f t="shared" si="10"/>
        <v>5.4255999999999999E-2</v>
      </c>
      <c r="H51" s="19">
        <v>1.0778075044919677</v>
      </c>
      <c r="I51" s="19">
        <v>0.82148273572242303</v>
      </c>
      <c r="J51" s="22">
        <v>2454.1</v>
      </c>
      <c r="K51" s="24">
        <f t="shared" si="14"/>
        <v>8.2621539118896692E-3</v>
      </c>
      <c r="L51" s="22">
        <f>L50*2/3+L53/3</f>
        <v>105.03999999999999</v>
      </c>
      <c r="M51" s="19">
        <f t="shared" si="15"/>
        <v>4.280184181573693E-2</v>
      </c>
      <c r="N51" s="27">
        <v>9.5833333333333326E-2</v>
      </c>
      <c r="O51" s="11">
        <v>0.77913542886387466</v>
      </c>
      <c r="P51" s="10">
        <f t="shared" si="16"/>
        <v>0.13833333333333334</v>
      </c>
      <c r="Q51" s="10">
        <f t="shared" si="17"/>
        <v>2.1666666666666664E-2</v>
      </c>
      <c r="R51" s="32">
        <v>1.77E-2</v>
      </c>
      <c r="S51" s="10">
        <f t="shared" si="18"/>
        <v>-7.8133333333333332E-2</v>
      </c>
      <c r="T51" s="32">
        <f t="shared" si="19"/>
        <v>-1.6530848546611038E-2</v>
      </c>
      <c r="U51" s="10">
        <f t="shared" si="25"/>
        <v>6.6666666666666818E-3</v>
      </c>
      <c r="V51" s="10">
        <f t="shared" si="26"/>
        <v>0</v>
      </c>
      <c r="W51" s="10">
        <f t="shared" si="20"/>
        <v>1.0235515044919676</v>
      </c>
      <c r="X51" s="10">
        <f t="shared" si="21"/>
        <v>-0.25632476876954469</v>
      </c>
      <c r="Y51" s="10">
        <f t="shared" si="22"/>
        <v>-0.81322058181053336</v>
      </c>
      <c r="Z51" s="10">
        <f t="shared" si="23"/>
        <v>0.24416666666666664</v>
      </c>
      <c r="AA51" s="10">
        <f t="shared" si="27"/>
        <v>-8.3333333333333592E-3</v>
      </c>
      <c r="AB51" s="34">
        <v>10.26</v>
      </c>
      <c r="AC51" s="34">
        <v>-8.5561497326203337</v>
      </c>
      <c r="AD51" s="10">
        <f t="shared" si="24"/>
        <v>-5.3031491517596396E-2</v>
      </c>
    </row>
    <row r="52" spans="1:30" x14ac:dyDescent="0.2">
      <c r="A52" s="1">
        <v>42948</v>
      </c>
      <c r="B52" s="18">
        <v>3.5105980138831934E-2</v>
      </c>
      <c r="C52" s="19">
        <v>-0.23416666666666666</v>
      </c>
      <c r="D52" s="19">
        <v>1.5833333333333335E-2</v>
      </c>
      <c r="E52" s="19">
        <v>9.0000000000000011E-2</v>
      </c>
      <c r="F52" s="19">
        <v>0.14916666666666667</v>
      </c>
      <c r="G52" s="19">
        <f t="shared" si="10"/>
        <v>4.2956083333333339E-2</v>
      </c>
      <c r="H52" s="19">
        <v>0.92211165473070622</v>
      </c>
      <c r="I52" s="19">
        <v>-4.1057191131377291E-2</v>
      </c>
      <c r="J52" s="22">
        <v>2456.2199999999998</v>
      </c>
      <c r="K52" s="24">
        <f t="shared" si="14"/>
        <v>8.6386047838304947E-4</v>
      </c>
      <c r="L52" s="22">
        <f>L50/3+L53*2/3</f>
        <v>106.06</v>
      </c>
      <c r="M52" s="19">
        <f t="shared" si="15"/>
        <v>4.3180171157306761E-2</v>
      </c>
      <c r="N52" s="27">
        <v>9.6666666666666665E-2</v>
      </c>
      <c r="O52" s="11">
        <v>1.1252408849651883</v>
      </c>
      <c r="P52" s="10">
        <f t="shared" si="16"/>
        <v>0.13333333333333333</v>
      </c>
      <c r="Q52" s="10">
        <f t="shared" si="17"/>
        <v>1.5000000000000017E-2</v>
      </c>
      <c r="R52" s="32">
        <v>1.7766666666666701E-2</v>
      </c>
      <c r="S52" s="10">
        <f t="shared" si="18"/>
        <v>-7.889999999999997E-2</v>
      </c>
      <c r="T52" s="32">
        <f t="shared" si="19"/>
        <v>-1.9272646805498599E-2</v>
      </c>
      <c r="U52" s="10">
        <f t="shared" si="25"/>
        <v>-5.0000000000000044E-3</v>
      </c>
      <c r="V52" s="10">
        <f t="shared" si="26"/>
        <v>-6.6666666666666471E-3</v>
      </c>
      <c r="W52" s="10">
        <f t="shared" si="20"/>
        <v>0.87915557139737288</v>
      </c>
      <c r="X52" s="10">
        <f t="shared" si="21"/>
        <v>-0.96316884586208351</v>
      </c>
      <c r="Y52" s="10">
        <f t="shared" si="22"/>
        <v>4.192105160976034E-2</v>
      </c>
      <c r="Z52" s="10">
        <f t="shared" si="23"/>
        <v>0.25</v>
      </c>
      <c r="AA52" s="10">
        <f t="shared" si="27"/>
        <v>5.833333333333357E-3</v>
      </c>
      <c r="AB52" s="34">
        <v>10.59</v>
      </c>
      <c r="AC52" s="34">
        <v>5.5832502492522584</v>
      </c>
      <c r="AD52" s="10">
        <f t="shared" si="24"/>
        <v>-5.3486495509359903E-2</v>
      </c>
    </row>
    <row r="53" spans="1:30" x14ac:dyDescent="0.2">
      <c r="A53" s="1">
        <v>42979</v>
      </c>
      <c r="B53" s="18">
        <v>6.3443436129905287E-2</v>
      </c>
      <c r="C53" s="19">
        <v>-0.21083333333333332</v>
      </c>
      <c r="D53" s="19">
        <v>4.4166666666666667E-2</v>
      </c>
      <c r="E53" s="19">
        <v>0.11666666666666665</v>
      </c>
      <c r="F53" s="19">
        <v>0.16666666666666666</v>
      </c>
      <c r="G53" s="19">
        <f t="shared" si="10"/>
        <v>7.0679916666666676E-2</v>
      </c>
      <c r="H53" s="19">
        <v>-1.9812761571143978</v>
      </c>
      <c r="I53" s="19">
        <v>0.51526682350360176</v>
      </c>
      <c r="J53" s="22">
        <v>2492.84</v>
      </c>
      <c r="K53" s="24">
        <f t="shared" si="14"/>
        <v>1.4909087948148159E-2</v>
      </c>
      <c r="L53" s="22">
        <v>107.08</v>
      </c>
      <c r="M53" s="19">
        <f t="shared" si="15"/>
        <v>4.2955023186405865E-2</v>
      </c>
      <c r="N53" s="27">
        <v>9.5833333333333326E-2</v>
      </c>
      <c r="O53" s="11">
        <v>-1.0801430002995103</v>
      </c>
      <c r="P53" s="10">
        <f t="shared" si="16"/>
        <v>0.1225</v>
      </c>
      <c r="Q53" s="10">
        <f t="shared" si="17"/>
        <v>2.2499999999999985E-2</v>
      </c>
      <c r="R53" s="32">
        <v>1.7691666666666699E-2</v>
      </c>
      <c r="S53" s="10">
        <f t="shared" si="18"/>
        <v>-7.8141666666666623E-2</v>
      </c>
      <c r="T53" s="32">
        <f t="shared" si="19"/>
        <v>-1.927676946323862E-2</v>
      </c>
      <c r="U53" s="10">
        <f t="shared" si="25"/>
        <v>-1.0833333333333334E-2</v>
      </c>
      <c r="V53" s="10">
        <f t="shared" si="26"/>
        <v>7.4999999999999685E-3</v>
      </c>
      <c r="W53" s="10">
        <f t="shared" si="20"/>
        <v>-2.0519560737810645</v>
      </c>
      <c r="X53" s="10">
        <f t="shared" si="21"/>
        <v>2.4965429806179995</v>
      </c>
      <c r="Y53" s="10">
        <f t="shared" si="22"/>
        <v>-0.5003577355554536</v>
      </c>
      <c r="Z53" s="10">
        <f t="shared" si="23"/>
        <v>0.255</v>
      </c>
      <c r="AA53" s="10">
        <f t="shared" si="27"/>
        <v>5.0000000000000044E-3</v>
      </c>
      <c r="AB53" s="34">
        <v>9.51</v>
      </c>
      <c r="AC53" s="34">
        <v>-6.1204343534057344</v>
      </c>
      <c r="AD53" s="10">
        <f t="shared" si="24"/>
        <v>-5.2878310146927461E-2</v>
      </c>
    </row>
    <row r="54" spans="1:30" x14ac:dyDescent="0.2">
      <c r="A54" s="1">
        <v>43009</v>
      </c>
      <c r="B54" s="18">
        <v>6.5022999334396134E-2</v>
      </c>
      <c r="C54" s="19">
        <v>-0.20166666666666666</v>
      </c>
      <c r="D54" s="19">
        <v>4.5000000000000005E-2</v>
      </c>
      <c r="E54" s="19">
        <v>0.11583333333333333</v>
      </c>
      <c r="F54" s="19">
        <v>0.16666666666666666</v>
      </c>
      <c r="G54" s="19">
        <f t="shared" si="10"/>
        <v>7.0903750000000001E-2</v>
      </c>
      <c r="H54" s="19">
        <v>0.41718511161819016</v>
      </c>
      <c r="I54" s="19">
        <v>0.21338954083844897</v>
      </c>
      <c r="J54" s="22">
        <v>2557</v>
      </c>
      <c r="K54" s="24">
        <f t="shared" si="14"/>
        <v>2.5737712809486224E-2</v>
      </c>
      <c r="L54" s="22">
        <f>L53*2/3+L56/3</f>
        <v>108.01333333333334</v>
      </c>
      <c r="M54" s="19">
        <f t="shared" si="15"/>
        <v>4.2242210924260198E-2</v>
      </c>
      <c r="N54" s="27">
        <v>9.5833333333333326E-2</v>
      </c>
      <c r="O54" s="11">
        <v>1.2933080083597004</v>
      </c>
      <c r="P54" s="10">
        <f t="shared" si="16"/>
        <v>0.12166666666666665</v>
      </c>
      <c r="Q54" s="10">
        <f t="shared" si="17"/>
        <v>1.9999999999999997E-2</v>
      </c>
      <c r="R54" s="32">
        <v>1.7583333333333302E-2</v>
      </c>
      <c r="S54" s="10">
        <f t="shared" si="18"/>
        <v>-7.8250000000000028E-2</v>
      </c>
      <c r="T54" s="32">
        <f t="shared" si="19"/>
        <v>-2.0022999334396129E-2</v>
      </c>
      <c r="U54" s="10">
        <f t="shared" si="25"/>
        <v>-8.3333333333335258E-4</v>
      </c>
      <c r="V54" s="10">
        <f t="shared" si="26"/>
        <v>-2.4999999999999883E-3</v>
      </c>
      <c r="W54" s="10">
        <f t="shared" si="20"/>
        <v>0.34628136161819018</v>
      </c>
      <c r="X54" s="10">
        <f t="shared" si="21"/>
        <v>-0.2037955707797412</v>
      </c>
      <c r="Y54" s="10">
        <f t="shared" si="22"/>
        <v>-0.18765182802896274</v>
      </c>
      <c r="Z54" s="10">
        <f t="shared" si="23"/>
        <v>0.24666666666666667</v>
      </c>
      <c r="AA54" s="10">
        <f t="shared" si="27"/>
        <v>-8.3333333333333315E-3</v>
      </c>
      <c r="AB54" s="34">
        <v>10.18</v>
      </c>
      <c r="AC54" s="34">
        <v>5.7113187954309419</v>
      </c>
      <c r="AD54" s="10">
        <f t="shared" si="24"/>
        <v>-5.3591122409073128E-2</v>
      </c>
    </row>
    <row r="55" spans="1:30" x14ac:dyDescent="0.2">
      <c r="A55" s="1">
        <v>43040</v>
      </c>
      <c r="B55" s="18">
        <v>6.8799779834912256E-2</v>
      </c>
      <c r="C55" s="19">
        <v>-0.19416666666666668</v>
      </c>
      <c r="D55" s="19">
        <v>4.9166666666666664E-2</v>
      </c>
      <c r="E55" s="19">
        <v>0.11499999999999999</v>
      </c>
      <c r="F55" s="19">
        <v>0.16250000000000001</v>
      </c>
      <c r="G55" s="19">
        <f t="shared" si="10"/>
        <v>7.324191666666667E-2</v>
      </c>
      <c r="H55" s="19">
        <v>-0.28095167329043047</v>
      </c>
      <c r="I55" s="19">
        <v>-0.27952825092398825</v>
      </c>
      <c r="J55" s="22">
        <v>2593.61</v>
      </c>
      <c r="K55" s="24">
        <f t="shared" si="14"/>
        <v>1.4317559640203426E-2</v>
      </c>
      <c r="L55" s="22">
        <f>L53/3+L56*2/3</f>
        <v>108.94666666666666</v>
      </c>
      <c r="M55" s="19">
        <f t="shared" si="15"/>
        <v>4.2005801437635826E-2</v>
      </c>
      <c r="N55" s="27">
        <v>9.6666666666666665E-2</v>
      </c>
      <c r="O55" s="11">
        <v>-0.34952011853591453</v>
      </c>
      <c r="P55" s="10">
        <f t="shared" si="16"/>
        <v>0.11333333333333334</v>
      </c>
      <c r="Q55" s="10">
        <f t="shared" si="17"/>
        <v>1.8333333333333313E-2</v>
      </c>
      <c r="R55" s="32">
        <v>3.7441666666666699E-2</v>
      </c>
      <c r="S55" s="10">
        <f t="shared" si="18"/>
        <v>-5.9224999999999965E-2</v>
      </c>
      <c r="T55" s="32">
        <f t="shared" si="19"/>
        <v>-1.9633113168245592E-2</v>
      </c>
      <c r="U55" s="10">
        <f t="shared" si="25"/>
        <v>-8.3333333333333037E-3</v>
      </c>
      <c r="V55" s="10">
        <f t="shared" si="26"/>
        <v>-1.6666666666666843E-3</v>
      </c>
      <c r="W55" s="10">
        <f t="shared" si="20"/>
        <v>-0.35419358995709715</v>
      </c>
      <c r="X55" s="10">
        <f t="shared" si="21"/>
        <v>1.4234223664422174E-3</v>
      </c>
      <c r="Y55" s="10">
        <f t="shared" si="22"/>
        <v>0.29384581056419168</v>
      </c>
      <c r="Z55" s="10">
        <f t="shared" si="23"/>
        <v>0.24333333333333335</v>
      </c>
      <c r="AA55" s="10">
        <f t="shared" si="27"/>
        <v>-3.333333333333327E-3</v>
      </c>
      <c r="AB55" s="34">
        <v>11.28</v>
      </c>
      <c r="AC55" s="34">
        <v>13.595166163141981</v>
      </c>
      <c r="AD55" s="10">
        <f t="shared" si="24"/>
        <v>-5.4660865229030839E-2</v>
      </c>
    </row>
    <row r="56" spans="1:30" x14ac:dyDescent="0.2">
      <c r="A56" s="1">
        <v>43070</v>
      </c>
      <c r="B56" s="18">
        <v>6.1174429168678428E-2</v>
      </c>
      <c r="C56" s="19">
        <v>-0.19333333333333333</v>
      </c>
      <c r="D56" s="19">
        <v>4.3333333333333335E-2</v>
      </c>
      <c r="E56" s="19">
        <v>0.105</v>
      </c>
      <c r="F56" s="19">
        <v>0.1525</v>
      </c>
      <c r="G56" s="19">
        <f t="shared" si="10"/>
        <v>6.5884833333333337E-2</v>
      </c>
      <c r="H56" s="19">
        <v>1.9238864351729723</v>
      </c>
      <c r="I56" s="19">
        <v>-0.11978702447255074</v>
      </c>
      <c r="J56" s="22">
        <v>2664.34</v>
      </c>
      <c r="K56" s="24">
        <f t="shared" si="14"/>
        <v>2.7270869560188205E-2</v>
      </c>
      <c r="L56" s="22">
        <v>109.88</v>
      </c>
      <c r="M56" s="19">
        <f t="shared" si="15"/>
        <v>4.1240982757455878E-2</v>
      </c>
      <c r="N56" s="27">
        <v>0.10833333333333334</v>
      </c>
      <c r="O56" s="11">
        <v>2.1937669383125291</v>
      </c>
      <c r="P56" s="10">
        <f t="shared" si="16"/>
        <v>0.10916666666666666</v>
      </c>
      <c r="Q56" s="10">
        <f t="shared" si="17"/>
        <v>1.4166666666666661E-2</v>
      </c>
      <c r="R56" s="32">
        <v>3.8491666666666702E-2</v>
      </c>
      <c r="S56" s="10">
        <f t="shared" si="18"/>
        <v>-6.9841666666666635E-2</v>
      </c>
      <c r="T56" s="32">
        <f t="shared" si="19"/>
        <v>-1.7841095835345093E-2</v>
      </c>
      <c r="U56" s="10">
        <f t="shared" si="25"/>
        <v>-4.1666666666666796E-3</v>
      </c>
      <c r="V56" s="10">
        <f t="shared" si="26"/>
        <v>-4.1666666666666519E-3</v>
      </c>
      <c r="W56" s="10">
        <f t="shared" si="20"/>
        <v>1.858001601839639</v>
      </c>
      <c r="X56" s="10">
        <f t="shared" si="21"/>
        <v>-2.043673459645523</v>
      </c>
      <c r="Y56" s="10">
        <f t="shared" si="22"/>
        <v>0.14705789403273895</v>
      </c>
      <c r="Z56" s="10">
        <f t="shared" si="23"/>
        <v>0.23666666666666666</v>
      </c>
      <c r="AA56" s="10">
        <f t="shared" si="27"/>
        <v>-6.6666666666666818E-3</v>
      </c>
      <c r="AB56" s="34">
        <v>11.04</v>
      </c>
      <c r="AC56" s="34">
        <v>-3.4120734908136496</v>
      </c>
      <c r="AD56" s="10">
        <f t="shared" si="24"/>
        <v>-6.7092350575877452E-2</v>
      </c>
    </row>
    <row r="57" spans="1:30" x14ac:dyDescent="0.2">
      <c r="A57" s="1">
        <v>43101</v>
      </c>
      <c r="B57" s="18">
        <v>8.0475613117504244E-2</v>
      </c>
      <c r="C57" s="19">
        <v>-0.17749999999999999</v>
      </c>
      <c r="D57" s="19">
        <v>6.7500000000000004E-2</v>
      </c>
      <c r="E57" s="19">
        <v>0.12916666666666668</v>
      </c>
      <c r="F57" s="19">
        <v>0.16583333333333333</v>
      </c>
      <c r="G57" s="19">
        <f t="shared" si="10"/>
        <v>9.0051500000000007E-2</v>
      </c>
      <c r="H57" s="19">
        <v>-0.79771730631532645</v>
      </c>
      <c r="I57" s="19">
        <v>0.15419725943046636</v>
      </c>
      <c r="J57" s="22">
        <v>2789.8</v>
      </c>
      <c r="K57" s="24">
        <f t="shared" si="14"/>
        <v>4.7088584790229593E-2</v>
      </c>
      <c r="L57" s="22">
        <f>L56*2/3+L59/3</f>
        <v>111.73333333333332</v>
      </c>
      <c r="M57" s="19">
        <f t="shared" si="15"/>
        <v>4.0050660740315908E-2</v>
      </c>
      <c r="N57" s="27">
        <v>0.11749999999999999</v>
      </c>
      <c r="O57" s="11">
        <v>-0.70844610563042631</v>
      </c>
      <c r="P57" s="10">
        <f t="shared" si="16"/>
        <v>9.8333333333333328E-2</v>
      </c>
      <c r="Q57" s="10">
        <f t="shared" si="17"/>
        <v>2.5000000000000022E-2</v>
      </c>
      <c r="R57" s="32">
        <v>3.8591666666666698E-2</v>
      </c>
      <c r="S57" s="10">
        <f t="shared" si="18"/>
        <v>-7.8908333333333303E-2</v>
      </c>
      <c r="T57" s="32">
        <f t="shared" si="19"/>
        <v>-1.2975613117504239E-2</v>
      </c>
      <c r="U57" s="10">
        <f t="shared" si="25"/>
        <v>-1.0833333333333334E-2</v>
      </c>
      <c r="V57" s="10">
        <f t="shared" si="26"/>
        <v>1.0833333333333361E-2</v>
      </c>
      <c r="W57" s="10">
        <f t="shared" si="20"/>
        <v>-0.8877688063153264</v>
      </c>
      <c r="X57" s="10">
        <f t="shared" si="21"/>
        <v>0.95191456574579281</v>
      </c>
      <c r="Y57" s="10">
        <f t="shared" si="22"/>
        <v>-0.10710867464023677</v>
      </c>
      <c r="Z57" s="10">
        <f t="shared" si="23"/>
        <v>0.245</v>
      </c>
      <c r="AA57" s="10">
        <f t="shared" si="27"/>
        <v>8.3333333333333315E-3</v>
      </c>
      <c r="AB57" s="34">
        <v>13.58</v>
      </c>
      <c r="AC57" s="34">
        <v>48.415300546448094</v>
      </c>
      <c r="AD57" s="10">
        <f t="shared" si="24"/>
        <v>-7.7449339259684086E-2</v>
      </c>
    </row>
    <row r="58" spans="1:30" x14ac:dyDescent="0.2">
      <c r="A58" s="1">
        <v>43132</v>
      </c>
      <c r="B58" s="18">
        <v>8.3726296931925417E-2</v>
      </c>
      <c r="C58" s="19">
        <v>-0.16500000000000001</v>
      </c>
      <c r="D58" s="19">
        <v>6.9999999999999993E-2</v>
      </c>
      <c r="E58" s="19">
        <v>0.13083333333333333</v>
      </c>
      <c r="F58" s="19">
        <v>0.16500000000000001</v>
      </c>
      <c r="G58" s="19">
        <f t="shared" si="10"/>
        <v>9.2246749999999988E-2</v>
      </c>
      <c r="H58" s="19">
        <v>-1.2847046772096249</v>
      </c>
      <c r="I58" s="19">
        <v>-0.695973098228031</v>
      </c>
      <c r="J58" s="22">
        <v>2705.16</v>
      </c>
      <c r="K58" s="24">
        <f t="shared" si="14"/>
        <v>-3.0339092408057988E-2</v>
      </c>
      <c r="L58" s="22">
        <f>L56/3+L59*2/3</f>
        <v>113.58666666666666</v>
      </c>
      <c r="M58" s="19">
        <f t="shared" si="15"/>
        <v>4.1988890367544496E-2</v>
      </c>
      <c r="N58" s="27">
        <v>0.11833333333333333</v>
      </c>
      <c r="O58" s="11">
        <v>-1.1425691586862545</v>
      </c>
      <c r="P58" s="10">
        <f t="shared" si="16"/>
        <v>9.5000000000000015E-2</v>
      </c>
      <c r="Q58" s="10">
        <f t="shared" si="17"/>
        <v>2.6666666666666658E-2</v>
      </c>
      <c r="R58" s="32">
        <v>3.8616666666666702E-2</v>
      </c>
      <c r="S58" s="10">
        <f t="shared" si="18"/>
        <v>-7.971666666666663E-2</v>
      </c>
      <c r="T58" s="32">
        <f t="shared" si="19"/>
        <v>-1.3726296931925425E-2</v>
      </c>
      <c r="U58" s="10">
        <f t="shared" si="25"/>
        <v>-3.3333333333333132E-3</v>
      </c>
      <c r="V58" s="10">
        <f t="shared" si="26"/>
        <v>1.6666666666666358E-3</v>
      </c>
      <c r="W58" s="10">
        <f t="shared" si="20"/>
        <v>-1.3769514272096248</v>
      </c>
      <c r="X58" s="10">
        <f t="shared" si="21"/>
        <v>0.58873157898159389</v>
      </c>
      <c r="Y58" s="10">
        <f t="shared" si="22"/>
        <v>0.66563400581997301</v>
      </c>
      <c r="Z58" s="10">
        <f t="shared" si="23"/>
        <v>0.23499999999999999</v>
      </c>
      <c r="AA58" s="10">
        <f t="shared" si="27"/>
        <v>-1.0000000000000009E-2</v>
      </c>
      <c r="AB58" s="34">
        <v>19.850000000000001</v>
      </c>
      <c r="AC58" s="34">
        <v>46.170839469808556</v>
      </c>
      <c r="AD58" s="10">
        <f t="shared" si="24"/>
        <v>-7.6344442965788836E-2</v>
      </c>
    </row>
    <row r="59" spans="1:30" x14ac:dyDescent="0.2">
      <c r="A59" s="1">
        <v>43160</v>
      </c>
      <c r="B59" s="18">
        <v>8.0496559130192533E-2</v>
      </c>
      <c r="C59" s="19">
        <v>-0.18916666666666668</v>
      </c>
      <c r="D59" s="19">
        <v>7.166666666666667E-2</v>
      </c>
      <c r="E59" s="19">
        <v>0.11833333333333333</v>
      </c>
      <c r="F59" s="19">
        <v>0.14666666666666667</v>
      </c>
      <c r="G59" s="19">
        <f t="shared" si="10"/>
        <v>8.8732666666666668E-2</v>
      </c>
      <c r="H59" s="19">
        <v>0.29010016443874465</v>
      </c>
      <c r="I59" s="19">
        <v>-0.46623483458089199</v>
      </c>
      <c r="J59" s="22">
        <v>2702.77</v>
      </c>
      <c r="K59" s="24">
        <f t="shared" si="14"/>
        <v>-8.8349672477783248E-4</v>
      </c>
      <c r="L59" s="22">
        <v>115.44</v>
      </c>
      <c r="M59" s="19">
        <f t="shared" si="15"/>
        <v>4.2711736477761705E-2</v>
      </c>
      <c r="N59" s="27">
        <v>0.12583333333333332</v>
      </c>
      <c r="O59" s="11">
        <v>-1.4912303020014905</v>
      </c>
      <c r="P59" s="10">
        <f t="shared" si="16"/>
        <v>7.4999999999999997E-2</v>
      </c>
      <c r="Q59" s="10">
        <f t="shared" si="17"/>
        <v>1.8333333333333326E-2</v>
      </c>
      <c r="R59" s="32">
        <v>3.8641666666666699E-2</v>
      </c>
      <c r="S59" s="10">
        <f t="shared" si="18"/>
        <v>-8.7191666666666626E-2</v>
      </c>
      <c r="T59" s="32">
        <f t="shared" si="19"/>
        <v>-8.8298924635258624E-3</v>
      </c>
      <c r="U59" s="10">
        <f t="shared" si="25"/>
        <v>-2.0000000000000018E-2</v>
      </c>
      <c r="V59" s="10">
        <f t="shared" si="26"/>
        <v>-8.3333333333333315E-3</v>
      </c>
      <c r="W59" s="10">
        <f t="shared" si="20"/>
        <v>0.20136749777207796</v>
      </c>
      <c r="X59" s="10">
        <f t="shared" si="21"/>
        <v>-0.75633499901963663</v>
      </c>
      <c r="Y59" s="10">
        <f t="shared" si="22"/>
        <v>0.46535133785611416</v>
      </c>
      <c r="Z59" s="10">
        <f t="shared" si="23"/>
        <v>0.26083333333333336</v>
      </c>
      <c r="AA59" s="10">
        <f t="shared" si="27"/>
        <v>2.5833333333333375E-2</v>
      </c>
      <c r="AB59" s="34">
        <v>19.97</v>
      </c>
      <c r="AC59" s="34">
        <v>1.9397651863195531</v>
      </c>
      <c r="AD59" s="10">
        <f t="shared" si="24"/>
        <v>-8.3121596855571619E-2</v>
      </c>
    </row>
    <row r="60" spans="1:30" x14ac:dyDescent="0.2">
      <c r="A60" s="1">
        <v>43191</v>
      </c>
      <c r="B60" s="18">
        <v>7.5013887655580674E-2</v>
      </c>
      <c r="C60" s="19">
        <v>-0.17916666666666667</v>
      </c>
      <c r="D60" s="19">
        <v>6.9166666666666668E-2</v>
      </c>
      <c r="E60" s="19">
        <v>0.12583333333333332</v>
      </c>
      <c r="F60" s="19">
        <v>0.15666666666666665</v>
      </c>
      <c r="G60" s="19">
        <f t="shared" si="10"/>
        <v>8.9889666666666673E-2</v>
      </c>
      <c r="H60" s="19">
        <v>0.21720706952882418</v>
      </c>
      <c r="I60" s="19">
        <v>0.58200757546355009</v>
      </c>
      <c r="J60" s="22">
        <v>2653.63</v>
      </c>
      <c r="K60" s="24">
        <f t="shared" si="14"/>
        <v>-1.8181347284452531E-2</v>
      </c>
      <c r="L60" s="22">
        <f>L59*2/3+L62/3</f>
        <v>117.78666666666666</v>
      </c>
      <c r="M60" s="19">
        <f t="shared" si="15"/>
        <v>4.4386996931247633E-2</v>
      </c>
      <c r="N60" s="27">
        <v>0.14083333333333334</v>
      </c>
      <c r="O60" s="11">
        <v>2.4711222871909655</v>
      </c>
      <c r="P60" s="10">
        <f t="shared" si="16"/>
        <v>8.7499999999999981E-2</v>
      </c>
      <c r="Q60" s="10">
        <f t="shared" si="17"/>
        <v>2.5833333333333333E-2</v>
      </c>
      <c r="R60" s="32">
        <v>3.8475000000000002E-2</v>
      </c>
      <c r="S60" s="10">
        <f t="shared" si="18"/>
        <v>-0.10235833333333333</v>
      </c>
      <c r="T60" s="32">
        <f t="shared" si="19"/>
        <v>-5.8472209889140064E-3</v>
      </c>
      <c r="U60" s="10">
        <f t="shared" si="25"/>
        <v>1.2499999999999983E-2</v>
      </c>
      <c r="V60" s="10">
        <f t="shared" si="26"/>
        <v>7.5000000000000067E-3</v>
      </c>
      <c r="W60" s="10">
        <f t="shared" si="20"/>
        <v>0.12731740286215751</v>
      </c>
      <c r="X60" s="10">
        <f t="shared" si="21"/>
        <v>0.3648005059347259</v>
      </c>
      <c r="Y60" s="10">
        <f t="shared" si="22"/>
        <v>-0.60018892274800262</v>
      </c>
      <c r="Z60" s="10">
        <f t="shared" si="23"/>
        <v>0.24833333333333335</v>
      </c>
      <c r="AA60" s="10">
        <f t="shared" si="27"/>
        <v>-1.2500000000000011E-2</v>
      </c>
      <c r="AB60" s="34">
        <v>15.93</v>
      </c>
      <c r="AC60" s="34">
        <v>-24.502369668246448</v>
      </c>
      <c r="AD60" s="10">
        <f t="shared" si="24"/>
        <v>-9.6446336402085706E-2</v>
      </c>
    </row>
    <row r="61" spans="1:30" x14ac:dyDescent="0.2">
      <c r="A61" s="1">
        <v>43221</v>
      </c>
      <c r="B61" s="18">
        <v>6.7723719293014198E-2</v>
      </c>
      <c r="C61" s="19">
        <v>-0.19916666666666669</v>
      </c>
      <c r="D61" s="19">
        <v>5.5E-2</v>
      </c>
      <c r="E61" s="19">
        <v>0.11083333333333334</v>
      </c>
      <c r="F61" s="19">
        <v>0.14666666666666667</v>
      </c>
      <c r="G61" s="19">
        <f t="shared" si="10"/>
        <v>7.5418250000000006E-2</v>
      </c>
      <c r="H61" s="19">
        <v>-0.29605567679293898</v>
      </c>
      <c r="I61" s="19">
        <v>-0.17655457309152522</v>
      </c>
      <c r="J61" s="22">
        <v>2701.49</v>
      </c>
      <c r="K61" s="24">
        <f t="shared" si="14"/>
        <v>1.8035671890956895E-2</v>
      </c>
      <c r="L61" s="22">
        <f>L59/3+L62*2/3</f>
        <v>120.13333333333333</v>
      </c>
      <c r="M61" s="19">
        <f t="shared" si="15"/>
        <v>4.4469286702276643E-2</v>
      </c>
      <c r="N61" s="27">
        <v>0.14166666666666666</v>
      </c>
      <c r="O61" s="11">
        <v>1.5632378548125487</v>
      </c>
      <c r="P61" s="10">
        <f t="shared" si="16"/>
        <v>9.1666666666666674E-2</v>
      </c>
      <c r="Q61" s="10">
        <f t="shared" si="17"/>
        <v>2.0000000000000011E-2</v>
      </c>
      <c r="R61" s="32">
        <v>3.7741666666666701E-2</v>
      </c>
      <c r="S61" s="10">
        <f t="shared" si="18"/>
        <v>-0.10392499999999996</v>
      </c>
      <c r="T61" s="32">
        <f t="shared" si="19"/>
        <v>-1.2723719293014198E-2</v>
      </c>
      <c r="U61" s="10">
        <f t="shared" si="25"/>
        <v>4.1666666666666935E-3</v>
      </c>
      <c r="V61" s="10">
        <f t="shared" si="26"/>
        <v>-5.8333333333333223E-3</v>
      </c>
      <c r="W61" s="10">
        <f t="shared" si="20"/>
        <v>-0.371473926792939</v>
      </c>
      <c r="X61" s="10">
        <f t="shared" si="21"/>
        <v>0.11950110370141376</v>
      </c>
      <c r="Y61" s="10">
        <f t="shared" si="22"/>
        <v>0.19459024498248212</v>
      </c>
      <c r="Z61" s="10">
        <f t="shared" si="23"/>
        <v>0.25416666666666671</v>
      </c>
      <c r="AA61" s="10">
        <f t="shared" si="27"/>
        <v>5.833333333333357E-3</v>
      </c>
      <c r="AB61" s="34">
        <v>15.43</v>
      </c>
      <c r="AC61" s="34">
        <v>-2.9559748427672949</v>
      </c>
      <c r="AD61" s="10">
        <f t="shared" si="24"/>
        <v>-9.7197379964390013E-2</v>
      </c>
    </row>
    <row r="62" spans="1:30" x14ac:dyDescent="0.2">
      <c r="A62" s="1">
        <v>43252</v>
      </c>
      <c r="B62" s="18">
        <v>7.4083933022923557E-2</v>
      </c>
      <c r="C62" s="19">
        <v>-0.18416666666666667</v>
      </c>
      <c r="D62" s="19">
        <v>6.4166666666666664E-2</v>
      </c>
      <c r="E62" s="19">
        <v>0.11583333333333333</v>
      </c>
      <c r="F62" s="19">
        <v>0.14916666666666667</v>
      </c>
      <c r="G62" s="19">
        <f t="shared" si="10"/>
        <v>8.3061166666666658E-2</v>
      </c>
      <c r="H62" s="19">
        <v>-0.33014033469940252</v>
      </c>
      <c r="I62" s="19">
        <v>-0.43699005497698229</v>
      </c>
      <c r="J62" s="22">
        <v>2754.35</v>
      </c>
      <c r="K62" s="24">
        <f t="shared" si="14"/>
        <v>1.9566979703793175E-2</v>
      </c>
      <c r="L62" s="22">
        <v>122.48</v>
      </c>
      <c r="M62" s="19">
        <f t="shared" si="15"/>
        <v>4.4467841777551878E-2</v>
      </c>
      <c r="N62" s="27">
        <v>0.15166666666666667</v>
      </c>
      <c r="O62" s="11">
        <v>0.17050584189129772</v>
      </c>
      <c r="P62" s="10">
        <f t="shared" si="16"/>
        <v>8.5000000000000006E-2</v>
      </c>
      <c r="Q62" s="10">
        <f t="shared" si="17"/>
        <v>1.8333333333333326E-2</v>
      </c>
      <c r="R62" s="32">
        <v>3.7558333333333298E-2</v>
      </c>
      <c r="S62" s="10">
        <f t="shared" si="18"/>
        <v>-0.11410833333333337</v>
      </c>
      <c r="T62" s="32">
        <f t="shared" si="19"/>
        <v>-9.917266356256893E-3</v>
      </c>
      <c r="U62" s="10">
        <f t="shared" si="25"/>
        <v>-6.666666666666668E-3</v>
      </c>
      <c r="V62" s="10">
        <f t="shared" si="26"/>
        <v>-1.6666666666666843E-3</v>
      </c>
      <c r="W62" s="10">
        <f t="shared" si="20"/>
        <v>-0.41320150136606915</v>
      </c>
      <c r="X62" s="10">
        <f t="shared" si="21"/>
        <v>-0.10684972027757977</v>
      </c>
      <c r="Y62" s="10">
        <f t="shared" si="22"/>
        <v>0.45655703468077546</v>
      </c>
      <c r="Z62" s="10">
        <f t="shared" si="23"/>
        <v>0.24833333333333335</v>
      </c>
      <c r="AA62" s="10">
        <f t="shared" si="27"/>
        <v>-5.833333333333357E-3</v>
      </c>
      <c r="AB62" s="34">
        <v>16.09</v>
      </c>
      <c r="AC62" s="34">
        <v>26.295133437990572</v>
      </c>
      <c r="AD62" s="10">
        <f t="shared" si="24"/>
        <v>-0.10719882488911479</v>
      </c>
    </row>
    <row r="63" spans="1:30" x14ac:dyDescent="0.2">
      <c r="A63" s="1">
        <v>43282</v>
      </c>
      <c r="B63" s="18">
        <v>8.1397994969325496E-2</v>
      </c>
      <c r="C63" s="19">
        <v>-0.17749999999999999</v>
      </c>
      <c r="D63" s="19">
        <v>6.9166666666666668E-2</v>
      </c>
      <c r="E63" s="19">
        <v>0.12</v>
      </c>
      <c r="F63" s="19">
        <v>0.1525</v>
      </c>
      <c r="G63" s="19">
        <f t="shared" si="10"/>
        <v>8.775641666666667E-2</v>
      </c>
      <c r="H63" s="19">
        <v>0.34295357514689817</v>
      </c>
      <c r="I63" s="19">
        <v>1.5605509469549417</v>
      </c>
      <c r="J63" s="22">
        <v>2793.64</v>
      </c>
      <c r="K63" s="24">
        <f t="shared" si="14"/>
        <v>1.4264708551926963E-2</v>
      </c>
      <c r="L63" s="22">
        <f>L62*2/3+L65/3</f>
        <v>125.11666666666667</v>
      </c>
      <c r="M63" s="19">
        <f t="shared" si="15"/>
        <v>4.4786252583248622E-2</v>
      </c>
      <c r="N63" s="27">
        <v>0.15916666666666665</v>
      </c>
      <c r="O63" s="11">
        <v>1.3282751471537555</v>
      </c>
      <c r="P63" s="10">
        <f t="shared" si="16"/>
        <v>8.3333333333333329E-2</v>
      </c>
      <c r="Q63" s="10">
        <f t="shared" si="17"/>
        <v>1.8333333333333326E-2</v>
      </c>
      <c r="R63" s="32">
        <v>3.7874999999999999E-2</v>
      </c>
      <c r="S63" s="10">
        <f t="shared" si="18"/>
        <v>-0.12129166666666666</v>
      </c>
      <c r="T63" s="32">
        <f t="shared" si="19"/>
        <v>-1.2231328302658828E-2</v>
      </c>
      <c r="U63" s="10">
        <f t="shared" si="25"/>
        <v>-1.6666666666666774E-3</v>
      </c>
      <c r="V63" s="10">
        <f t="shared" si="26"/>
        <v>0</v>
      </c>
      <c r="W63" s="10">
        <f t="shared" si="20"/>
        <v>0.2551971584802315</v>
      </c>
      <c r="X63" s="10">
        <f t="shared" si="21"/>
        <v>1.2175973718080435</v>
      </c>
      <c r="Y63" s="10">
        <f t="shared" si="22"/>
        <v>-1.5462862384030147</v>
      </c>
      <c r="Z63" s="10">
        <f t="shared" si="23"/>
        <v>0.24666666666666665</v>
      </c>
      <c r="AA63" s="10">
        <f t="shared" si="27"/>
        <v>-1.6666666666667052E-3</v>
      </c>
      <c r="AB63" s="34">
        <v>12.83</v>
      </c>
      <c r="AC63" s="34">
        <v>-20.508054522924411</v>
      </c>
      <c r="AD63" s="10">
        <f t="shared" si="24"/>
        <v>-0.11438041408341804</v>
      </c>
    </row>
    <row r="64" spans="1:30" x14ac:dyDescent="0.2">
      <c r="A64" s="1">
        <v>43313</v>
      </c>
      <c r="B64" s="18">
        <v>8.0406711178680229E-2</v>
      </c>
      <c r="C64" s="19">
        <v>-0.18333333333333335</v>
      </c>
      <c r="D64" s="19">
        <v>6.8333333333333329E-2</v>
      </c>
      <c r="E64" s="19">
        <v>0.11749999999999999</v>
      </c>
      <c r="F64" s="19">
        <v>0.1525</v>
      </c>
      <c r="G64" s="19">
        <f t="shared" si="10"/>
        <v>8.6313583333333332E-2</v>
      </c>
      <c r="H64" s="19">
        <v>0.63164197778067255</v>
      </c>
      <c r="I64" s="19">
        <v>0.19739748823834891</v>
      </c>
      <c r="J64" s="22">
        <v>2857.82</v>
      </c>
      <c r="K64" s="24">
        <f t="shared" si="14"/>
        <v>2.2973611488953605E-2</v>
      </c>
      <c r="L64" s="22">
        <f>L62/3+L65*2/3</f>
        <v>127.75333333333333</v>
      </c>
      <c r="M64" s="19">
        <f t="shared" si="15"/>
        <v>4.4703072038593514E-2</v>
      </c>
      <c r="N64" s="27">
        <v>0.15916666666666665</v>
      </c>
      <c r="O64" s="11">
        <v>1.3361896540353232E-2</v>
      </c>
      <c r="P64" s="10">
        <f t="shared" si="16"/>
        <v>8.4166666666666667E-2</v>
      </c>
      <c r="Q64" s="10">
        <f t="shared" si="17"/>
        <v>1.4166666666666661E-2</v>
      </c>
      <c r="R64" s="32">
        <v>5.7591666666666701E-2</v>
      </c>
      <c r="S64" s="10">
        <f t="shared" si="18"/>
        <v>-0.10157499999999994</v>
      </c>
      <c r="T64" s="32">
        <f t="shared" si="19"/>
        <v>-1.20733778453469E-2</v>
      </c>
      <c r="U64" s="10">
        <f t="shared" si="25"/>
        <v>8.333333333333387E-4</v>
      </c>
      <c r="V64" s="10">
        <f t="shared" si="26"/>
        <v>-4.1666666666666657E-3</v>
      </c>
      <c r="W64" s="10">
        <f t="shared" si="20"/>
        <v>0.54532839444733927</v>
      </c>
      <c r="X64" s="10">
        <f t="shared" si="21"/>
        <v>-0.43424448954232364</v>
      </c>
      <c r="Y64" s="10">
        <f t="shared" si="22"/>
        <v>-0.1744238767493953</v>
      </c>
      <c r="Z64" s="10">
        <f t="shared" si="23"/>
        <v>0.25166666666666671</v>
      </c>
      <c r="AA64" s="10">
        <f t="shared" si="27"/>
        <v>5.00000000000006E-3</v>
      </c>
      <c r="AB64" s="34">
        <v>12.86</v>
      </c>
      <c r="AC64" s="34">
        <v>14.108251996450761</v>
      </c>
      <c r="AD64" s="10">
        <f t="shared" si="24"/>
        <v>-0.11446359462807314</v>
      </c>
    </row>
    <row r="65" spans="1:30" x14ac:dyDescent="0.2">
      <c r="A65" s="1">
        <v>43344</v>
      </c>
      <c r="B65" s="18">
        <v>8.8141978029371404E-2</v>
      </c>
      <c r="C65" s="19">
        <v>-0.19583333333333333</v>
      </c>
      <c r="D65" s="19">
        <v>7.8333333333333324E-2</v>
      </c>
      <c r="E65" s="19">
        <v>0.13083333333333333</v>
      </c>
      <c r="F65" s="19">
        <v>0.16416666666666666</v>
      </c>
      <c r="G65" s="19">
        <f t="shared" si="10"/>
        <v>9.7532583333333325E-2</v>
      </c>
      <c r="H65" s="19">
        <v>-1.1011758652192505</v>
      </c>
      <c r="I65" s="19">
        <v>0.27039545245036711</v>
      </c>
      <c r="J65" s="22">
        <v>2901.5</v>
      </c>
      <c r="K65" s="24">
        <f t="shared" si="14"/>
        <v>1.5284377602508226E-2</v>
      </c>
      <c r="L65" s="22">
        <v>130.38999999999999</v>
      </c>
      <c r="M65" s="19">
        <f t="shared" si="15"/>
        <v>4.4938824745821122E-2</v>
      </c>
      <c r="N65" s="27">
        <v>0.16250000000000001</v>
      </c>
      <c r="O65" s="11">
        <v>4.5162099813618559E-2</v>
      </c>
      <c r="P65" s="10">
        <f t="shared" si="16"/>
        <v>8.5833333333333331E-2</v>
      </c>
      <c r="Q65" s="10">
        <f t="shared" si="17"/>
        <v>1.9166666666666679E-2</v>
      </c>
      <c r="R65" s="32">
        <v>5.8433333333333302E-2</v>
      </c>
      <c r="S65" s="10">
        <f t="shared" si="18"/>
        <v>-0.1040666666666667</v>
      </c>
      <c r="T65" s="32">
        <f t="shared" si="19"/>
        <v>-9.8086446960380796E-3</v>
      </c>
      <c r="U65" s="10">
        <f t="shared" si="25"/>
        <v>1.6666666666666635E-3</v>
      </c>
      <c r="V65" s="10">
        <f t="shared" si="26"/>
        <v>5.0000000000000183E-3</v>
      </c>
      <c r="W65" s="10">
        <f t="shared" si="20"/>
        <v>-1.1987084485525838</v>
      </c>
      <c r="X65" s="10">
        <f t="shared" si="21"/>
        <v>1.3715713176696176</v>
      </c>
      <c r="Y65" s="10">
        <f t="shared" si="22"/>
        <v>-0.25511107484785889</v>
      </c>
      <c r="Z65" s="10">
        <f t="shared" si="23"/>
        <v>0.27416666666666667</v>
      </c>
      <c r="AA65" s="10">
        <f t="shared" si="27"/>
        <v>2.2499999999999964E-2</v>
      </c>
      <c r="AB65" s="34">
        <v>12.12</v>
      </c>
      <c r="AC65" s="34">
        <v>-5.7542768273716955</v>
      </c>
      <c r="AD65" s="10">
        <f t="shared" si="24"/>
        <v>-0.11756117525417889</v>
      </c>
    </row>
    <row r="66" spans="1:30" x14ac:dyDescent="0.2">
      <c r="A66" s="1">
        <v>43374</v>
      </c>
      <c r="B66" s="18">
        <v>8.3251525556528413E-2</v>
      </c>
      <c r="C66" s="19">
        <v>-0.18333333333333335</v>
      </c>
      <c r="D66" s="19">
        <v>6.8333333333333329E-2</v>
      </c>
      <c r="E66" s="19">
        <v>0.11916666666666666</v>
      </c>
      <c r="F66" s="19">
        <v>0.15916666666666665</v>
      </c>
      <c r="G66" s="19">
        <f t="shared" si="10"/>
        <v>8.6923083333333331E-2</v>
      </c>
      <c r="H66" s="19">
        <v>0.29058104410678576</v>
      </c>
      <c r="I66" s="19">
        <v>-1.6933105488255773</v>
      </c>
      <c r="J66" s="22">
        <v>2785.46</v>
      </c>
      <c r="K66" s="24">
        <f t="shared" si="14"/>
        <v>-3.9993107013613582E-2</v>
      </c>
      <c r="L66" s="22">
        <f>L65*2/3+L68/3</f>
        <v>131.05666666666667</v>
      </c>
      <c r="M66" s="19">
        <f t="shared" ref="M66:M97" si="28">L66/J66</f>
        <v>4.7050277751849487E-2</v>
      </c>
      <c r="N66" s="27">
        <v>0.1825</v>
      </c>
      <c r="O66" s="11">
        <v>-2.5280472836281653</v>
      </c>
      <c r="P66" s="10">
        <f t="shared" ref="P66:P97" si="29">F66-D66</f>
        <v>9.0833333333333321E-2</v>
      </c>
      <c r="Q66" s="10">
        <f t="shared" ref="Q66:Q97" si="30">2*E66-F66-D66</f>
        <v>1.0833333333333334E-2</v>
      </c>
      <c r="R66" s="32">
        <v>5.8424999999999998E-2</v>
      </c>
      <c r="S66" s="10">
        <f t="shared" ref="S66:S97" si="31">R66-N66</f>
        <v>-0.12407499999999999</v>
      </c>
      <c r="T66" s="32">
        <f t="shared" ref="T66:T97" si="32">D66-B66</f>
        <v>-1.4918192223195084E-2</v>
      </c>
      <c r="U66" s="10">
        <f t="shared" si="25"/>
        <v>4.9999999999999906E-3</v>
      </c>
      <c r="V66" s="10">
        <f t="shared" si="26"/>
        <v>-8.3333333333333454E-3</v>
      </c>
      <c r="W66" s="10">
        <f t="shared" ref="W66:W97" si="33">H66-G66</f>
        <v>0.20365796077345244</v>
      </c>
      <c r="X66" s="10">
        <f t="shared" ref="X66:X97" si="34">I66-H66</f>
        <v>-1.9838915929323631</v>
      </c>
      <c r="Y66" s="10">
        <f t="shared" ref="Y66:Y97" si="35">K66-I66</f>
        <v>1.6533174418119638</v>
      </c>
      <c r="Z66" s="10">
        <f t="shared" ref="Z66:Z97" si="36">D66-C66</f>
        <v>0.25166666666666671</v>
      </c>
      <c r="AA66" s="10">
        <f t="shared" si="27"/>
        <v>-2.2499999999999964E-2</v>
      </c>
      <c r="AB66" s="34">
        <v>21.23</v>
      </c>
      <c r="AC66" s="34">
        <v>49.296765119549924</v>
      </c>
      <c r="AD66" s="10">
        <f t="shared" ref="AD66:AD97" si="37">M66-N66</f>
        <v>-0.13544972224815049</v>
      </c>
    </row>
    <row r="67" spans="1:30" x14ac:dyDescent="0.2">
      <c r="A67" s="1">
        <v>43405</v>
      </c>
      <c r="B67" s="18">
        <v>8.1108849114290241E-2</v>
      </c>
      <c r="C67" s="19">
        <v>-0.19499999999999998</v>
      </c>
      <c r="D67" s="19">
        <v>6.5833333333333341E-2</v>
      </c>
      <c r="E67" s="19">
        <v>0.11416666666666668</v>
      </c>
      <c r="F67" s="19">
        <v>0.17416666666666666</v>
      </c>
      <c r="G67" s="19">
        <f t="shared" ref="G67:G130" si="38">0.3657*E67+(1-0.3657)*D67</f>
        <v>8.3508833333333338E-2</v>
      </c>
      <c r="H67" s="19">
        <v>-2.1070181150175116</v>
      </c>
      <c r="I67" s="19">
        <v>-1.0701033681443928</v>
      </c>
      <c r="J67" s="22">
        <v>2723.23</v>
      </c>
      <c r="K67" s="24">
        <f t="shared" si="14"/>
        <v>-2.2341013692531941E-2</v>
      </c>
      <c r="L67" s="22">
        <f>L65/3+L68*2/3</f>
        <v>131.72333333333333</v>
      </c>
      <c r="M67" s="19">
        <f t="shared" si="28"/>
        <v>4.837025639895761E-2</v>
      </c>
      <c r="N67" s="27">
        <v>0.18333333333333335</v>
      </c>
      <c r="O67" s="11">
        <v>-0.85098504001589137</v>
      </c>
      <c r="P67" s="10">
        <f t="shared" si="29"/>
        <v>0.10833333333333332</v>
      </c>
      <c r="Q67" s="10">
        <f t="shared" si="30"/>
        <v>-1.1666666666666645E-2</v>
      </c>
      <c r="R67" s="32">
        <v>5.8474999999999999E-2</v>
      </c>
      <c r="S67" s="10">
        <f t="shared" si="31"/>
        <v>-0.12485833333333335</v>
      </c>
      <c r="T67" s="32">
        <f t="shared" si="32"/>
        <v>-1.52755157809569E-2</v>
      </c>
      <c r="U67" s="10">
        <f t="shared" ref="U67:U98" si="39">P67-P66</f>
        <v>1.7500000000000002E-2</v>
      </c>
      <c r="V67" s="10">
        <f t="shared" ref="V67:V98" si="40">Q67-Q66</f>
        <v>-2.2499999999999978E-2</v>
      </c>
      <c r="W67" s="10">
        <f t="shared" si="33"/>
        <v>-2.1905269483508447</v>
      </c>
      <c r="X67" s="10">
        <f t="shared" si="34"/>
        <v>1.0369147468731188</v>
      </c>
      <c r="Y67" s="10">
        <f t="shared" si="35"/>
        <v>1.0477623544518608</v>
      </c>
      <c r="Z67" s="10">
        <f t="shared" si="36"/>
        <v>0.26083333333333331</v>
      </c>
      <c r="AA67" s="10">
        <f t="shared" ref="AA67:AA98" si="41">Z67-Z66</f>
        <v>9.1666666666666008E-3</v>
      </c>
      <c r="AB67" s="34">
        <v>18.07</v>
      </c>
      <c r="AC67" s="34">
        <v>-7.3808303434136358</v>
      </c>
      <c r="AD67" s="10">
        <f t="shared" si="37"/>
        <v>-0.13496307693437573</v>
      </c>
    </row>
    <row r="68" spans="1:30" x14ac:dyDescent="0.2">
      <c r="A68" s="1">
        <v>43435</v>
      </c>
      <c r="B68" s="18">
        <v>7.756200351578442E-2</v>
      </c>
      <c r="C68" s="19">
        <v>-0.20666666666666667</v>
      </c>
      <c r="D68" s="19">
        <v>6.4166666666666664E-2</v>
      </c>
      <c r="E68" s="19">
        <v>0.10916666666666668</v>
      </c>
      <c r="F68" s="19">
        <v>0.15583333333333335</v>
      </c>
      <c r="G68" s="19">
        <f t="shared" si="38"/>
        <v>8.0623166666666662E-2</v>
      </c>
      <c r="H68" s="19">
        <v>1.4384825413796376</v>
      </c>
      <c r="I68" s="19">
        <v>-1.4043307996750909</v>
      </c>
      <c r="J68" s="22">
        <v>2567.31</v>
      </c>
      <c r="K68" s="24">
        <f t="shared" ref="K68:K131" si="42">-1+J68/J67</f>
        <v>-5.7255538459843658E-2</v>
      </c>
      <c r="L68" s="22">
        <v>132.38999999999999</v>
      </c>
      <c r="M68" s="19">
        <f t="shared" si="28"/>
        <v>5.1567594096544628E-2</v>
      </c>
      <c r="N68" s="27">
        <v>0.18916666666666668</v>
      </c>
      <c r="O68" s="11">
        <v>-2.5046976641667626</v>
      </c>
      <c r="P68" s="10">
        <f t="shared" si="29"/>
        <v>9.1666666666666688E-2</v>
      </c>
      <c r="Q68" s="10">
        <f t="shared" si="30"/>
        <v>-1.6666666666666635E-3</v>
      </c>
      <c r="R68" s="32">
        <v>5.8549999999999998E-2</v>
      </c>
      <c r="S68" s="10">
        <f t="shared" si="31"/>
        <v>-0.13061666666666669</v>
      </c>
      <c r="T68" s="32">
        <f t="shared" si="32"/>
        <v>-1.3395336849117756E-2</v>
      </c>
      <c r="U68" s="10">
        <f t="shared" si="39"/>
        <v>-1.6666666666666635E-2</v>
      </c>
      <c r="V68" s="10">
        <f t="shared" si="40"/>
        <v>9.9999999999999811E-3</v>
      </c>
      <c r="W68" s="10">
        <f t="shared" si="33"/>
        <v>1.357859374712971</v>
      </c>
      <c r="X68" s="10">
        <f t="shared" si="34"/>
        <v>-2.8428133410547285</v>
      </c>
      <c r="Y68" s="10">
        <f t="shared" si="35"/>
        <v>1.3470752612152472</v>
      </c>
      <c r="Z68" s="10">
        <f t="shared" si="36"/>
        <v>0.27083333333333331</v>
      </c>
      <c r="AA68" s="10">
        <f t="shared" si="41"/>
        <v>1.0000000000000009E-2</v>
      </c>
      <c r="AB68" s="34">
        <v>25.42</v>
      </c>
      <c r="AC68" s="34">
        <v>40.675152185943553</v>
      </c>
      <c r="AD68" s="10">
        <f t="shared" si="37"/>
        <v>-0.13759907257012205</v>
      </c>
    </row>
    <row r="69" spans="1:30" x14ac:dyDescent="0.2">
      <c r="A69" s="1">
        <v>43678</v>
      </c>
      <c r="B69" s="18">
        <v>3.4533037402345201E-2</v>
      </c>
      <c r="C69" s="19">
        <v>-0.26333333333333336</v>
      </c>
      <c r="D69" s="19">
        <v>2.8333333333333335E-2</v>
      </c>
      <c r="E69" s="19">
        <v>3.6666666666666667E-2</v>
      </c>
      <c r="F69" s="19">
        <v>8.4166666666666667E-2</v>
      </c>
      <c r="G69" s="19">
        <f t="shared" si="38"/>
        <v>3.138083333333333E-2</v>
      </c>
      <c r="H69" s="19">
        <v>1.099244979088132</v>
      </c>
      <c r="I69" s="19">
        <v>0.54041365270082187</v>
      </c>
      <c r="J69" s="23">
        <v>2897.4981818181818</v>
      </c>
      <c r="K69" s="24">
        <f t="shared" si="42"/>
        <v>0.12861250952093117</v>
      </c>
      <c r="L69" s="22">
        <f>L67/3+L70*2/3</f>
        <v>132.50777777777779</v>
      </c>
      <c r="M69" s="19">
        <f t="shared" si="28"/>
        <v>4.5731789793437963E-2</v>
      </c>
      <c r="N69" s="27">
        <v>0.17749999999999999</v>
      </c>
      <c r="O69" s="11">
        <v>-1.2793531068196276</v>
      </c>
      <c r="P69" s="10">
        <f t="shared" si="29"/>
        <v>5.5833333333333332E-2</v>
      </c>
      <c r="Q69" s="10">
        <f t="shared" si="30"/>
        <v>-3.9166666666666669E-2</v>
      </c>
      <c r="R69" s="32">
        <v>5.9174999999999998E-2</v>
      </c>
      <c r="S69" s="10">
        <f t="shared" si="31"/>
        <v>-0.11832499999999999</v>
      </c>
      <c r="T69" s="32">
        <f t="shared" si="32"/>
        <v>-6.199704069011866E-3</v>
      </c>
      <c r="U69" s="10">
        <f t="shared" si="39"/>
        <v>-3.5833333333333356E-2</v>
      </c>
      <c r="V69" s="10">
        <f t="shared" si="40"/>
        <v>-3.7500000000000006E-2</v>
      </c>
      <c r="W69" s="10">
        <f t="shared" si="33"/>
        <v>1.0678641457547986</v>
      </c>
      <c r="X69" s="10">
        <f t="shared" si="34"/>
        <v>-0.55883132638731015</v>
      </c>
      <c r="Y69" s="10">
        <f t="shared" si="35"/>
        <v>-0.41180114317989069</v>
      </c>
      <c r="Z69" s="10">
        <f t="shared" si="36"/>
        <v>0.29166666666666669</v>
      </c>
      <c r="AA69" s="10">
        <f t="shared" si="41"/>
        <v>2.083333333333337E-2</v>
      </c>
      <c r="AB69" s="34">
        <v>18.98</v>
      </c>
      <c r="AC69" s="34">
        <v>-22.814152094347296</v>
      </c>
      <c r="AD69" s="10">
        <f t="shared" si="37"/>
        <v>-0.13176821020656204</v>
      </c>
    </row>
    <row r="70" spans="1:30" x14ac:dyDescent="0.2">
      <c r="A70" s="1">
        <v>43709</v>
      </c>
      <c r="B70" s="18">
        <v>3.3571798456360984E-2</v>
      </c>
      <c r="C70" s="19">
        <v>-0.27416666666666667</v>
      </c>
      <c r="D70" s="19">
        <v>2.3333333333333334E-2</v>
      </c>
      <c r="E70" s="19">
        <v>3.8333333333333337E-2</v>
      </c>
      <c r="F70" s="19">
        <v>8.1666666666666665E-2</v>
      </c>
      <c r="G70" s="19">
        <f t="shared" si="38"/>
        <v>2.8818833333333335E-2</v>
      </c>
      <c r="H70" s="19">
        <v>2.475666348332739E-2</v>
      </c>
      <c r="I70" s="19">
        <v>-6.9943022593499382E-2</v>
      </c>
      <c r="J70" s="23">
        <v>2982.1559999999999</v>
      </c>
      <c r="K70" s="24">
        <f t="shared" si="42"/>
        <v>2.9217556964503455E-2</v>
      </c>
      <c r="L70" s="22">
        <v>132.9</v>
      </c>
      <c r="M70" s="19">
        <f t="shared" si="28"/>
        <v>4.4565073054528337E-2</v>
      </c>
      <c r="N70" s="27">
        <v>0.17</v>
      </c>
      <c r="O70" s="11">
        <v>1.3201728926043841</v>
      </c>
      <c r="P70" s="10">
        <f t="shared" si="29"/>
        <v>5.8333333333333334E-2</v>
      </c>
      <c r="Q70" s="10">
        <f t="shared" si="30"/>
        <v>-2.8333333333333325E-2</v>
      </c>
      <c r="R70" s="32">
        <v>5.9150000000000001E-2</v>
      </c>
      <c r="S70" s="10">
        <f t="shared" si="31"/>
        <v>-0.11085</v>
      </c>
      <c r="T70" s="32">
        <f t="shared" si="32"/>
        <v>-1.0238465123027649E-2</v>
      </c>
      <c r="U70" s="10">
        <f t="shared" si="39"/>
        <v>2.5000000000000022E-3</v>
      </c>
      <c r="V70" s="10">
        <f t="shared" si="40"/>
        <v>1.0833333333333344E-2</v>
      </c>
      <c r="W70" s="10">
        <f t="shared" si="33"/>
        <v>-4.062169850005945E-3</v>
      </c>
      <c r="X70" s="10">
        <f t="shared" si="34"/>
        <v>-9.4699686076826772E-2</v>
      </c>
      <c r="Y70" s="10">
        <f t="shared" si="35"/>
        <v>9.9160579558002837E-2</v>
      </c>
      <c r="Z70" s="10">
        <f t="shared" si="36"/>
        <v>0.29749999999999999</v>
      </c>
      <c r="AA70" s="10">
        <f t="shared" si="41"/>
        <v>5.8333333333333015E-3</v>
      </c>
      <c r="AB70" s="34">
        <v>16.239999999999998</v>
      </c>
      <c r="AC70" s="34">
        <v>-17.395727365208558</v>
      </c>
      <c r="AD70" s="10">
        <f t="shared" si="37"/>
        <v>-0.12543492694547168</v>
      </c>
    </row>
    <row r="71" spans="1:30" x14ac:dyDescent="0.2">
      <c r="A71" s="1">
        <v>43739</v>
      </c>
      <c r="B71" s="18">
        <v>4.3908615231072957E-2</v>
      </c>
      <c r="C71" s="19">
        <v>-0.21916666666666665</v>
      </c>
      <c r="D71" s="19">
        <v>3.4999999999999996E-2</v>
      </c>
      <c r="E71" s="19">
        <v>4.9999999999999996E-2</v>
      </c>
      <c r="F71" s="19">
        <v>9.4999999999999987E-2</v>
      </c>
      <c r="G71" s="19">
        <f t="shared" si="38"/>
        <v>4.0485499999999994E-2</v>
      </c>
      <c r="H71" s="19">
        <v>-0.21292051070870288</v>
      </c>
      <c r="I71" s="19">
        <v>0.10415197912077012</v>
      </c>
      <c r="J71" s="23">
        <v>2977.68</v>
      </c>
      <c r="K71" s="24">
        <f t="shared" si="42"/>
        <v>-1.5009275168703651E-3</v>
      </c>
      <c r="L71" s="22">
        <f>L70*2/3+L73/3</f>
        <v>135.09</v>
      </c>
      <c r="M71" s="19">
        <f t="shared" si="28"/>
        <v>4.5367534456355288E-2</v>
      </c>
      <c r="N71" s="27">
        <v>0.1525</v>
      </c>
      <c r="O71" s="11">
        <v>-0.83998798555617005</v>
      </c>
      <c r="P71" s="10">
        <f t="shared" si="29"/>
        <v>5.9999999999999991E-2</v>
      </c>
      <c r="Q71" s="10">
        <f t="shared" si="30"/>
        <v>-2.9999999999999992E-2</v>
      </c>
      <c r="R71" s="32">
        <v>5.9233333333333298E-2</v>
      </c>
      <c r="S71" s="10">
        <f t="shared" si="31"/>
        <v>-9.3266666666666692E-2</v>
      </c>
      <c r="T71" s="32">
        <f t="shared" si="32"/>
        <v>-8.908615231072961E-3</v>
      </c>
      <c r="U71" s="10">
        <f t="shared" si="39"/>
        <v>1.6666666666666566E-3</v>
      </c>
      <c r="V71" s="10">
        <f t="shared" si="40"/>
        <v>-1.666666666666667E-3</v>
      </c>
      <c r="W71" s="10">
        <f t="shared" si="33"/>
        <v>-0.25340601070870289</v>
      </c>
      <c r="X71" s="10">
        <f t="shared" si="34"/>
        <v>0.317072489829473</v>
      </c>
      <c r="Y71" s="10">
        <f t="shared" si="35"/>
        <v>-0.10565290663764049</v>
      </c>
      <c r="Z71" s="10">
        <f t="shared" si="36"/>
        <v>0.25416666666666665</v>
      </c>
      <c r="AA71" s="10">
        <f t="shared" si="41"/>
        <v>-4.3333333333333335E-2</v>
      </c>
      <c r="AB71" s="34">
        <v>13.22</v>
      </c>
      <c r="AC71" s="34">
        <v>-22.417840375586849</v>
      </c>
      <c r="AD71" s="10">
        <f t="shared" si="37"/>
        <v>-0.10713246554364471</v>
      </c>
    </row>
    <row r="72" spans="1:30" x14ac:dyDescent="0.2">
      <c r="A72" s="1">
        <v>43770</v>
      </c>
      <c r="B72" s="18">
        <v>4.8308011553664792E-2</v>
      </c>
      <c r="C72" s="19">
        <v>-0.20333333333333334</v>
      </c>
      <c r="D72" s="19">
        <v>4.1666666666666664E-2</v>
      </c>
      <c r="E72" s="19">
        <v>5.6666666666666671E-2</v>
      </c>
      <c r="F72" s="19">
        <v>0.10083333333333333</v>
      </c>
      <c r="G72" s="19">
        <f t="shared" si="38"/>
        <v>4.7152166666666662E-2</v>
      </c>
      <c r="H72" s="19">
        <v>-0.15656717075422932</v>
      </c>
      <c r="I72" s="19">
        <v>0.70032982821167655</v>
      </c>
      <c r="J72" s="23">
        <v>3104.9044999999996</v>
      </c>
      <c r="K72" s="24">
        <f t="shared" si="42"/>
        <v>4.2726048467263134E-2</v>
      </c>
      <c r="L72" s="22">
        <f>L70/3+L73*2/3</f>
        <v>137.28</v>
      </c>
      <c r="M72" s="19">
        <f t="shared" si="28"/>
        <v>4.4213920267112891E-2</v>
      </c>
      <c r="N72" s="27">
        <v>0.12916666666666668</v>
      </c>
      <c r="O72" s="11">
        <v>1.3072997744824202</v>
      </c>
      <c r="P72" s="10">
        <f t="shared" si="29"/>
        <v>5.9166666666666666E-2</v>
      </c>
      <c r="Q72" s="10">
        <f t="shared" si="30"/>
        <v>-2.9166666666666653E-2</v>
      </c>
      <c r="R72" s="32">
        <v>5.92083333333333E-2</v>
      </c>
      <c r="S72" s="10">
        <f t="shared" si="31"/>
        <v>-6.9958333333333372E-2</v>
      </c>
      <c r="T72" s="32">
        <f t="shared" si="32"/>
        <v>-6.6413448869981281E-3</v>
      </c>
      <c r="U72" s="10">
        <f t="shared" si="39"/>
        <v>-8.3333333333332482E-4</v>
      </c>
      <c r="V72" s="10">
        <f t="shared" si="40"/>
        <v>8.333333333333387E-4</v>
      </c>
      <c r="W72" s="10">
        <f t="shared" si="33"/>
        <v>-0.20371933742089599</v>
      </c>
      <c r="X72" s="10">
        <f t="shared" si="34"/>
        <v>0.85689699896590588</v>
      </c>
      <c r="Y72" s="10">
        <f t="shared" si="35"/>
        <v>-0.65760377974441342</v>
      </c>
      <c r="Z72" s="10">
        <f t="shared" si="36"/>
        <v>0.245</v>
      </c>
      <c r="AA72" s="10">
        <f t="shared" si="41"/>
        <v>-9.1666666666666563E-3</v>
      </c>
      <c r="AB72" s="34">
        <v>12.62</v>
      </c>
      <c r="AC72" s="34">
        <v>2.6016260162601501</v>
      </c>
      <c r="AD72" s="10">
        <f t="shared" si="37"/>
        <v>-8.4952746399553788E-2</v>
      </c>
    </row>
    <row r="73" spans="1:30" x14ac:dyDescent="0.2">
      <c r="A73" s="1">
        <v>43800</v>
      </c>
      <c r="B73" s="18">
        <v>5.3160670087656403E-2</v>
      </c>
      <c r="C73" s="19">
        <v>-0.20333333333333334</v>
      </c>
      <c r="D73" s="19">
        <v>4.4166666666666667E-2</v>
      </c>
      <c r="E73" s="19">
        <v>6.8333333333333329E-2</v>
      </c>
      <c r="F73" s="19">
        <v>0.11166666666666668</v>
      </c>
      <c r="G73" s="19">
        <f t="shared" si="38"/>
        <v>5.3004416666666665E-2</v>
      </c>
      <c r="H73" s="19">
        <v>-1.5032510215795547E-2</v>
      </c>
      <c r="I73" s="19">
        <v>1.3420566156418068</v>
      </c>
      <c r="J73" s="23">
        <v>3176.7495238095235</v>
      </c>
      <c r="K73" s="24">
        <f t="shared" si="42"/>
        <v>2.3139205669457485E-2</v>
      </c>
      <c r="L73" s="22">
        <v>139.47</v>
      </c>
      <c r="M73" s="19">
        <f t="shared" si="28"/>
        <v>4.3903366933616184E-2</v>
      </c>
      <c r="N73" s="27">
        <v>0.12916666666666668</v>
      </c>
      <c r="O73" s="11">
        <v>0.79930043255834871</v>
      </c>
      <c r="P73" s="10">
        <f t="shared" si="29"/>
        <v>6.7500000000000004E-2</v>
      </c>
      <c r="Q73" s="10">
        <f t="shared" si="30"/>
        <v>-1.9166666666666686E-2</v>
      </c>
      <c r="R73" s="32">
        <v>5.9174999999999998E-2</v>
      </c>
      <c r="S73" s="10">
        <f t="shared" si="31"/>
        <v>-6.9991666666666674E-2</v>
      </c>
      <c r="T73" s="32">
        <f t="shared" si="32"/>
        <v>-8.9940034209897365E-3</v>
      </c>
      <c r="U73" s="10">
        <f t="shared" si="39"/>
        <v>8.3333333333333384E-3</v>
      </c>
      <c r="V73" s="10">
        <f t="shared" si="40"/>
        <v>9.9999999999999672E-3</v>
      </c>
      <c r="W73" s="10">
        <f t="shared" si="33"/>
        <v>-6.8036926882462212E-2</v>
      </c>
      <c r="X73" s="10">
        <f t="shared" si="34"/>
        <v>1.3570891258576023</v>
      </c>
      <c r="Y73" s="10">
        <f t="shared" si="35"/>
        <v>-1.3189174099723493</v>
      </c>
      <c r="Z73" s="10">
        <f t="shared" si="36"/>
        <v>0.2475</v>
      </c>
      <c r="AA73" s="10">
        <f t="shared" si="41"/>
        <v>2.5000000000000022E-3</v>
      </c>
      <c r="AB73" s="34">
        <v>13.78</v>
      </c>
      <c r="AC73" s="34">
        <v>-13.659147869674193</v>
      </c>
      <c r="AD73" s="10">
        <f t="shared" si="37"/>
        <v>-8.5263299733050496E-2</v>
      </c>
    </row>
    <row r="74" spans="1:30" x14ac:dyDescent="0.2">
      <c r="A74" s="1">
        <v>43831</v>
      </c>
      <c r="B74" s="18">
        <v>3.8702133395773754E-2</v>
      </c>
      <c r="C74" s="19">
        <v>-0.21249999999999999</v>
      </c>
      <c r="D74" s="19">
        <v>3.4166666666666665E-2</v>
      </c>
      <c r="E74" s="19">
        <v>4.4166666666666667E-2</v>
      </c>
      <c r="F74" s="19">
        <v>8.5833333333333331E-2</v>
      </c>
      <c r="G74" s="19">
        <f t="shared" si="38"/>
        <v>3.7823666666666665E-2</v>
      </c>
      <c r="H74" s="19">
        <v>3.1376303567427266</v>
      </c>
      <c r="I74" s="19">
        <v>-0.40229331999849238</v>
      </c>
      <c r="J74" s="23">
        <v>3278.2028571428577</v>
      </c>
      <c r="K74" s="24">
        <f t="shared" si="42"/>
        <v>3.1936207929818883E-2</v>
      </c>
      <c r="L74" s="22">
        <f>L73*2/3+L76/3</f>
        <v>131.75666666666666</v>
      </c>
      <c r="M74" s="19">
        <f t="shared" si="28"/>
        <v>4.0191736877900279E-2</v>
      </c>
      <c r="N74" s="27">
        <v>0.12916666666666668</v>
      </c>
      <c r="O74" s="11">
        <v>-2.1093949631446327E-2</v>
      </c>
      <c r="P74" s="10">
        <f t="shared" si="29"/>
        <v>5.1666666666666666E-2</v>
      </c>
      <c r="Q74" s="10">
        <f t="shared" si="30"/>
        <v>-3.1666666666666662E-2</v>
      </c>
      <c r="R74" s="32">
        <v>5.9275000000000001E-2</v>
      </c>
      <c r="S74" s="10">
        <f t="shared" si="31"/>
        <v>-6.9891666666666685E-2</v>
      </c>
      <c r="T74" s="32">
        <f t="shared" si="32"/>
        <v>-4.5354667291070891E-3</v>
      </c>
      <c r="U74" s="10">
        <f t="shared" si="39"/>
        <v>-1.5833333333333338E-2</v>
      </c>
      <c r="V74" s="10">
        <f t="shared" si="40"/>
        <v>-1.2499999999999976E-2</v>
      </c>
      <c r="W74" s="10">
        <f t="shared" si="33"/>
        <v>3.0998066900760599</v>
      </c>
      <c r="X74" s="10">
        <f t="shared" si="34"/>
        <v>-3.539923676741219</v>
      </c>
      <c r="Y74" s="10">
        <f t="shared" si="35"/>
        <v>0.43422952792831127</v>
      </c>
      <c r="Z74" s="10">
        <f t="shared" si="36"/>
        <v>0.24666666666666665</v>
      </c>
      <c r="AA74" s="10">
        <f t="shared" si="41"/>
        <v>-8.3333333333335258E-4</v>
      </c>
      <c r="AB74" s="34">
        <v>18.84</v>
      </c>
      <c r="AC74" s="34">
        <v>34.379457917261071</v>
      </c>
      <c r="AD74" s="10">
        <f t="shared" si="37"/>
        <v>-8.8974929788766394E-2</v>
      </c>
    </row>
    <row r="75" spans="1:30" x14ac:dyDescent="0.2">
      <c r="A75" s="1">
        <v>43862</v>
      </c>
      <c r="B75" s="18">
        <v>2.9348789034280745E-2</v>
      </c>
      <c r="C75" s="19">
        <v>-0.20916666666666664</v>
      </c>
      <c r="D75" s="19">
        <v>2.4999999999999998E-2</v>
      </c>
      <c r="E75" s="19">
        <v>3.5833333333333335E-2</v>
      </c>
      <c r="F75" s="19">
        <v>7.8333333333333324E-2</v>
      </c>
      <c r="G75" s="19">
        <f t="shared" si="38"/>
        <v>2.8961749999999998E-2</v>
      </c>
      <c r="H75" s="19">
        <v>-1.5466792048922984</v>
      </c>
      <c r="I75" s="19">
        <v>-1.399204221100403</v>
      </c>
      <c r="J75" s="23">
        <v>3277.3142105263164</v>
      </c>
      <c r="K75" s="24">
        <f t="shared" si="42"/>
        <v>-2.7107737234899343E-4</v>
      </c>
      <c r="L75" s="22">
        <f>L73/3+L76*2/3</f>
        <v>124.04333333333332</v>
      </c>
      <c r="M75" s="19">
        <f t="shared" si="28"/>
        <v>3.7849081706881178E-2</v>
      </c>
      <c r="N75" s="27">
        <v>0.13166666666666668</v>
      </c>
      <c r="O75" s="11">
        <v>-4.1526948243374111</v>
      </c>
      <c r="P75" s="10">
        <f t="shared" si="29"/>
        <v>5.333333333333333E-2</v>
      </c>
      <c r="Q75" s="10">
        <f t="shared" si="30"/>
        <v>-3.1666666666666649E-2</v>
      </c>
      <c r="R75" s="32">
        <v>5.9200000000000003E-2</v>
      </c>
      <c r="S75" s="10">
        <f t="shared" si="31"/>
        <v>-7.2466666666666679E-2</v>
      </c>
      <c r="T75" s="32">
        <f t="shared" si="32"/>
        <v>-4.3487890342807471E-3</v>
      </c>
      <c r="U75" s="10">
        <f t="shared" si="39"/>
        <v>1.6666666666666635E-3</v>
      </c>
      <c r="V75" s="10">
        <f t="shared" si="40"/>
        <v>0</v>
      </c>
      <c r="W75" s="10">
        <f t="shared" si="33"/>
        <v>-1.5756409548922983</v>
      </c>
      <c r="X75" s="10">
        <f t="shared" si="34"/>
        <v>0.14747498379189539</v>
      </c>
      <c r="Y75" s="10">
        <f t="shared" si="35"/>
        <v>1.3989331437280539</v>
      </c>
      <c r="Z75" s="10">
        <f t="shared" si="36"/>
        <v>0.23416666666666663</v>
      </c>
      <c r="AA75" s="10">
        <f t="shared" si="41"/>
        <v>-1.2500000000000011E-2</v>
      </c>
      <c r="AB75" s="34">
        <v>40.11</v>
      </c>
      <c r="AC75" s="34">
        <v>112.8980891719745</v>
      </c>
      <c r="AD75" s="10">
        <f t="shared" si="37"/>
        <v>-9.381758495978551E-2</v>
      </c>
    </row>
    <row r="76" spans="1:30" x14ac:dyDescent="0.2">
      <c r="A76" s="1">
        <v>43891</v>
      </c>
      <c r="B76" s="18">
        <v>1.4933255198471966E-2</v>
      </c>
      <c r="C76" s="19">
        <v>-0.20916666666666664</v>
      </c>
      <c r="D76" s="19">
        <v>1.2499999999999999E-2</v>
      </c>
      <c r="E76" s="19">
        <v>0.03</v>
      </c>
      <c r="F76" s="19">
        <v>7.166666666666667E-2</v>
      </c>
      <c r="G76" s="19">
        <f t="shared" si="38"/>
        <v>1.889975E-2</v>
      </c>
      <c r="H76" s="19">
        <v>-6.5704970600260575</v>
      </c>
      <c r="I76" s="19">
        <v>-12.406722935675457</v>
      </c>
      <c r="J76" s="23">
        <v>2652.3936363636367</v>
      </c>
      <c r="K76" s="24">
        <f t="shared" si="42"/>
        <v>-0.19068070194658615</v>
      </c>
      <c r="L76" s="22">
        <v>116.33</v>
      </c>
      <c r="M76" s="19">
        <f t="shared" si="28"/>
        <v>4.3858497624615564E-2</v>
      </c>
      <c r="N76" s="27">
        <v>5.4166666666666669E-2</v>
      </c>
      <c r="O76" s="11">
        <v>-7.0047284893671877</v>
      </c>
      <c r="P76" s="10">
        <f t="shared" si="29"/>
        <v>5.9166666666666673E-2</v>
      </c>
      <c r="Q76" s="10">
        <f t="shared" si="30"/>
        <v>-2.416666666666667E-2</v>
      </c>
      <c r="R76" s="32">
        <v>2.6599999999999999E-2</v>
      </c>
      <c r="S76" s="10">
        <f t="shared" si="31"/>
        <v>-2.756666666666667E-2</v>
      </c>
      <c r="T76" s="32">
        <f t="shared" si="32"/>
        <v>-2.4332551984719668E-3</v>
      </c>
      <c r="U76" s="10">
        <f t="shared" si="39"/>
        <v>5.8333333333333431E-3</v>
      </c>
      <c r="V76" s="10">
        <f t="shared" si="40"/>
        <v>7.4999999999999789E-3</v>
      </c>
      <c r="W76" s="10">
        <f t="shared" si="33"/>
        <v>-6.5893968100260576</v>
      </c>
      <c r="X76" s="10">
        <f t="shared" si="34"/>
        <v>-5.8362258756493999</v>
      </c>
      <c r="Y76" s="10">
        <f t="shared" si="35"/>
        <v>12.216042233728871</v>
      </c>
      <c r="Z76" s="10">
        <f t="shared" si="36"/>
        <v>0.22166666666666665</v>
      </c>
      <c r="AA76" s="10">
        <f t="shared" si="41"/>
        <v>-1.2499999999999983E-2</v>
      </c>
      <c r="AB76" s="34">
        <v>53.54</v>
      </c>
      <c r="AC76" s="34">
        <v>67.3648015004689</v>
      </c>
      <c r="AD76" s="10">
        <f t="shared" si="37"/>
        <v>-1.0308169042051105E-2</v>
      </c>
    </row>
    <row r="77" spans="1:30" x14ac:dyDescent="0.2">
      <c r="A77" s="1">
        <v>43922</v>
      </c>
      <c r="B77" s="18">
        <v>9.2215606174244954E-3</v>
      </c>
      <c r="C77" s="19">
        <v>-0.20083333333333334</v>
      </c>
      <c r="D77" s="19">
        <v>3.3333333333333335E-3</v>
      </c>
      <c r="E77" s="19">
        <v>0.02</v>
      </c>
      <c r="F77" s="19">
        <v>5.0833333333333335E-2</v>
      </c>
      <c r="G77" s="19">
        <f t="shared" si="38"/>
        <v>9.4283333333333337E-3</v>
      </c>
      <c r="H77" s="19">
        <v>7.3759870069096234</v>
      </c>
      <c r="I77" s="19">
        <v>5.5398238509824509</v>
      </c>
      <c r="J77" s="23">
        <v>2761.9752380952382</v>
      </c>
      <c r="K77" s="24">
        <f t="shared" si="42"/>
        <v>4.1314230372621052E-2</v>
      </c>
      <c r="L77" s="22">
        <f>L76*2/3+L79/3</f>
        <v>110.63</v>
      </c>
      <c r="M77" s="19">
        <f t="shared" si="28"/>
        <v>4.0054667570551643E-2</v>
      </c>
      <c r="N77" s="27">
        <v>4.1666666666666666E-3</v>
      </c>
      <c r="O77" s="11">
        <v>4.5018822436456931</v>
      </c>
      <c r="P77" s="10">
        <f t="shared" si="29"/>
        <v>4.7500000000000001E-2</v>
      </c>
      <c r="Q77" s="10">
        <f t="shared" si="30"/>
        <v>-1.4166666666666668E-2</v>
      </c>
      <c r="R77" s="32">
        <v>5.4916666666666699E-3</v>
      </c>
      <c r="S77" s="10">
        <f t="shared" si="31"/>
        <v>1.3250000000000033E-3</v>
      </c>
      <c r="T77" s="32">
        <f t="shared" si="32"/>
        <v>-5.8882272840911614E-3</v>
      </c>
      <c r="U77" s="10">
        <f t="shared" si="39"/>
        <v>-1.1666666666666672E-2</v>
      </c>
      <c r="V77" s="10">
        <f t="shared" si="40"/>
        <v>1.0000000000000002E-2</v>
      </c>
      <c r="W77" s="10">
        <f t="shared" si="33"/>
        <v>7.3665586735762902</v>
      </c>
      <c r="X77" s="10">
        <f t="shared" si="34"/>
        <v>-1.8361631559271725</v>
      </c>
      <c r="Y77" s="10">
        <f t="shared" si="35"/>
        <v>-5.4985096206098296</v>
      </c>
      <c r="Z77" s="10">
        <f t="shared" si="36"/>
        <v>0.20416666666666666</v>
      </c>
      <c r="AA77" s="10">
        <f t="shared" si="41"/>
        <v>-1.7499999999999988E-2</v>
      </c>
      <c r="AB77" s="34">
        <v>34.15</v>
      </c>
      <c r="AC77" s="34">
        <v>-32.920840699273221</v>
      </c>
      <c r="AD77" s="10">
        <f t="shared" si="37"/>
        <v>3.5888000903884977E-2</v>
      </c>
    </row>
    <row r="78" spans="1:30" x14ac:dyDescent="0.2">
      <c r="A78" s="1">
        <v>43952</v>
      </c>
      <c r="B78" s="18">
        <v>-1.5163443370484896E-4</v>
      </c>
      <c r="C78" s="19">
        <v>-0.23833333333333331</v>
      </c>
      <c r="D78" s="19">
        <v>-4.1666666666666666E-3</v>
      </c>
      <c r="E78" s="19">
        <v>1.4999999999999999E-2</v>
      </c>
      <c r="F78" s="19">
        <v>4.9999999999999996E-2</v>
      </c>
      <c r="G78" s="19">
        <f t="shared" si="38"/>
        <v>2.8425833333333332E-3</v>
      </c>
      <c r="H78" s="19">
        <v>1.0945043766326212</v>
      </c>
      <c r="I78" s="19">
        <v>3.3015688736597322</v>
      </c>
      <c r="J78" s="23">
        <v>2919.6149999999998</v>
      </c>
      <c r="K78" s="24">
        <f t="shared" si="42"/>
        <v>5.7075009120456821E-2</v>
      </c>
      <c r="L78" s="22">
        <f>L76/3+L79*2/3</f>
        <v>104.93</v>
      </c>
      <c r="M78" s="19">
        <f t="shared" si="28"/>
        <v>3.5939670127739451E-2</v>
      </c>
      <c r="N78" s="27">
        <v>4.1666666666666666E-3</v>
      </c>
      <c r="O78" s="11">
        <v>2.7070180675265525</v>
      </c>
      <c r="P78" s="10">
        <f t="shared" si="29"/>
        <v>5.4166666666666662E-2</v>
      </c>
      <c r="Q78" s="10">
        <f t="shared" si="30"/>
        <v>-1.5833333333333331E-2</v>
      </c>
      <c r="R78" s="32">
        <v>5.61666666666667E-3</v>
      </c>
      <c r="S78" s="10">
        <f t="shared" si="31"/>
        <v>1.4500000000000034E-3</v>
      </c>
      <c r="T78" s="32">
        <f t="shared" si="32"/>
        <v>-4.0150322329618173E-3</v>
      </c>
      <c r="U78" s="10">
        <f t="shared" si="39"/>
        <v>6.666666666666661E-3</v>
      </c>
      <c r="V78" s="10">
        <f t="shared" si="40"/>
        <v>-1.6666666666666635E-3</v>
      </c>
      <c r="W78" s="10">
        <f t="shared" si="33"/>
        <v>1.0916617932992878</v>
      </c>
      <c r="X78" s="10">
        <f t="shared" si="34"/>
        <v>2.2070644970271109</v>
      </c>
      <c r="Y78" s="10">
        <f t="shared" si="35"/>
        <v>-3.2444938645392751</v>
      </c>
      <c r="Z78" s="10">
        <f t="shared" si="36"/>
        <v>0.23416666666666663</v>
      </c>
      <c r="AA78" s="10">
        <f t="shared" si="41"/>
        <v>2.9999999999999971E-2</v>
      </c>
      <c r="AB78" s="34">
        <v>27.51</v>
      </c>
      <c r="AC78" s="34">
        <v>-26.028502285560627</v>
      </c>
      <c r="AD78" s="10">
        <f t="shared" si="37"/>
        <v>3.1773003461072785E-2</v>
      </c>
    </row>
    <row r="79" spans="1:30" x14ac:dyDescent="0.2">
      <c r="A79" s="1">
        <v>43983</v>
      </c>
      <c r="B79" s="18">
        <v>-2.605708487541008E-3</v>
      </c>
      <c r="C79" s="19">
        <v>-0.22916666666666666</v>
      </c>
      <c r="D79" s="19">
        <v>-7.4999999999999997E-3</v>
      </c>
      <c r="E79" s="19">
        <v>1.5833333333333335E-2</v>
      </c>
      <c r="F79" s="19">
        <v>5.5E-2</v>
      </c>
      <c r="G79" s="19">
        <f t="shared" si="38"/>
        <v>1.0330000000000018E-3</v>
      </c>
      <c r="H79" s="19">
        <v>1.0174081457846373</v>
      </c>
      <c r="I79" s="19">
        <v>1.0358802667576716</v>
      </c>
      <c r="J79" s="23">
        <v>3104.6609090909087</v>
      </c>
      <c r="K79" s="24">
        <f t="shared" si="42"/>
        <v>6.3380243316639051E-2</v>
      </c>
      <c r="L79" s="22">
        <v>99.23</v>
      </c>
      <c r="M79" s="19">
        <f t="shared" si="28"/>
        <v>3.196162251067091E-2</v>
      </c>
      <c r="N79" s="27">
        <v>6.6666666666666671E-3</v>
      </c>
      <c r="O79" s="11">
        <v>1.4570599695124704</v>
      </c>
      <c r="P79" s="10">
        <f t="shared" si="29"/>
        <v>6.25E-2</v>
      </c>
      <c r="Q79" s="10">
        <f t="shared" si="30"/>
        <v>-1.5833333333333331E-2</v>
      </c>
      <c r="R79" s="32">
        <v>5.3833333333333303E-3</v>
      </c>
      <c r="S79" s="10">
        <f t="shared" si="31"/>
        <v>-1.2833333333333368E-3</v>
      </c>
      <c r="T79" s="32">
        <f t="shared" si="32"/>
        <v>-4.8942915124589922E-3</v>
      </c>
      <c r="U79" s="10">
        <f t="shared" si="39"/>
        <v>8.3333333333333384E-3</v>
      </c>
      <c r="V79" s="10">
        <f t="shared" si="40"/>
        <v>0</v>
      </c>
      <c r="W79" s="10">
        <f t="shared" si="33"/>
        <v>1.0163751457846373</v>
      </c>
      <c r="X79" s="10">
        <f t="shared" si="34"/>
        <v>1.8472120973034301E-2</v>
      </c>
      <c r="Y79" s="10">
        <f t="shared" si="35"/>
        <v>-0.97250002344103259</v>
      </c>
      <c r="Z79" s="10">
        <f t="shared" si="36"/>
        <v>0.22166666666666665</v>
      </c>
      <c r="AA79" s="10">
        <f t="shared" si="41"/>
        <v>-1.2499999999999983E-2</v>
      </c>
      <c r="AB79" s="34">
        <v>30.43</v>
      </c>
      <c r="AC79" s="34">
        <v>18.589243959469993</v>
      </c>
      <c r="AD79" s="10">
        <f t="shared" si="37"/>
        <v>2.5294955844004242E-2</v>
      </c>
    </row>
    <row r="80" spans="1:30" x14ac:dyDescent="0.2">
      <c r="A80" s="1">
        <v>44013</v>
      </c>
      <c r="B80" s="18">
        <v>-6.5989265820683768E-3</v>
      </c>
      <c r="C80" s="19">
        <v>-0.24750000000000003</v>
      </c>
      <c r="D80" s="19">
        <v>-1.0833333333333334E-2</v>
      </c>
      <c r="E80" s="19">
        <v>1.0833333333333334E-2</v>
      </c>
      <c r="F80" s="19">
        <v>5.1666666666666666E-2</v>
      </c>
      <c r="G80" s="19">
        <f t="shared" si="38"/>
        <v>-2.9098333333333337E-3</v>
      </c>
      <c r="H80" s="19">
        <v>2.1406601946066806</v>
      </c>
      <c r="I80" s="19">
        <v>2.949387312108831</v>
      </c>
      <c r="J80" s="23">
        <v>3207.6190909090906</v>
      </c>
      <c r="K80" s="24">
        <f t="shared" si="42"/>
        <v>3.3162456330321E-2</v>
      </c>
      <c r="L80" s="22">
        <f>L79*2/3+L82/3</f>
        <v>98.893333333333345</v>
      </c>
      <c r="M80" s="19">
        <f t="shared" si="28"/>
        <v>3.0830759678919791E-2</v>
      </c>
      <c r="N80" s="27">
        <v>7.4999999999999997E-3</v>
      </c>
      <c r="O80" s="11">
        <v>-0.45287219230992509</v>
      </c>
      <c r="P80" s="10">
        <f t="shared" si="29"/>
        <v>6.25E-2</v>
      </c>
      <c r="Q80" s="10">
        <f t="shared" si="30"/>
        <v>-1.9166666666666665E-2</v>
      </c>
      <c r="R80" s="32">
        <v>4.9916666666666703E-3</v>
      </c>
      <c r="S80" s="10">
        <f t="shared" si="31"/>
        <v>-2.5083333333333294E-3</v>
      </c>
      <c r="T80" s="32">
        <f t="shared" si="32"/>
        <v>-4.2344067512649569E-3</v>
      </c>
      <c r="U80" s="10">
        <f t="shared" si="39"/>
        <v>0</v>
      </c>
      <c r="V80" s="10">
        <f t="shared" si="40"/>
        <v>-3.333333333333334E-3</v>
      </c>
      <c r="W80" s="10">
        <f t="shared" si="33"/>
        <v>2.1435700279400138</v>
      </c>
      <c r="X80" s="10">
        <f t="shared" si="34"/>
        <v>0.80872711750215043</v>
      </c>
      <c r="Y80" s="10">
        <f t="shared" si="35"/>
        <v>-2.91622485577851</v>
      </c>
      <c r="Z80" s="10">
        <f t="shared" si="36"/>
        <v>0.23666666666666669</v>
      </c>
      <c r="AA80" s="10">
        <f t="shared" si="41"/>
        <v>1.5000000000000041E-2</v>
      </c>
      <c r="AB80" s="34">
        <v>24.46</v>
      </c>
      <c r="AC80" s="34">
        <v>-12.455261274158913</v>
      </c>
      <c r="AD80" s="10">
        <f t="shared" si="37"/>
        <v>2.3330759678919791E-2</v>
      </c>
    </row>
    <row r="81" spans="1:30" x14ac:dyDescent="0.2">
      <c r="A81" s="1">
        <v>44044</v>
      </c>
      <c r="B81" s="18">
        <v>-2.7917187623055051E-3</v>
      </c>
      <c r="C81" s="19">
        <v>-0.26500000000000001</v>
      </c>
      <c r="D81" s="19">
        <v>-5.8333333333333336E-3</v>
      </c>
      <c r="E81" s="19">
        <v>2.9166666666666664E-2</v>
      </c>
      <c r="F81" s="19">
        <v>7.4166666666666672E-2</v>
      </c>
      <c r="G81" s="19">
        <f t="shared" si="38"/>
        <v>6.9661666666666674E-3</v>
      </c>
      <c r="H81" s="19">
        <v>-1.1978011949206113</v>
      </c>
      <c r="I81" s="19">
        <v>1.1486624280725</v>
      </c>
      <c r="J81" s="23">
        <v>3391.71</v>
      </c>
      <c r="K81" s="24">
        <f t="shared" si="42"/>
        <v>5.7391761263877239E-2</v>
      </c>
      <c r="L81" s="22">
        <f>L79/3+L82*2/3</f>
        <v>98.556666666666672</v>
      </c>
      <c r="M81" s="19">
        <f t="shared" si="28"/>
        <v>2.9058105400127567E-2</v>
      </c>
      <c r="N81" s="27">
        <v>8.3333333333333332E-3</v>
      </c>
      <c r="O81" s="11">
        <v>1.4746501612318974</v>
      </c>
      <c r="P81" s="10">
        <f t="shared" si="29"/>
        <v>0.08</v>
      </c>
      <c r="Q81" s="10">
        <f t="shared" si="30"/>
        <v>-1.0000000000000012E-2</v>
      </c>
      <c r="R81" s="32">
        <v>4.6833333333333301E-3</v>
      </c>
      <c r="S81" s="10">
        <f t="shared" si="31"/>
        <v>-3.6500000000000031E-3</v>
      </c>
      <c r="T81" s="32">
        <f t="shared" si="32"/>
        <v>-3.0416145710278285E-3</v>
      </c>
      <c r="U81" s="10">
        <f t="shared" si="39"/>
        <v>1.7500000000000002E-2</v>
      </c>
      <c r="V81" s="10">
        <f t="shared" si="40"/>
        <v>9.1666666666666528E-3</v>
      </c>
      <c r="W81" s="10">
        <f t="shared" si="33"/>
        <v>-1.204767361587278</v>
      </c>
      <c r="X81" s="10">
        <f t="shared" si="34"/>
        <v>2.3464636229931113</v>
      </c>
      <c r="Y81" s="10">
        <f t="shared" si="35"/>
        <v>-1.0912706668086227</v>
      </c>
      <c r="Z81" s="10">
        <f t="shared" si="36"/>
        <v>0.25916666666666666</v>
      </c>
      <c r="AA81" s="10">
        <f t="shared" si="41"/>
        <v>2.2499999999999964E-2</v>
      </c>
      <c r="AB81" s="34">
        <v>26.41</v>
      </c>
      <c r="AC81" s="34">
        <v>11.153198653198636</v>
      </c>
      <c r="AD81" s="10">
        <f t="shared" si="37"/>
        <v>2.0724772066794232E-2</v>
      </c>
    </row>
    <row r="82" spans="1:30" x14ac:dyDescent="0.2">
      <c r="A82" s="1">
        <v>44075</v>
      </c>
      <c r="B82" s="18">
        <v>-5.2194628789810288E-3</v>
      </c>
      <c r="C82" s="19">
        <v>-0.26083333333333331</v>
      </c>
      <c r="D82" s="19">
        <v>-6.6666666666666671E-3</v>
      </c>
      <c r="E82" s="19">
        <v>2.1666666666666667E-2</v>
      </c>
      <c r="F82" s="19">
        <v>6.4166666666666664E-2</v>
      </c>
      <c r="G82" s="19">
        <f t="shared" si="38"/>
        <v>3.694833333333333E-3</v>
      </c>
      <c r="H82" s="19">
        <v>1.7479163617162286E-3</v>
      </c>
      <c r="I82" s="19">
        <v>-1.1547202310351112</v>
      </c>
      <c r="J82" s="23">
        <v>3365.5166666666664</v>
      </c>
      <c r="K82" s="24">
        <f t="shared" si="42"/>
        <v>-7.7227514537898667E-3</v>
      </c>
      <c r="L82" s="22">
        <v>98.22</v>
      </c>
      <c r="M82" s="19">
        <f t="shared" si="28"/>
        <v>2.9184226295120613E-2</v>
      </c>
      <c r="N82" s="27">
        <v>7.4999999999999997E-3</v>
      </c>
      <c r="O82" s="11">
        <v>-0.32059917407416511</v>
      </c>
      <c r="P82" s="10">
        <f t="shared" si="29"/>
        <v>7.0833333333333331E-2</v>
      </c>
      <c r="Q82" s="10">
        <f t="shared" si="30"/>
        <v>-1.4166666666666661E-2</v>
      </c>
      <c r="R82" s="32">
        <v>4.55833333333333E-3</v>
      </c>
      <c r="S82" s="10">
        <f t="shared" si="31"/>
        <v>-2.9416666666666697E-3</v>
      </c>
      <c r="T82" s="32">
        <f t="shared" si="32"/>
        <v>-1.4472037876856383E-3</v>
      </c>
      <c r="U82" s="10">
        <f t="shared" si="39"/>
        <v>-9.1666666666666702E-3</v>
      </c>
      <c r="V82" s="10">
        <f t="shared" si="40"/>
        <v>-4.1666666666666484E-3</v>
      </c>
      <c r="W82" s="10">
        <f t="shared" si="33"/>
        <v>-1.9469169716171044E-3</v>
      </c>
      <c r="X82" s="10">
        <f t="shared" si="34"/>
        <v>-1.1564681473968275</v>
      </c>
      <c r="Y82" s="10">
        <f t="shared" si="35"/>
        <v>1.1469974795813214</v>
      </c>
      <c r="Z82" s="10">
        <f t="shared" si="36"/>
        <v>0.25416666666666665</v>
      </c>
      <c r="AA82" s="10">
        <f t="shared" si="41"/>
        <v>-5.0000000000000044E-3</v>
      </c>
      <c r="AB82" s="34">
        <v>26.37</v>
      </c>
      <c r="AC82" s="34">
        <v>-0.75272864132479578</v>
      </c>
      <c r="AD82" s="10">
        <f t="shared" si="37"/>
        <v>2.1684226295120613E-2</v>
      </c>
    </row>
    <row r="83" spans="1:30" x14ac:dyDescent="0.2">
      <c r="A83" s="1">
        <v>44105</v>
      </c>
      <c r="B83" s="18">
        <v>-3.4447300655052484E-3</v>
      </c>
      <c r="C83" s="19">
        <v>-0.26416666666666666</v>
      </c>
      <c r="D83" s="19">
        <v>-5.8333333333333336E-3</v>
      </c>
      <c r="E83" s="19">
        <v>2.4999999999999998E-2</v>
      </c>
      <c r="F83" s="19">
        <v>6.8333333333333329E-2</v>
      </c>
      <c r="G83" s="19">
        <f t="shared" si="38"/>
        <v>5.4424166666666666E-3</v>
      </c>
      <c r="H83" s="19">
        <v>0.2952417589047851</v>
      </c>
      <c r="I83" s="19">
        <v>8.6050517491553791E-4</v>
      </c>
      <c r="J83" s="23">
        <v>3418.701363636364</v>
      </c>
      <c r="K83" s="24">
        <f t="shared" si="42"/>
        <v>1.5802832740796857E-2</v>
      </c>
      <c r="L83" s="22">
        <f>L82*2/3+L85/3</f>
        <v>96.856666666666669</v>
      </c>
      <c r="M83" s="19">
        <f t="shared" si="28"/>
        <v>2.8331420725103439E-2</v>
      </c>
      <c r="N83" s="27">
        <v>7.4999999999999997E-3</v>
      </c>
      <c r="O83" s="11">
        <v>-1.9001782009329338</v>
      </c>
      <c r="P83" s="10">
        <f t="shared" si="29"/>
        <v>7.4166666666666659E-2</v>
      </c>
      <c r="Q83" s="10">
        <f t="shared" si="30"/>
        <v>-1.2500000000000001E-2</v>
      </c>
      <c r="R83" s="32">
        <v>4.4833333333333296E-3</v>
      </c>
      <c r="S83" s="10">
        <f t="shared" si="31"/>
        <v>-3.0166666666666701E-3</v>
      </c>
      <c r="T83" s="32">
        <f t="shared" si="32"/>
        <v>-2.3886032678280852E-3</v>
      </c>
      <c r="U83" s="10">
        <f t="shared" si="39"/>
        <v>3.333333333333327E-3</v>
      </c>
      <c r="V83" s="10">
        <f t="shared" si="40"/>
        <v>1.6666666666666601E-3</v>
      </c>
      <c r="W83" s="10">
        <f t="shared" si="33"/>
        <v>0.28979934223811843</v>
      </c>
      <c r="X83" s="10">
        <f t="shared" si="34"/>
        <v>-0.29438125372986956</v>
      </c>
      <c r="Y83" s="10">
        <f t="shared" si="35"/>
        <v>1.4942327565881319E-2</v>
      </c>
      <c r="Z83" s="10">
        <f t="shared" si="36"/>
        <v>0.2583333333333333</v>
      </c>
      <c r="AA83" s="10">
        <f t="shared" si="41"/>
        <v>4.1666666666666519E-3</v>
      </c>
      <c r="AB83" s="34">
        <v>38.020000000000003</v>
      </c>
      <c r="AC83" s="34">
        <v>35.979971387696708</v>
      </c>
      <c r="AD83" s="10">
        <f t="shared" si="37"/>
        <v>2.0831420725103439E-2</v>
      </c>
    </row>
    <row r="84" spans="1:30" x14ac:dyDescent="0.2">
      <c r="A84" s="1">
        <v>44136</v>
      </c>
      <c r="B84" s="18">
        <v>-1.495777520164625E-4</v>
      </c>
      <c r="C84" s="19">
        <v>-0.26083333333333331</v>
      </c>
      <c r="D84" s="19">
        <v>-1.6666666666666668E-3</v>
      </c>
      <c r="E84" s="19">
        <v>0.03</v>
      </c>
      <c r="F84" s="19">
        <v>7.0833333333333331E-2</v>
      </c>
      <c r="G84" s="19">
        <f t="shared" si="38"/>
        <v>9.9138333333333335E-3</v>
      </c>
      <c r="H84" s="19">
        <v>2.3738190773557433</v>
      </c>
      <c r="I84" s="19">
        <v>4.1964628870184262</v>
      </c>
      <c r="J84" s="23">
        <v>3548.9925000000012</v>
      </c>
      <c r="K84" s="24">
        <f t="shared" si="42"/>
        <v>3.8111295051829419E-2</v>
      </c>
      <c r="L84" s="22">
        <f>L82/3+L85*2/3</f>
        <v>95.493333333333339</v>
      </c>
      <c r="M84" s="19">
        <f t="shared" si="28"/>
        <v>2.6907166846177701E-2</v>
      </c>
      <c r="N84" s="27">
        <v>7.4999999999999997E-3</v>
      </c>
      <c r="O84" s="11">
        <v>5.5867022964527608</v>
      </c>
      <c r="P84" s="10">
        <f t="shared" si="29"/>
        <v>7.2499999999999995E-2</v>
      </c>
      <c r="Q84" s="10">
        <f t="shared" si="30"/>
        <v>-9.1666666666666667E-3</v>
      </c>
      <c r="R84" s="32">
        <v>4.4749999999999998E-3</v>
      </c>
      <c r="S84" s="10">
        <f t="shared" si="31"/>
        <v>-3.0249999999999999E-3</v>
      </c>
      <c r="T84" s="32">
        <f t="shared" si="32"/>
        <v>-1.5170889146502043E-3</v>
      </c>
      <c r="U84" s="10">
        <f t="shared" si="39"/>
        <v>-1.6666666666666635E-3</v>
      </c>
      <c r="V84" s="10">
        <f t="shared" si="40"/>
        <v>3.333333333333334E-3</v>
      </c>
      <c r="W84" s="10">
        <f t="shared" si="33"/>
        <v>2.3639052440224098</v>
      </c>
      <c r="X84" s="10">
        <f t="shared" si="34"/>
        <v>1.8226438096626829</v>
      </c>
      <c r="Y84" s="10">
        <f t="shared" si="35"/>
        <v>-4.1583515919665963</v>
      </c>
      <c r="Z84" s="10">
        <f t="shared" si="36"/>
        <v>0.25916666666666666</v>
      </c>
      <c r="AA84" s="10">
        <f t="shared" si="41"/>
        <v>8.3333333333335258E-4</v>
      </c>
      <c r="AB84" s="34">
        <v>20.57</v>
      </c>
      <c r="AC84" s="34">
        <v>-44.600053864799364</v>
      </c>
      <c r="AD84" s="10">
        <f t="shared" si="37"/>
        <v>1.9407166846177701E-2</v>
      </c>
    </row>
    <row r="85" spans="1:30" x14ac:dyDescent="0.2">
      <c r="A85" s="1">
        <v>44166</v>
      </c>
      <c r="B85" s="18">
        <v>-4.1351729307007781E-3</v>
      </c>
      <c r="C85" s="19">
        <v>-0.25916666666666666</v>
      </c>
      <c r="D85" s="19">
        <v>-0.01</v>
      </c>
      <c r="E85" s="19">
        <v>1.9166666666666669E-2</v>
      </c>
      <c r="F85" s="19">
        <v>0.06</v>
      </c>
      <c r="G85" s="19">
        <f t="shared" si="38"/>
        <v>6.6625000000000191E-4</v>
      </c>
      <c r="H85" s="19">
        <v>1.5496803067033937</v>
      </c>
      <c r="I85" s="19">
        <v>1.1870720643062493</v>
      </c>
      <c r="J85" s="23">
        <v>3695.3099999999995</v>
      </c>
      <c r="K85" s="24">
        <f t="shared" si="42"/>
        <v>4.1227897776622058E-2</v>
      </c>
      <c r="L85" s="22">
        <v>94.13</v>
      </c>
      <c r="M85" s="19">
        <f t="shared" si="28"/>
        <v>2.547282907252707E-2</v>
      </c>
      <c r="N85" s="27">
        <v>7.4999999999999997E-3</v>
      </c>
      <c r="O85" s="11">
        <v>1.8519535193189707</v>
      </c>
      <c r="P85" s="10">
        <f t="shared" si="29"/>
        <v>6.9999999999999993E-2</v>
      </c>
      <c r="Q85" s="10">
        <f t="shared" si="30"/>
        <v>-1.166666666666666E-2</v>
      </c>
      <c r="R85" s="32">
        <v>4.1000000000000003E-3</v>
      </c>
      <c r="S85" s="10">
        <f t="shared" si="31"/>
        <v>-3.3999999999999994E-3</v>
      </c>
      <c r="T85" s="32">
        <f t="shared" si="32"/>
        <v>-5.8648270692992222E-3</v>
      </c>
      <c r="U85" s="10">
        <f t="shared" si="39"/>
        <v>-2.5000000000000022E-3</v>
      </c>
      <c r="V85" s="10">
        <f t="shared" si="40"/>
        <v>-2.4999999999999935E-3</v>
      </c>
      <c r="W85" s="10">
        <f t="shared" si="33"/>
        <v>1.5490140567033936</v>
      </c>
      <c r="X85" s="10">
        <f t="shared" si="34"/>
        <v>-0.3626082423971444</v>
      </c>
      <c r="Y85" s="10">
        <f t="shared" si="35"/>
        <v>-1.1458441665296273</v>
      </c>
      <c r="Z85" s="10">
        <f t="shared" si="36"/>
        <v>0.24916666666666665</v>
      </c>
      <c r="AA85" s="10">
        <f t="shared" si="41"/>
        <v>-1.0000000000000009E-2</v>
      </c>
      <c r="AB85" s="34">
        <v>22.75</v>
      </c>
      <c r="AC85" s="34">
        <v>6.9078947368421018</v>
      </c>
      <c r="AD85" s="10">
        <f t="shared" si="37"/>
        <v>1.797282907252707E-2</v>
      </c>
    </row>
    <row r="86" spans="1:30" x14ac:dyDescent="0.2">
      <c r="A86" s="1">
        <v>44197</v>
      </c>
      <c r="B86" s="18">
        <v>-1.6597288016093742E-3</v>
      </c>
      <c r="C86" s="19">
        <v>-0.27499999999999997</v>
      </c>
      <c r="D86" s="19">
        <v>-6.6666666666666671E-3</v>
      </c>
      <c r="E86" s="19">
        <v>3.0833333333333334E-2</v>
      </c>
      <c r="F86" s="19">
        <v>7.3333333333333334E-2</v>
      </c>
      <c r="G86" s="19">
        <f t="shared" si="38"/>
        <v>7.047083333333334E-3</v>
      </c>
      <c r="H86" s="19">
        <v>-1.6407304745059137</v>
      </c>
      <c r="I86" s="19">
        <v>7.3127289551699892E-2</v>
      </c>
      <c r="J86" s="23">
        <v>3793.7484210526318</v>
      </c>
      <c r="K86" s="24">
        <f t="shared" si="42"/>
        <v>2.663874507216768E-2</v>
      </c>
      <c r="L86" s="22">
        <f>L85*2/3+L88/3</f>
        <v>105.48666666666665</v>
      </c>
      <c r="M86" s="19">
        <f t="shared" si="28"/>
        <v>2.7805393230950673E-2</v>
      </c>
      <c r="N86" s="27">
        <v>7.4999999999999997E-3</v>
      </c>
      <c r="O86" s="11">
        <v>-0.72114034769675106</v>
      </c>
      <c r="P86" s="10">
        <f t="shared" si="29"/>
        <v>0.08</v>
      </c>
      <c r="Q86" s="10">
        <f t="shared" si="30"/>
        <v>-4.9999999999999984E-3</v>
      </c>
      <c r="R86" s="32">
        <v>4.1166666666666704E-3</v>
      </c>
      <c r="S86" s="10">
        <f t="shared" si="31"/>
        <v>-3.3833333333333293E-3</v>
      </c>
      <c r="T86" s="32">
        <f t="shared" si="32"/>
        <v>-5.0069378650572927E-3</v>
      </c>
      <c r="U86" s="10">
        <f t="shared" si="39"/>
        <v>1.0000000000000009E-2</v>
      </c>
      <c r="V86" s="10">
        <f t="shared" si="40"/>
        <v>6.6666666666666619E-3</v>
      </c>
      <c r="W86" s="10">
        <f t="shared" si="33"/>
        <v>-1.6477775578392471</v>
      </c>
      <c r="X86" s="10">
        <f t="shared" si="34"/>
        <v>1.7138577640576136</v>
      </c>
      <c r="Y86" s="10">
        <f t="shared" si="35"/>
        <v>-4.6488544479532212E-2</v>
      </c>
      <c r="Z86" s="10">
        <f t="shared" si="36"/>
        <v>0.26833333333333331</v>
      </c>
      <c r="AA86" s="10">
        <f t="shared" si="41"/>
        <v>1.9166666666666665E-2</v>
      </c>
      <c r="AB86" s="34">
        <v>33.090000000000003</v>
      </c>
      <c r="AC86" s="34">
        <v>45.450549450549474</v>
      </c>
      <c r="AD86" s="10">
        <f t="shared" si="37"/>
        <v>2.0305393230950673E-2</v>
      </c>
    </row>
    <row r="87" spans="1:30" x14ac:dyDescent="0.2">
      <c r="A87" s="1">
        <v>44228</v>
      </c>
      <c r="B87" s="18">
        <v>1.8358150988314881E-2</v>
      </c>
      <c r="C87" s="19">
        <v>-0.26416666666666666</v>
      </c>
      <c r="D87" s="19">
        <v>1.4999999999999999E-2</v>
      </c>
      <c r="E87" s="19">
        <v>7.4166666666666672E-2</v>
      </c>
      <c r="F87" s="19">
        <v>0.11499999999999999</v>
      </c>
      <c r="G87" s="19">
        <f t="shared" si="38"/>
        <v>3.6637250000000003E-2</v>
      </c>
      <c r="H87" s="19">
        <v>-3.4432121415758021</v>
      </c>
      <c r="I87" s="19">
        <v>0.10199834967560273</v>
      </c>
      <c r="J87" s="23">
        <v>3883.4321052631576</v>
      </c>
      <c r="K87" s="24">
        <f t="shared" si="42"/>
        <v>2.3639860701580639E-2</v>
      </c>
      <c r="L87" s="22">
        <f>L85/3+L88*2/3</f>
        <v>116.84333333333332</v>
      </c>
      <c r="M87" s="19">
        <f t="shared" si="28"/>
        <v>3.0087646742935788E-2</v>
      </c>
      <c r="N87" s="27">
        <v>6.6666666666666671E-3</v>
      </c>
      <c r="O87" s="11">
        <v>-2.8872892422191813E-2</v>
      </c>
      <c r="P87" s="10">
        <f t="shared" si="29"/>
        <v>9.9999999999999992E-2</v>
      </c>
      <c r="Q87" s="10">
        <f t="shared" si="30"/>
        <v>1.8333333333333354E-2</v>
      </c>
      <c r="R87" s="32">
        <v>4.0499999999999998E-3</v>
      </c>
      <c r="S87" s="10">
        <f t="shared" si="31"/>
        <v>-2.6166666666666673E-3</v>
      </c>
      <c r="T87" s="32">
        <f t="shared" si="32"/>
        <v>-3.358150988314882E-3</v>
      </c>
      <c r="U87" s="10">
        <f t="shared" si="39"/>
        <v>1.999999999999999E-2</v>
      </c>
      <c r="V87" s="10">
        <f t="shared" si="40"/>
        <v>2.3333333333333352E-2</v>
      </c>
      <c r="W87" s="10">
        <f t="shared" si="33"/>
        <v>-3.4798493915758022</v>
      </c>
      <c r="X87" s="10">
        <f t="shared" si="34"/>
        <v>3.5452104912514049</v>
      </c>
      <c r="Y87" s="10">
        <f t="shared" si="35"/>
        <v>-7.8358488974022089E-2</v>
      </c>
      <c r="Z87" s="10">
        <f t="shared" si="36"/>
        <v>0.27916666666666667</v>
      </c>
      <c r="AA87" s="10">
        <f t="shared" si="41"/>
        <v>1.0833333333333361E-2</v>
      </c>
      <c r="AB87" s="34">
        <v>27.95</v>
      </c>
      <c r="AC87" s="34">
        <v>-15.533393774554261</v>
      </c>
      <c r="AD87" s="10">
        <f t="shared" si="37"/>
        <v>2.342098007626912E-2</v>
      </c>
    </row>
    <row r="88" spans="1:30" x14ac:dyDescent="0.2">
      <c r="A88" s="1">
        <v>44256</v>
      </c>
      <c r="B88" s="18">
        <v>1.9283545863118926E-2</v>
      </c>
      <c r="C88" s="19">
        <v>-0.28583333333333333</v>
      </c>
      <c r="D88" s="19">
        <v>1.3333333333333334E-2</v>
      </c>
      <c r="E88" s="19">
        <v>7.7499999999999999E-2</v>
      </c>
      <c r="F88" s="19">
        <v>0.11749999999999999</v>
      </c>
      <c r="G88" s="19">
        <f t="shared" si="38"/>
        <v>3.6799083333333336E-2</v>
      </c>
      <c r="H88" s="19">
        <v>5.3989228478923401E-2</v>
      </c>
      <c r="I88" s="19">
        <v>0.69957763360970482</v>
      </c>
      <c r="J88" s="23">
        <v>3910.5082608695648</v>
      </c>
      <c r="K88" s="24">
        <f t="shared" si="42"/>
        <v>6.9722232480158297E-3</v>
      </c>
      <c r="L88" s="22">
        <v>128.19999999999999</v>
      </c>
      <c r="M88" s="19">
        <f t="shared" si="28"/>
        <v>3.2783462263161832E-2</v>
      </c>
      <c r="N88" s="27">
        <v>5.8333333333333336E-3</v>
      </c>
      <c r="O88" s="11">
        <v>2.1554149374730458</v>
      </c>
      <c r="P88" s="10">
        <f t="shared" si="29"/>
        <v>0.10416666666666666</v>
      </c>
      <c r="Q88" s="10">
        <f t="shared" si="30"/>
        <v>2.416666666666667E-2</v>
      </c>
      <c r="R88" s="32">
        <v>4.0499999999999998E-3</v>
      </c>
      <c r="S88" s="10">
        <f t="shared" si="31"/>
        <v>-1.7833333333333338E-3</v>
      </c>
      <c r="T88" s="32">
        <f t="shared" si="32"/>
        <v>-5.950212529785592E-3</v>
      </c>
      <c r="U88" s="10">
        <f t="shared" si="39"/>
        <v>4.1666666666666657E-3</v>
      </c>
      <c r="V88" s="10">
        <f t="shared" si="40"/>
        <v>5.8333333333333154E-3</v>
      </c>
      <c r="W88" s="10">
        <f t="shared" si="33"/>
        <v>1.7190145145590065E-2</v>
      </c>
      <c r="X88" s="10">
        <f t="shared" si="34"/>
        <v>0.64558840513078142</v>
      </c>
      <c r="Y88" s="10">
        <f t="shared" si="35"/>
        <v>-0.69260541036168899</v>
      </c>
      <c r="Z88" s="10">
        <f t="shared" si="36"/>
        <v>0.29916666666666664</v>
      </c>
      <c r="AA88" s="10">
        <f t="shared" si="41"/>
        <v>1.9999999999999962E-2</v>
      </c>
      <c r="AB88" s="34">
        <v>19.399999999999999</v>
      </c>
      <c r="AC88" s="34">
        <v>-32.096604830241517</v>
      </c>
      <c r="AD88" s="10">
        <f t="shared" si="37"/>
        <v>2.6950128929828499E-2</v>
      </c>
    </row>
    <row r="89" spans="1:30" x14ac:dyDescent="0.2">
      <c r="A89" s="1">
        <v>44287</v>
      </c>
      <c r="B89" s="18">
        <v>2.2403502768295957E-2</v>
      </c>
      <c r="C89" s="19">
        <v>-0.27166666666666667</v>
      </c>
      <c r="D89" s="19">
        <v>1.4166666666666668E-2</v>
      </c>
      <c r="E89" s="19">
        <v>7.7499999999999999E-2</v>
      </c>
      <c r="F89" s="19">
        <v>0.1125</v>
      </c>
      <c r="G89" s="19">
        <f t="shared" si="38"/>
        <v>3.7327666666666669E-2</v>
      </c>
      <c r="H89" s="19">
        <v>0.41775962262956545</v>
      </c>
      <c r="I89" s="19">
        <v>0.62538663484108525</v>
      </c>
      <c r="J89" s="23">
        <v>4141.1761904761906</v>
      </c>
      <c r="K89" s="24">
        <f t="shared" si="42"/>
        <v>5.898668771903659E-2</v>
      </c>
      <c r="L89" s="22">
        <f>L88*2/3+L91/3</f>
        <v>138.38666666666666</v>
      </c>
      <c r="M89" s="19">
        <f t="shared" si="28"/>
        <v>3.3417237108849911E-2</v>
      </c>
      <c r="N89" s="27">
        <v>5.8333333333333336E-3</v>
      </c>
      <c r="O89" s="11">
        <v>2.3109716137805942</v>
      </c>
      <c r="P89" s="10">
        <f t="shared" si="29"/>
        <v>9.8333333333333328E-2</v>
      </c>
      <c r="Q89" s="10">
        <f t="shared" si="30"/>
        <v>2.8333333333333328E-2</v>
      </c>
      <c r="R89" s="32">
        <v>4.0499999999999998E-3</v>
      </c>
      <c r="S89" s="10">
        <f t="shared" si="31"/>
        <v>-1.7833333333333338E-3</v>
      </c>
      <c r="T89" s="32">
        <f t="shared" si="32"/>
        <v>-8.2368361016292892E-3</v>
      </c>
      <c r="U89" s="10">
        <f t="shared" si="39"/>
        <v>-5.8333333333333293E-3</v>
      </c>
      <c r="V89" s="10">
        <f t="shared" si="40"/>
        <v>4.1666666666666588E-3</v>
      </c>
      <c r="W89" s="10">
        <f t="shared" si="33"/>
        <v>0.3804319559628988</v>
      </c>
      <c r="X89" s="10">
        <f t="shared" si="34"/>
        <v>0.2076270122115198</v>
      </c>
      <c r="Y89" s="10">
        <f t="shared" si="35"/>
        <v>-0.56639994712204866</v>
      </c>
      <c r="Z89" s="10">
        <f t="shared" si="36"/>
        <v>0.28583333333333333</v>
      </c>
      <c r="AA89" s="10">
        <f t="shared" si="41"/>
        <v>-1.3333333333333308E-2</v>
      </c>
      <c r="AB89" s="34">
        <v>18.61</v>
      </c>
      <c r="AC89" s="34">
        <v>3.9084310441094283</v>
      </c>
      <c r="AD89" s="10">
        <f t="shared" si="37"/>
        <v>2.7583903775516578E-2</v>
      </c>
    </row>
    <row r="90" spans="1:30" x14ac:dyDescent="0.2">
      <c r="A90" s="1">
        <v>44317</v>
      </c>
      <c r="B90" s="18">
        <v>2.0841211431508248E-2</v>
      </c>
      <c r="C90" s="19">
        <v>-0.29416666666666663</v>
      </c>
      <c r="D90" s="19">
        <v>1.1666666666666667E-2</v>
      </c>
      <c r="E90" s="19">
        <v>7.4166666666666672E-2</v>
      </c>
      <c r="F90" s="19">
        <v>0.11083333333333334</v>
      </c>
      <c r="G90" s="19">
        <f t="shared" si="38"/>
        <v>3.4522916666666674E-2</v>
      </c>
      <c r="H90" s="19">
        <v>0.34453723416151272</v>
      </c>
      <c r="I90" s="19">
        <v>0.3950104575871527</v>
      </c>
      <c r="J90" s="23">
        <v>4167.8495000000012</v>
      </c>
      <c r="K90" s="24">
        <f t="shared" si="42"/>
        <v>6.4409984740938508E-3</v>
      </c>
      <c r="L90" s="22">
        <f>L88/3+L91*2/3</f>
        <v>148.57333333333332</v>
      </c>
      <c r="M90" s="19">
        <f t="shared" si="28"/>
        <v>3.564748039326595E-2</v>
      </c>
      <c r="N90" s="27">
        <v>5.0000000000000001E-3</v>
      </c>
      <c r="O90" s="11">
        <v>0.25176219913533959</v>
      </c>
      <c r="P90" s="10">
        <f t="shared" si="29"/>
        <v>9.9166666666666667E-2</v>
      </c>
      <c r="Q90" s="10">
        <f t="shared" si="30"/>
        <v>2.583333333333334E-2</v>
      </c>
      <c r="R90" s="32">
        <v>4.1250000000000002E-3</v>
      </c>
      <c r="S90" s="10">
        <f t="shared" si="31"/>
        <v>-8.7499999999999991E-4</v>
      </c>
      <c r="T90" s="32">
        <f t="shared" si="32"/>
        <v>-9.1745447648415804E-3</v>
      </c>
      <c r="U90" s="10">
        <f t="shared" si="39"/>
        <v>8.333333333333387E-4</v>
      </c>
      <c r="V90" s="10">
        <f t="shared" si="40"/>
        <v>-2.4999999999999883E-3</v>
      </c>
      <c r="W90" s="10">
        <f t="shared" si="33"/>
        <v>0.31001431749484604</v>
      </c>
      <c r="X90" s="10">
        <f t="shared" si="34"/>
        <v>5.0473223425639979E-2</v>
      </c>
      <c r="Y90" s="10">
        <f t="shared" si="35"/>
        <v>-0.38856945911305885</v>
      </c>
      <c r="Z90" s="10">
        <f t="shared" si="36"/>
        <v>0.30583333333333329</v>
      </c>
      <c r="AA90" s="10">
        <f t="shared" si="41"/>
        <v>1.9999999999999962E-2</v>
      </c>
      <c r="AB90" s="34">
        <v>16.760000000000002</v>
      </c>
      <c r="AC90" s="34">
        <v>-8.4653194975423123</v>
      </c>
      <c r="AD90" s="10">
        <f t="shared" si="37"/>
        <v>3.0647480393265949E-2</v>
      </c>
    </row>
    <row r="91" spans="1:30" x14ac:dyDescent="0.2">
      <c r="A91" s="1">
        <v>44348</v>
      </c>
      <c r="B91" s="18">
        <v>2.5316624961760039E-2</v>
      </c>
      <c r="C91" s="19">
        <v>-0.26333333333333336</v>
      </c>
      <c r="D91" s="19">
        <v>1.4166666666666668E-2</v>
      </c>
      <c r="E91" s="19">
        <v>6.8333333333333329E-2</v>
      </c>
      <c r="F91" s="19">
        <v>0.105</v>
      </c>
      <c r="G91" s="19">
        <f t="shared" si="38"/>
        <v>3.3975416666666668E-2</v>
      </c>
      <c r="H91" s="19">
        <v>0.88899758196907541</v>
      </c>
      <c r="I91" s="19">
        <v>0.77723012072922204</v>
      </c>
      <c r="J91" s="23">
        <v>4238.4895454545458</v>
      </c>
      <c r="K91" s="24">
        <f t="shared" si="42"/>
        <v>1.6948799483893273E-2</v>
      </c>
      <c r="L91" s="22">
        <v>158.76</v>
      </c>
      <c r="M91" s="19">
        <f t="shared" si="28"/>
        <v>3.7456739788413039E-2</v>
      </c>
      <c r="N91" s="27">
        <v>6.6666666666666671E-3</v>
      </c>
      <c r="O91" s="11">
        <v>1.1935119946777377</v>
      </c>
      <c r="P91" s="10">
        <f t="shared" si="29"/>
        <v>9.0833333333333321E-2</v>
      </c>
      <c r="Q91" s="10">
        <f t="shared" si="30"/>
        <v>1.7499999999999995E-2</v>
      </c>
      <c r="R91" s="32">
        <v>4.15E-3</v>
      </c>
      <c r="S91" s="10">
        <f t="shared" si="31"/>
        <v>-2.5166666666666671E-3</v>
      </c>
      <c r="T91" s="32">
        <f t="shared" si="32"/>
        <v>-1.1149958295093371E-2</v>
      </c>
      <c r="U91" s="10">
        <f t="shared" si="39"/>
        <v>-8.3333333333333454E-3</v>
      </c>
      <c r="V91" s="10">
        <f t="shared" si="40"/>
        <v>-8.3333333333333454E-3</v>
      </c>
      <c r="W91" s="10">
        <f t="shared" si="33"/>
        <v>0.85502216530240871</v>
      </c>
      <c r="X91" s="10">
        <f t="shared" si="34"/>
        <v>-0.11176746123985337</v>
      </c>
      <c r="Y91" s="10">
        <f t="shared" si="35"/>
        <v>-0.76028132124532877</v>
      </c>
      <c r="Z91" s="10">
        <f t="shared" si="36"/>
        <v>0.27750000000000002</v>
      </c>
      <c r="AA91" s="10">
        <f t="shared" si="41"/>
        <v>-2.8333333333333266E-2</v>
      </c>
      <c r="AB91" s="34">
        <v>15.83</v>
      </c>
      <c r="AC91" s="34">
        <v>-12.25055432372505</v>
      </c>
      <c r="AD91" s="10">
        <f t="shared" si="37"/>
        <v>3.0790073121746371E-2</v>
      </c>
    </row>
    <row r="92" spans="1:30" x14ac:dyDescent="0.2">
      <c r="A92" s="1">
        <v>44378</v>
      </c>
      <c r="B92" s="18">
        <v>2.5540678930677411E-2</v>
      </c>
      <c r="C92" s="19">
        <v>-0.28333333333333333</v>
      </c>
      <c r="D92" s="19">
        <v>1.1666666666666667E-2</v>
      </c>
      <c r="E92" s="19">
        <v>5.4166666666666669E-2</v>
      </c>
      <c r="F92" s="19">
        <v>8.5000000000000006E-2</v>
      </c>
      <c r="G92" s="19">
        <f t="shared" si="38"/>
        <v>2.7208916666666669E-2</v>
      </c>
      <c r="H92" s="19">
        <v>1.6404399123241542</v>
      </c>
      <c r="I92" s="19">
        <v>0.42632494300075541</v>
      </c>
      <c r="J92" s="23">
        <v>4363.7128571428575</v>
      </c>
      <c r="K92" s="24">
        <f t="shared" si="42"/>
        <v>2.9544324775462538E-2</v>
      </c>
      <c r="L92" s="22">
        <f>L91*2/3+L94/3</f>
        <v>164.31666666666666</v>
      </c>
      <c r="M92" s="19">
        <f t="shared" si="28"/>
        <v>3.7655242690338944E-2</v>
      </c>
      <c r="N92" s="27">
        <v>8.3333333333333332E-3</v>
      </c>
      <c r="O92" s="11">
        <v>1.088562294937061</v>
      </c>
      <c r="P92" s="10">
        <f t="shared" si="29"/>
        <v>7.3333333333333334E-2</v>
      </c>
      <c r="Q92" s="10">
        <f t="shared" si="30"/>
        <v>1.1666666666666664E-2</v>
      </c>
      <c r="R92" s="32">
        <v>4.2166666666666698E-3</v>
      </c>
      <c r="S92" s="10">
        <f t="shared" si="31"/>
        <v>-4.1166666666666634E-3</v>
      </c>
      <c r="T92" s="32">
        <f t="shared" si="32"/>
        <v>-1.3874012264010744E-2</v>
      </c>
      <c r="U92" s="10">
        <f t="shared" si="39"/>
        <v>-1.7499999999999988E-2</v>
      </c>
      <c r="V92" s="10">
        <f t="shared" si="40"/>
        <v>-5.833333333333331E-3</v>
      </c>
      <c r="W92" s="10">
        <f t="shared" si="33"/>
        <v>1.6132309956574875</v>
      </c>
      <c r="X92" s="10">
        <f t="shared" si="34"/>
        <v>-1.2141149693233988</v>
      </c>
      <c r="Y92" s="10">
        <f t="shared" si="35"/>
        <v>-0.39678061822529287</v>
      </c>
      <c r="Z92" s="10">
        <f t="shared" si="36"/>
        <v>0.29499999999999998</v>
      </c>
      <c r="AA92" s="10">
        <f t="shared" si="41"/>
        <v>1.749999999999996E-2</v>
      </c>
      <c r="AB92" s="34">
        <v>18.239999999999998</v>
      </c>
      <c r="AC92" s="34">
        <v>21.03516921035169</v>
      </c>
      <c r="AD92" s="10">
        <f t="shared" si="37"/>
        <v>2.9321909357005613E-2</v>
      </c>
    </row>
    <row r="93" spans="1:30" x14ac:dyDescent="0.2">
      <c r="A93" s="1">
        <v>44409</v>
      </c>
      <c r="B93" s="18">
        <v>2.9828797096208042E-2</v>
      </c>
      <c r="C93" s="19">
        <v>-0.28499999999999998</v>
      </c>
      <c r="D93" s="19">
        <v>1.7499999999999998E-2</v>
      </c>
      <c r="E93" s="19">
        <v>5.9166666666666666E-2</v>
      </c>
      <c r="F93" s="19">
        <v>9.1666666666666674E-2</v>
      </c>
      <c r="G93" s="19">
        <f t="shared" si="38"/>
        <v>3.2737500000000003E-2</v>
      </c>
      <c r="H93" s="19">
        <v>-0.19596708134476115</v>
      </c>
      <c r="I93" s="19">
        <v>0.41203309524585618</v>
      </c>
      <c r="J93" s="23">
        <v>4454.2063636363628</v>
      </c>
      <c r="K93" s="24">
        <f t="shared" si="42"/>
        <v>2.0737731710595675E-2</v>
      </c>
      <c r="L93" s="22">
        <f>L91/3+L94*2/3</f>
        <v>169.87333333333333</v>
      </c>
      <c r="M93" s="19">
        <f t="shared" si="28"/>
        <v>3.8137733069612587E-2</v>
      </c>
      <c r="N93" s="27">
        <v>7.4999999999999997E-3</v>
      </c>
      <c r="O93" s="11">
        <v>1.4799167353491935</v>
      </c>
      <c r="P93" s="10">
        <f t="shared" si="29"/>
        <v>7.4166666666666672E-2</v>
      </c>
      <c r="Q93" s="10">
        <f t="shared" si="30"/>
        <v>9.1666666666666598E-3</v>
      </c>
      <c r="R93" s="32">
        <v>4.1999999999999997E-3</v>
      </c>
      <c r="S93" s="10">
        <f t="shared" si="31"/>
        <v>-3.3E-3</v>
      </c>
      <c r="T93" s="32">
        <f t="shared" si="32"/>
        <v>-1.2328797096208044E-2</v>
      </c>
      <c r="U93" s="10">
        <f t="shared" si="39"/>
        <v>8.333333333333387E-4</v>
      </c>
      <c r="V93" s="10">
        <f t="shared" si="40"/>
        <v>-2.500000000000004E-3</v>
      </c>
      <c r="W93" s="10">
        <f t="shared" si="33"/>
        <v>-0.22870458134476115</v>
      </c>
      <c r="X93" s="10">
        <f t="shared" si="34"/>
        <v>0.60800017659061734</v>
      </c>
      <c r="Y93" s="10">
        <f t="shared" si="35"/>
        <v>-0.39129536353526051</v>
      </c>
      <c r="Z93" s="10">
        <f t="shared" si="36"/>
        <v>0.30249999999999999</v>
      </c>
      <c r="AA93" s="10">
        <f t="shared" si="41"/>
        <v>7.5000000000000067E-3</v>
      </c>
      <c r="AB93" s="34">
        <v>16.48</v>
      </c>
      <c r="AC93" s="34">
        <v>-8.2915971062882505</v>
      </c>
      <c r="AD93" s="10">
        <f t="shared" si="37"/>
        <v>3.0637733069612587E-2</v>
      </c>
    </row>
    <row r="94" spans="1:30" x14ac:dyDescent="0.2">
      <c r="A94" s="1">
        <v>44440</v>
      </c>
      <c r="B94" s="18">
        <v>5.19503516754607E-2</v>
      </c>
      <c r="C94" s="19">
        <v>-0.3116666666666667</v>
      </c>
      <c r="D94" s="19">
        <v>3.6666666666666667E-2</v>
      </c>
      <c r="E94" s="19">
        <v>8.666666666666667E-2</v>
      </c>
      <c r="F94" s="19">
        <v>0.11916666666666666</v>
      </c>
      <c r="G94" s="19">
        <f t="shared" si="38"/>
        <v>5.4951666666666663E-2</v>
      </c>
      <c r="H94" s="19">
        <v>-2.7538144131323161</v>
      </c>
      <c r="I94" s="19">
        <v>-0.36579869921501418</v>
      </c>
      <c r="J94" s="23">
        <v>4445.5433333333331</v>
      </c>
      <c r="K94" s="24">
        <f t="shared" si="42"/>
        <v>-1.9449099560706617E-3</v>
      </c>
      <c r="L94" s="22">
        <v>175.43</v>
      </c>
      <c r="M94" s="19">
        <f t="shared" si="28"/>
        <v>3.9461993022225257E-2</v>
      </c>
      <c r="N94" s="27">
        <v>6.6666666666666671E-3</v>
      </c>
      <c r="O94" s="11">
        <v>-1.3312319193447704</v>
      </c>
      <c r="P94" s="10">
        <f t="shared" si="29"/>
        <v>8.249999999999999E-2</v>
      </c>
      <c r="Q94" s="10">
        <f t="shared" si="30"/>
        <v>1.7500000000000016E-2</v>
      </c>
      <c r="R94" s="32">
        <v>4.1666666666666701E-3</v>
      </c>
      <c r="S94" s="10">
        <f t="shared" si="31"/>
        <v>-2.499999999999997E-3</v>
      </c>
      <c r="T94" s="32">
        <f t="shared" si="32"/>
        <v>-1.5283685008794033E-2</v>
      </c>
      <c r="U94" s="10">
        <f t="shared" si="39"/>
        <v>8.3333333333333176E-3</v>
      </c>
      <c r="V94" s="10">
        <f t="shared" si="40"/>
        <v>8.3333333333333558E-3</v>
      </c>
      <c r="W94" s="10">
        <f t="shared" si="33"/>
        <v>-2.8087660797989829</v>
      </c>
      <c r="X94" s="10">
        <f t="shared" si="34"/>
        <v>2.3880157139173019</v>
      </c>
      <c r="Y94" s="10">
        <f t="shared" si="35"/>
        <v>0.36385378925894352</v>
      </c>
      <c r="Z94" s="10">
        <f t="shared" si="36"/>
        <v>0.34833333333333338</v>
      </c>
      <c r="AA94" s="10">
        <f t="shared" si="41"/>
        <v>4.5833333333333393E-2</v>
      </c>
      <c r="AB94" s="34">
        <v>23.14</v>
      </c>
      <c r="AC94" s="34">
        <v>41.011578305911023</v>
      </c>
      <c r="AD94" s="10">
        <f t="shared" si="37"/>
        <v>3.2795326355558589E-2</v>
      </c>
    </row>
    <row r="95" spans="1:30" x14ac:dyDescent="0.2">
      <c r="A95" s="1">
        <v>44470</v>
      </c>
      <c r="B95" s="18">
        <v>9.0511267633753265E-2</v>
      </c>
      <c r="C95" s="19">
        <v>-0.3133333333333333</v>
      </c>
      <c r="D95" s="19">
        <v>5.9166666666666666E-2</v>
      </c>
      <c r="E95" s="19">
        <v>8.666666666666667E-2</v>
      </c>
      <c r="F95" s="19">
        <v>9.9166666666666667E-2</v>
      </c>
      <c r="G95" s="19">
        <f t="shared" si="38"/>
        <v>6.9223416666666662E-2</v>
      </c>
      <c r="H95" s="19">
        <v>0.76644487649407678</v>
      </c>
      <c r="I95" s="19">
        <v>-0.19333880228121769</v>
      </c>
      <c r="J95" s="23">
        <v>4460.7071428571426</v>
      </c>
      <c r="K95" s="24">
        <f t="shared" si="42"/>
        <v>3.4110137697025422E-3</v>
      </c>
      <c r="L95" s="22">
        <f>L94*2/3+L97/3</f>
        <v>182.91</v>
      </c>
      <c r="M95" s="19">
        <f t="shared" si="28"/>
        <v>4.1004709375035031E-2</v>
      </c>
      <c r="N95" s="27">
        <v>6.6666666666666671E-3</v>
      </c>
      <c r="O95" s="11">
        <v>1.7130121087748451</v>
      </c>
      <c r="P95" s="10">
        <f t="shared" si="29"/>
        <v>0.04</v>
      </c>
      <c r="Q95" s="10">
        <f t="shared" si="30"/>
        <v>1.5000000000000006E-2</v>
      </c>
      <c r="R95" s="32">
        <v>4.1833333333333297E-3</v>
      </c>
      <c r="S95" s="10">
        <f t="shared" si="31"/>
        <v>-2.4833333333333374E-3</v>
      </c>
      <c r="T95" s="32">
        <f t="shared" si="32"/>
        <v>-3.1344600967086599E-2</v>
      </c>
      <c r="U95" s="10">
        <f t="shared" si="39"/>
        <v>-4.2499999999999989E-2</v>
      </c>
      <c r="V95" s="10">
        <f t="shared" si="40"/>
        <v>-2.5000000000000092E-3</v>
      </c>
      <c r="W95" s="10">
        <f t="shared" si="33"/>
        <v>0.69722145982741013</v>
      </c>
      <c r="X95" s="10">
        <f t="shared" si="34"/>
        <v>-0.95978367877529447</v>
      </c>
      <c r="Y95" s="10">
        <f t="shared" si="35"/>
        <v>0.19674981605092023</v>
      </c>
      <c r="Z95" s="10">
        <f t="shared" si="36"/>
        <v>0.37249999999999994</v>
      </c>
      <c r="AA95" s="10">
        <f t="shared" si="41"/>
        <v>2.4166666666666559E-2</v>
      </c>
      <c r="AB95" s="34">
        <v>16.260000000000002</v>
      </c>
      <c r="AC95" s="34">
        <v>-29.181184668989545</v>
      </c>
      <c r="AD95" s="10">
        <f t="shared" si="37"/>
        <v>3.4338042708368363E-2</v>
      </c>
    </row>
    <row r="96" spans="1:30" x14ac:dyDescent="0.2">
      <c r="A96" s="1">
        <v>44501</v>
      </c>
      <c r="B96" s="18">
        <v>8.0248899140651545E-2</v>
      </c>
      <c r="C96" s="19">
        <v>-0.35833333333333334</v>
      </c>
      <c r="D96" s="19">
        <v>4.1666666666666664E-2</v>
      </c>
      <c r="E96" s="19">
        <v>6.8333333333333329E-2</v>
      </c>
      <c r="F96" s="19">
        <v>8.3333333333333329E-2</v>
      </c>
      <c r="G96" s="19">
        <f t="shared" si="38"/>
        <v>5.1418666666666668E-2</v>
      </c>
      <c r="H96" s="19">
        <v>1.0468941770891971</v>
      </c>
      <c r="I96" s="19">
        <v>-1.150286407851342</v>
      </c>
      <c r="J96" s="23">
        <v>4667.3866666666672</v>
      </c>
      <c r="K96" s="24">
        <f t="shared" si="42"/>
        <v>4.6333354150020156E-2</v>
      </c>
      <c r="L96" s="22">
        <f>L94/3+L97*2/3</f>
        <v>190.39</v>
      </c>
      <c r="M96" s="19">
        <f t="shared" si="28"/>
        <v>4.0791563587332234E-2</v>
      </c>
      <c r="N96" s="27">
        <v>6.6666666666666671E-3</v>
      </c>
      <c r="O96" s="11">
        <v>0.3416951439283733</v>
      </c>
      <c r="P96" s="10">
        <f t="shared" si="29"/>
        <v>4.1666666666666664E-2</v>
      </c>
      <c r="Q96" s="10">
        <f t="shared" si="30"/>
        <v>1.1666666666666665E-2</v>
      </c>
      <c r="R96" s="32">
        <v>3.8999999999999998E-3</v>
      </c>
      <c r="S96" s="10">
        <f t="shared" si="31"/>
        <v>-2.7666666666666673E-3</v>
      </c>
      <c r="T96" s="32">
        <f t="shared" si="32"/>
        <v>-3.858223247398488E-2</v>
      </c>
      <c r="U96" s="10">
        <f t="shared" si="39"/>
        <v>1.6666666666666635E-3</v>
      </c>
      <c r="V96" s="10">
        <f t="shared" si="40"/>
        <v>-3.3333333333333409E-3</v>
      </c>
      <c r="W96" s="10">
        <f t="shared" si="33"/>
        <v>0.99547551042253035</v>
      </c>
      <c r="X96" s="10">
        <f t="shared" si="34"/>
        <v>-2.197180584940539</v>
      </c>
      <c r="Y96" s="10">
        <f t="shared" si="35"/>
        <v>1.1966197620013621</v>
      </c>
      <c r="Z96" s="10">
        <f t="shared" si="36"/>
        <v>0.4</v>
      </c>
      <c r="AA96" s="10">
        <f t="shared" si="41"/>
        <v>2.750000000000008E-2</v>
      </c>
      <c r="AB96" s="34">
        <v>27.19</v>
      </c>
      <c r="AC96" s="34">
        <v>69.619463505926376</v>
      </c>
      <c r="AD96" s="10">
        <f t="shared" si="37"/>
        <v>3.4124896920665566E-2</v>
      </c>
    </row>
    <row r="97" spans="1:30" x14ac:dyDescent="0.2">
      <c r="A97" s="1">
        <v>44531</v>
      </c>
      <c r="B97" s="18">
        <v>8.8834033633664322E-2</v>
      </c>
      <c r="C97" s="19">
        <v>-0.29749999999999999</v>
      </c>
      <c r="D97" s="19">
        <v>5.7499999999999996E-2</v>
      </c>
      <c r="E97" s="19">
        <v>8.1666666666666665E-2</v>
      </c>
      <c r="F97" s="19">
        <v>0.10166666666666667</v>
      </c>
      <c r="G97" s="19">
        <f t="shared" si="38"/>
        <v>6.6337750000000001E-2</v>
      </c>
      <c r="H97" s="19">
        <v>-1.0572012874655701</v>
      </c>
      <c r="I97" s="19">
        <v>1.8147767041663099</v>
      </c>
      <c r="J97" s="23">
        <v>4674.7727272727261</v>
      </c>
      <c r="K97" s="24">
        <f t="shared" si="42"/>
        <v>1.58248311818876E-3</v>
      </c>
      <c r="L97" s="22">
        <v>197.87</v>
      </c>
      <c r="M97" s="19">
        <f t="shared" si="28"/>
        <v>4.2327191404540825E-2</v>
      </c>
      <c r="N97" s="27">
        <v>6.6666666666666671E-3</v>
      </c>
      <c r="O97" s="11">
        <v>1.3592930931331151</v>
      </c>
      <c r="P97" s="10">
        <f t="shared" si="29"/>
        <v>4.4166666666666674E-2</v>
      </c>
      <c r="Q97" s="10">
        <f t="shared" si="30"/>
        <v>4.1666666666666657E-3</v>
      </c>
      <c r="R97" s="32">
        <v>9.5083333333333304E-3</v>
      </c>
      <c r="S97" s="10">
        <f t="shared" si="31"/>
        <v>2.8416666666666634E-3</v>
      </c>
      <c r="T97" s="32">
        <f t="shared" si="32"/>
        <v>-3.1334033633664327E-2</v>
      </c>
      <c r="U97" s="10">
        <f t="shared" si="39"/>
        <v>2.5000000000000092E-3</v>
      </c>
      <c r="V97" s="10">
        <f t="shared" si="40"/>
        <v>-7.4999999999999997E-3</v>
      </c>
      <c r="W97" s="10">
        <f t="shared" si="33"/>
        <v>-1.12353903746557</v>
      </c>
      <c r="X97" s="10">
        <f t="shared" si="34"/>
        <v>2.8719779916318799</v>
      </c>
      <c r="Y97" s="10">
        <f t="shared" si="35"/>
        <v>-1.8131942210481211</v>
      </c>
      <c r="Z97" s="10">
        <f t="shared" si="36"/>
        <v>0.35499999999999998</v>
      </c>
      <c r="AA97" s="10">
        <f t="shared" si="41"/>
        <v>-4.500000000000004E-2</v>
      </c>
      <c r="AB97" s="34">
        <v>17.22</v>
      </c>
      <c r="AC97" s="34">
        <v>-43.853928920769491</v>
      </c>
      <c r="AD97" s="10">
        <f t="shared" si="37"/>
        <v>3.5660524737874157E-2</v>
      </c>
    </row>
    <row r="98" spans="1:30" x14ac:dyDescent="0.2">
      <c r="A98" s="1">
        <v>44562</v>
      </c>
      <c r="B98" s="18">
        <v>0.11624732371193404</v>
      </c>
      <c r="C98" s="19">
        <v>-0.29833333333333334</v>
      </c>
      <c r="D98" s="19">
        <v>8.666666666666667E-2</v>
      </c>
      <c r="E98" s="19">
        <v>0.11</v>
      </c>
      <c r="F98" s="19">
        <v>0.1275</v>
      </c>
      <c r="G98" s="19">
        <f t="shared" si="38"/>
        <v>9.5199666666666682E-2</v>
      </c>
      <c r="H98" s="19">
        <v>-3.9390797922347232</v>
      </c>
      <c r="I98" s="19">
        <v>-2.3735665522797711</v>
      </c>
      <c r="J98" s="23">
        <v>4573.8154999999997</v>
      </c>
      <c r="K98" s="24">
        <f t="shared" si="42"/>
        <v>-2.1596178715542647E-2</v>
      </c>
      <c r="L98" s="22">
        <f>L97*2/3+L100/3</f>
        <v>197.88333333333333</v>
      </c>
      <c r="M98" s="19">
        <f t="shared" ref="M98:M129" si="43">L98/J98</f>
        <v>4.3264389071516626E-2</v>
      </c>
      <c r="N98" s="27">
        <v>6.6666666666666671E-3</v>
      </c>
      <c r="O98" s="11">
        <v>-2.2568118607420633</v>
      </c>
      <c r="P98" s="10">
        <f t="shared" ref="P98:P129" si="44">F98-D98</f>
        <v>4.0833333333333333E-2</v>
      </c>
      <c r="Q98" s="10">
        <f t="shared" ref="Q98:Q129" si="45">2*E98-F98-D98</f>
        <v>5.8333333333333293E-3</v>
      </c>
      <c r="R98" s="32">
        <v>1.6316666666666702E-2</v>
      </c>
      <c r="S98" s="10">
        <f t="shared" ref="S98:S129" si="46">R98-N98</f>
        <v>9.6500000000000336E-3</v>
      </c>
      <c r="T98" s="32">
        <f t="shared" ref="T98:T129" si="47">D98-B98</f>
        <v>-2.9580657045267369E-2</v>
      </c>
      <c r="U98" s="10">
        <f t="shared" si="39"/>
        <v>-3.3333333333333409E-3</v>
      </c>
      <c r="V98" s="10">
        <f t="shared" si="40"/>
        <v>1.6666666666666635E-3</v>
      </c>
      <c r="W98" s="10">
        <f t="shared" ref="W98:W129" si="48">H98-G98</f>
        <v>-4.0342794589013895</v>
      </c>
      <c r="X98" s="10">
        <f t="shared" ref="X98:X129" si="49">I98-H98</f>
        <v>1.5655132399549521</v>
      </c>
      <c r="Y98" s="10">
        <f t="shared" ref="Y98:Y129" si="50">K98-I98</f>
        <v>2.3519703735642286</v>
      </c>
      <c r="Z98" s="10">
        <f t="shared" ref="Z98:Z129" si="51">D98-C98</f>
        <v>0.38500000000000001</v>
      </c>
      <c r="AA98" s="10">
        <f t="shared" si="41"/>
        <v>3.0000000000000027E-2</v>
      </c>
      <c r="AB98" s="34">
        <v>24.83</v>
      </c>
      <c r="AC98" s="34">
        <v>49.578313253012027</v>
      </c>
      <c r="AD98" s="10">
        <f t="shared" ref="AD98:AD129" si="52">M98-N98</f>
        <v>3.6597722404849958E-2</v>
      </c>
    </row>
    <row r="99" spans="1:30" x14ac:dyDescent="0.2">
      <c r="A99" s="1">
        <v>44593</v>
      </c>
      <c r="B99" s="18">
        <v>0.13228575875819668</v>
      </c>
      <c r="C99" s="19">
        <v>-0.33</v>
      </c>
      <c r="D99" s="19">
        <v>8.8333333333333333E-2</v>
      </c>
      <c r="E99" s="19">
        <v>0.11916666666666666</v>
      </c>
      <c r="F99" s="19">
        <v>0.14083333333333334</v>
      </c>
      <c r="G99" s="19">
        <f t="shared" si="38"/>
        <v>9.9609083333333334E-2</v>
      </c>
      <c r="H99" s="19">
        <v>-3.0655598310978971</v>
      </c>
      <c r="I99" s="19">
        <v>-1.1662746970310334</v>
      </c>
      <c r="J99" s="23">
        <v>4435.9805263157887</v>
      </c>
      <c r="K99" s="24">
        <f t="shared" si="42"/>
        <v>-3.0135665438234427E-2</v>
      </c>
      <c r="L99" s="22">
        <f>L97/3+L100*2/3</f>
        <v>197.89666666666665</v>
      </c>
      <c r="M99" s="19">
        <f t="shared" si="43"/>
        <v>4.4611707714376649E-2</v>
      </c>
      <c r="N99" s="27">
        <v>6.6666666666666671E-3</v>
      </c>
      <c r="O99" s="11">
        <v>-1.1072210028407516</v>
      </c>
      <c r="P99" s="10">
        <f t="shared" si="44"/>
        <v>5.2500000000000005E-2</v>
      </c>
      <c r="Q99" s="10">
        <f t="shared" si="45"/>
        <v>9.1666666666666424E-3</v>
      </c>
      <c r="R99" s="32">
        <v>3.4991666666666699E-2</v>
      </c>
      <c r="S99" s="10">
        <f t="shared" si="46"/>
        <v>2.8325000000000031E-2</v>
      </c>
      <c r="T99" s="32">
        <f t="shared" si="47"/>
        <v>-4.3952425424863342E-2</v>
      </c>
      <c r="U99" s="10">
        <f t="shared" ref="U99:U130" si="53">P99-P98</f>
        <v>1.1666666666666672E-2</v>
      </c>
      <c r="V99" s="10">
        <f t="shared" ref="V99:V130" si="54">Q99-Q98</f>
        <v>3.3333333333333132E-3</v>
      </c>
      <c r="W99" s="10">
        <f t="shared" si="48"/>
        <v>-3.1651689144312303</v>
      </c>
      <c r="X99" s="10">
        <f t="shared" si="49"/>
        <v>1.8992851340668637</v>
      </c>
      <c r="Y99" s="10">
        <f t="shared" si="50"/>
        <v>1.1361390315927991</v>
      </c>
      <c r="Z99" s="10">
        <f t="shared" si="51"/>
        <v>0.41833333333333333</v>
      </c>
      <c r="AA99" s="10">
        <f t="shared" ref="AA99:AA130" si="55">Z99-Z98</f>
        <v>3.3333333333333326E-2</v>
      </c>
      <c r="AB99" s="34">
        <v>30.15</v>
      </c>
      <c r="AC99" s="34">
        <v>21.425694724124057</v>
      </c>
      <c r="AD99" s="10">
        <f t="shared" si="52"/>
        <v>3.7945041047709981E-2</v>
      </c>
    </row>
    <row r="100" spans="1:30" x14ac:dyDescent="0.2">
      <c r="A100" s="1">
        <v>44621</v>
      </c>
      <c r="B100" s="18">
        <v>0.16608814948265596</v>
      </c>
      <c r="C100" s="19">
        <v>-0.32833333333333331</v>
      </c>
      <c r="D100" s="19">
        <v>0.11749999999999999</v>
      </c>
      <c r="E100" s="19">
        <v>0.13583333333333333</v>
      </c>
      <c r="F100" s="19">
        <v>0.155</v>
      </c>
      <c r="G100" s="19">
        <f t="shared" si="38"/>
        <v>0.1242045</v>
      </c>
      <c r="H100" s="19">
        <v>0.25747217049501003</v>
      </c>
      <c r="I100" s="19">
        <v>-0.63178803127763583</v>
      </c>
      <c r="J100" s="23">
        <v>4391.2652173913057</v>
      </c>
      <c r="K100" s="24">
        <f t="shared" si="42"/>
        <v>-1.008014094273324E-2</v>
      </c>
      <c r="L100" s="22">
        <v>197.91</v>
      </c>
      <c r="M100" s="19">
        <f t="shared" si="43"/>
        <v>4.5069015466474439E-2</v>
      </c>
      <c r="N100" s="27">
        <v>1.6666666666666666E-2</v>
      </c>
      <c r="O100" s="11">
        <v>1.9965489332311821</v>
      </c>
      <c r="P100" s="10">
        <f t="shared" si="44"/>
        <v>3.7500000000000006E-2</v>
      </c>
      <c r="Q100" s="10">
        <f t="shared" si="45"/>
        <v>-8.3333333333332482E-4</v>
      </c>
      <c r="R100" s="32">
        <v>4.68583333333333E-2</v>
      </c>
      <c r="S100" s="10">
        <f t="shared" si="46"/>
        <v>3.0191666666666634E-2</v>
      </c>
      <c r="T100" s="32">
        <f t="shared" si="47"/>
        <v>-4.8588149482655968E-2</v>
      </c>
      <c r="U100" s="10">
        <f t="shared" si="53"/>
        <v>-1.4999999999999999E-2</v>
      </c>
      <c r="V100" s="10">
        <f t="shared" si="54"/>
        <v>-9.9999999999999672E-3</v>
      </c>
      <c r="W100" s="10">
        <f t="shared" si="48"/>
        <v>0.13326767049501004</v>
      </c>
      <c r="X100" s="10">
        <f t="shared" si="49"/>
        <v>-0.88926020177264586</v>
      </c>
      <c r="Y100" s="10">
        <f t="shared" si="50"/>
        <v>0.62170789033490259</v>
      </c>
      <c r="Z100" s="10">
        <f t="shared" si="51"/>
        <v>0.4458333333333333</v>
      </c>
      <c r="AA100" s="10">
        <f t="shared" si="55"/>
        <v>2.7499999999999969E-2</v>
      </c>
      <c r="AB100" s="34">
        <v>20.56</v>
      </c>
      <c r="AC100" s="34">
        <v>-35.709818636647903</v>
      </c>
      <c r="AD100" s="10">
        <f t="shared" si="52"/>
        <v>2.8402348799807773E-2</v>
      </c>
    </row>
    <row r="101" spans="1:30" x14ac:dyDescent="0.2">
      <c r="A101" s="1">
        <v>44652</v>
      </c>
      <c r="B101" s="18">
        <v>0.18446785699722701</v>
      </c>
      <c r="C101" s="19">
        <v>-0.3066666666666667</v>
      </c>
      <c r="D101" s="19">
        <v>0.13749999999999998</v>
      </c>
      <c r="E101" s="19">
        <v>0.16</v>
      </c>
      <c r="F101" s="19">
        <v>0.17916666666666667</v>
      </c>
      <c r="G101" s="19">
        <f t="shared" si="38"/>
        <v>0.14572825</v>
      </c>
      <c r="H101" s="19">
        <v>-3.7196246230622676</v>
      </c>
      <c r="I101" s="19">
        <v>-3.8067515460266876</v>
      </c>
      <c r="J101" s="23">
        <v>4391.2959999999994</v>
      </c>
      <c r="K101" s="24">
        <f t="shared" si="42"/>
        <v>7.0099634545961464E-6</v>
      </c>
      <c r="L101" s="22">
        <f>L100*2/3+L103/3</f>
        <v>196.02666666666664</v>
      </c>
      <c r="M101" s="19">
        <f t="shared" si="43"/>
        <v>4.4639820833454788E-2</v>
      </c>
      <c r="N101" s="27">
        <v>2.75E-2</v>
      </c>
      <c r="O101" s="11">
        <v>-1.7163787658669345</v>
      </c>
      <c r="P101" s="10">
        <f t="shared" si="44"/>
        <v>4.1666666666666685E-2</v>
      </c>
      <c r="Q101" s="10">
        <f t="shared" si="45"/>
        <v>3.3333333333333548E-3</v>
      </c>
      <c r="R101" s="32">
        <v>5.7549999999999997E-2</v>
      </c>
      <c r="S101" s="10">
        <f t="shared" si="46"/>
        <v>3.0049999999999997E-2</v>
      </c>
      <c r="T101" s="32">
        <f t="shared" si="47"/>
        <v>-4.6967856997227025E-2</v>
      </c>
      <c r="U101" s="10">
        <f t="shared" si="53"/>
        <v>4.1666666666666796E-3</v>
      </c>
      <c r="V101" s="10">
        <f t="shared" si="54"/>
        <v>4.1666666666666796E-3</v>
      </c>
      <c r="W101" s="10">
        <f t="shared" si="48"/>
        <v>-3.8653528730622675</v>
      </c>
      <c r="X101" s="10">
        <f t="shared" si="49"/>
        <v>-8.7126922964420039E-2</v>
      </c>
      <c r="Y101" s="10">
        <f t="shared" si="50"/>
        <v>3.8067585559901422</v>
      </c>
      <c r="Z101" s="10">
        <f t="shared" si="51"/>
        <v>0.44416666666666671</v>
      </c>
      <c r="AA101" s="10">
        <f t="shared" si="55"/>
        <v>-1.6666666666665941E-3</v>
      </c>
      <c r="AB101" s="34">
        <v>33.4</v>
      </c>
      <c r="AC101" s="34">
        <v>70.147733061640352</v>
      </c>
      <c r="AD101" s="10">
        <f t="shared" si="52"/>
        <v>1.7139820833454788E-2</v>
      </c>
    </row>
    <row r="102" spans="1:30" x14ac:dyDescent="0.2">
      <c r="A102" s="1">
        <v>44682</v>
      </c>
      <c r="B102" s="18">
        <v>0.19582172460568678</v>
      </c>
      <c r="C102" s="19">
        <v>-0.28833333333333333</v>
      </c>
      <c r="D102" s="19">
        <v>0.13666666666666666</v>
      </c>
      <c r="E102" s="19">
        <v>0.17749999999999999</v>
      </c>
      <c r="F102" s="19">
        <v>0.20833333333333334</v>
      </c>
      <c r="G102" s="19">
        <f t="shared" si="38"/>
        <v>0.15159941666666665</v>
      </c>
      <c r="H102" s="19">
        <v>-1.4048041078583484</v>
      </c>
      <c r="I102" s="19">
        <v>0.57843611120165228</v>
      </c>
      <c r="J102" s="23">
        <v>4040.3599999999997</v>
      </c>
      <c r="K102" s="24">
        <f t="shared" si="42"/>
        <v>-7.9916270731920536E-2</v>
      </c>
      <c r="L102" s="22">
        <f>L100/3+L103*2/3</f>
        <v>194.14333333333332</v>
      </c>
      <c r="M102" s="19">
        <f t="shared" si="43"/>
        <v>4.8050998755886441E-2</v>
      </c>
      <c r="N102" s="27">
        <v>6.4166666666666664E-2</v>
      </c>
      <c r="O102" s="11">
        <v>-0.82038765576752415</v>
      </c>
      <c r="P102" s="10">
        <f t="shared" si="44"/>
        <v>7.1666666666666684E-2</v>
      </c>
      <c r="Q102" s="10">
        <f t="shared" si="45"/>
        <v>9.9999999999999811E-3</v>
      </c>
      <c r="R102" s="32">
        <v>7.6316666666666699E-2</v>
      </c>
      <c r="S102" s="10">
        <f t="shared" si="46"/>
        <v>1.2150000000000036E-2</v>
      </c>
      <c r="T102" s="32">
        <f t="shared" si="47"/>
        <v>-5.9155057939020123E-2</v>
      </c>
      <c r="U102" s="10">
        <f t="shared" si="53"/>
        <v>0.03</v>
      </c>
      <c r="V102" s="10">
        <f t="shared" si="54"/>
        <v>6.6666666666666263E-3</v>
      </c>
      <c r="W102" s="10">
        <f t="shared" si="48"/>
        <v>-1.556403524525015</v>
      </c>
      <c r="X102" s="10">
        <f t="shared" si="49"/>
        <v>1.9832402190600007</v>
      </c>
      <c r="Y102" s="10">
        <f t="shared" si="50"/>
        <v>-0.65835238193357282</v>
      </c>
      <c r="Z102" s="10">
        <f t="shared" si="51"/>
        <v>0.42499999999999999</v>
      </c>
      <c r="AA102" s="10">
        <f t="shared" si="55"/>
        <v>-1.9166666666666721E-2</v>
      </c>
      <c r="AB102" s="34">
        <v>26.19</v>
      </c>
      <c r="AC102" s="34">
        <v>3.0291109362706514</v>
      </c>
      <c r="AD102" s="10">
        <f t="shared" si="52"/>
        <v>-1.6115667910780222E-2</v>
      </c>
    </row>
    <row r="103" spans="1:30" x14ac:dyDescent="0.2">
      <c r="A103" s="1">
        <v>44713</v>
      </c>
      <c r="B103" s="18">
        <v>0.2139468767592706</v>
      </c>
      <c r="C103" s="19">
        <v>-0.15583333333333335</v>
      </c>
      <c r="D103" s="19">
        <v>0.15833333333333333</v>
      </c>
      <c r="E103" s="19">
        <v>0.19083333333333333</v>
      </c>
      <c r="F103" s="19">
        <v>0.22666666666666668</v>
      </c>
      <c r="G103" s="19">
        <f t="shared" si="38"/>
        <v>0.17021858333333334</v>
      </c>
      <c r="H103" s="19">
        <v>-3.2863506174682144</v>
      </c>
      <c r="I103" s="19">
        <v>-6.6644823303302356</v>
      </c>
      <c r="J103" s="23">
        <v>3898.9466666666676</v>
      </c>
      <c r="K103" s="24">
        <f t="shared" si="42"/>
        <v>-3.5000181501978034E-2</v>
      </c>
      <c r="L103" s="22">
        <v>192.26</v>
      </c>
      <c r="M103" s="19">
        <f t="shared" si="43"/>
        <v>4.9310754015614459E-2</v>
      </c>
      <c r="N103" s="27">
        <v>0.10083333333333333</v>
      </c>
      <c r="O103" s="11">
        <v>-3.6875242113072275</v>
      </c>
      <c r="P103" s="10">
        <f t="shared" si="44"/>
        <v>6.8333333333333357E-2</v>
      </c>
      <c r="Q103" s="10">
        <f t="shared" si="45"/>
        <v>-3.3333333333333548E-3</v>
      </c>
      <c r="R103" s="32">
        <v>8.9724999999999999E-2</v>
      </c>
      <c r="S103" s="10">
        <f t="shared" si="46"/>
        <v>-1.1108333333333331E-2</v>
      </c>
      <c r="T103" s="32">
        <f t="shared" si="47"/>
        <v>-5.5613543425937273E-2</v>
      </c>
      <c r="U103" s="10">
        <f t="shared" si="53"/>
        <v>-3.333333333333327E-3</v>
      </c>
      <c r="V103" s="10">
        <f t="shared" si="54"/>
        <v>-1.3333333333333336E-2</v>
      </c>
      <c r="W103" s="10">
        <f t="shared" si="48"/>
        <v>-3.4565692008015478</v>
      </c>
      <c r="X103" s="10">
        <f t="shared" si="49"/>
        <v>-3.3781317128620212</v>
      </c>
      <c r="Y103" s="10">
        <f t="shared" si="50"/>
        <v>6.6294821488282576</v>
      </c>
      <c r="Z103" s="10">
        <f t="shared" si="51"/>
        <v>0.31416666666666671</v>
      </c>
      <c r="AA103" s="10">
        <f t="shared" si="55"/>
        <v>-0.11083333333333328</v>
      </c>
      <c r="AB103" s="34">
        <v>28.71</v>
      </c>
      <c r="AC103" s="34">
        <v>16.140776699029136</v>
      </c>
      <c r="AD103" s="10">
        <f t="shared" si="52"/>
        <v>-5.1522579317718871E-2</v>
      </c>
    </row>
    <row r="104" spans="1:30" x14ac:dyDescent="0.2">
      <c r="A104" s="1">
        <v>44743</v>
      </c>
      <c r="B104" s="18">
        <v>0.19523573221551702</v>
      </c>
      <c r="C104" s="19">
        <v>-0.19666666666666666</v>
      </c>
      <c r="D104" s="19">
        <v>0.13749999999999998</v>
      </c>
      <c r="E104" s="19">
        <v>0.16083333333333333</v>
      </c>
      <c r="F104" s="19">
        <v>0.21249999999999999</v>
      </c>
      <c r="G104" s="19">
        <f t="shared" si="38"/>
        <v>0.14603299999999997</v>
      </c>
      <c r="H104" s="19">
        <v>4.5191608942772081</v>
      </c>
      <c r="I104" s="19">
        <v>6.4177255459763503</v>
      </c>
      <c r="J104" s="23">
        <v>3911.729499999999</v>
      </c>
      <c r="K104" s="24">
        <f t="shared" si="42"/>
        <v>3.2785350573312222E-3</v>
      </c>
      <c r="L104" s="22">
        <f>L103*2/3+L106/3</f>
        <v>190.58333333333331</v>
      </c>
      <c r="M104" s="19">
        <f t="shared" si="43"/>
        <v>4.872098986735493E-2</v>
      </c>
      <c r="N104" s="27">
        <v>0.13999999999999999</v>
      </c>
      <c r="O104" s="11">
        <v>3.8214888861569447</v>
      </c>
      <c r="P104" s="10">
        <f t="shared" si="44"/>
        <v>7.5000000000000011E-2</v>
      </c>
      <c r="Q104" s="10">
        <f t="shared" si="45"/>
        <v>-2.8333333333333321E-2</v>
      </c>
      <c r="R104" s="32">
        <v>9.9233333333333298E-2</v>
      </c>
      <c r="S104" s="10">
        <f t="shared" si="46"/>
        <v>-4.0766666666666687E-2</v>
      </c>
      <c r="T104" s="32">
        <f t="shared" si="47"/>
        <v>-5.7735732215517033E-2</v>
      </c>
      <c r="U104" s="10">
        <f t="shared" si="53"/>
        <v>6.6666666666666541E-3</v>
      </c>
      <c r="V104" s="10">
        <f t="shared" si="54"/>
        <v>-2.4999999999999967E-2</v>
      </c>
      <c r="W104" s="10">
        <f t="shared" si="48"/>
        <v>4.373127894277208</v>
      </c>
      <c r="X104" s="10">
        <f t="shared" si="49"/>
        <v>1.8985646516991421</v>
      </c>
      <c r="Y104" s="10">
        <f t="shared" si="50"/>
        <v>-6.4144470109190195</v>
      </c>
      <c r="Z104" s="10">
        <f t="shared" si="51"/>
        <v>0.33416666666666661</v>
      </c>
      <c r="AA104" s="10">
        <f t="shared" si="55"/>
        <v>1.9999999999999907E-2</v>
      </c>
      <c r="AB104" s="34">
        <v>21.33</v>
      </c>
      <c r="AC104" s="34">
        <v>-22.520886305848176</v>
      </c>
      <c r="AD104" s="10">
        <f t="shared" si="52"/>
        <v>-9.1279010132645055E-2</v>
      </c>
    </row>
    <row r="105" spans="1:30" x14ac:dyDescent="0.2">
      <c r="A105" s="1">
        <v>44774</v>
      </c>
      <c r="B105" s="18">
        <v>0.30651885486310126</v>
      </c>
      <c r="C105" s="19">
        <v>-0.18583333333333332</v>
      </c>
      <c r="D105" s="19">
        <v>0.23916666666666667</v>
      </c>
      <c r="E105" s="19">
        <v>0.23833333333333331</v>
      </c>
      <c r="F105" s="19">
        <v>0.27083333333333331</v>
      </c>
      <c r="G105" s="19">
        <f t="shared" si="38"/>
        <v>0.23886191666666667</v>
      </c>
      <c r="H105" s="19">
        <v>-7.9023316262838224</v>
      </c>
      <c r="I105" s="19">
        <v>-3.8342345117834853</v>
      </c>
      <c r="J105" s="23">
        <v>4158.5630434782615</v>
      </c>
      <c r="K105" s="24">
        <f t="shared" si="42"/>
        <v>6.3100872255676732E-2</v>
      </c>
      <c r="L105" s="22">
        <f>L103/3+L106*2/3</f>
        <v>188.90666666666664</v>
      </c>
      <c r="M105" s="19">
        <f t="shared" si="43"/>
        <v>4.5425947542847234E-2</v>
      </c>
      <c r="N105" s="27">
        <v>0.19416666666666668</v>
      </c>
      <c r="O105" s="11">
        <v>-1.8267949190726551</v>
      </c>
      <c r="P105" s="10">
        <f t="shared" si="44"/>
        <v>3.1666666666666649E-2</v>
      </c>
      <c r="Q105" s="10">
        <f t="shared" si="45"/>
        <v>-3.3333333333333354E-2</v>
      </c>
      <c r="R105" s="32">
        <v>0.13516666666666699</v>
      </c>
      <c r="S105" s="10">
        <f t="shared" si="46"/>
        <v>-5.8999999999999692E-2</v>
      </c>
      <c r="T105" s="32">
        <f t="shared" si="47"/>
        <v>-6.7352188196434598E-2</v>
      </c>
      <c r="U105" s="10">
        <f t="shared" si="53"/>
        <v>-4.3333333333333363E-2</v>
      </c>
      <c r="V105" s="10">
        <f t="shared" si="54"/>
        <v>-5.0000000000000322E-3</v>
      </c>
      <c r="W105" s="10">
        <f t="shared" si="48"/>
        <v>-8.1411935429504894</v>
      </c>
      <c r="X105" s="10">
        <f t="shared" si="49"/>
        <v>4.0680971145003371</v>
      </c>
      <c r="Y105" s="10">
        <f t="shared" si="50"/>
        <v>3.8973353840391622</v>
      </c>
      <c r="Z105" s="10">
        <f t="shared" si="51"/>
        <v>0.42499999999999999</v>
      </c>
      <c r="AA105" s="10">
        <f t="shared" si="55"/>
        <v>9.0833333333333377E-2</v>
      </c>
      <c r="AB105" s="34">
        <v>25.87</v>
      </c>
      <c r="AC105" s="34">
        <v>20.662313432835823</v>
      </c>
      <c r="AD105" s="10">
        <f t="shared" si="52"/>
        <v>-0.14874071912381945</v>
      </c>
    </row>
    <row r="106" spans="1:30" x14ac:dyDescent="0.2">
      <c r="A106" s="1">
        <v>44805</v>
      </c>
      <c r="B106" s="18">
        <v>0.44092319696446935</v>
      </c>
      <c r="C106" s="19">
        <v>0</v>
      </c>
      <c r="D106" s="19">
        <v>0.36499999999999999</v>
      </c>
      <c r="E106" s="19">
        <v>0.34166666666666662</v>
      </c>
      <c r="F106" s="19">
        <v>0.32833333333333331</v>
      </c>
      <c r="G106" s="19">
        <f t="shared" si="38"/>
        <v>0.35646699999999998</v>
      </c>
      <c r="H106" s="19">
        <v>-8.7850768687040883</v>
      </c>
      <c r="I106" s="19">
        <v>-2.3999678677285918</v>
      </c>
      <c r="J106" s="23">
        <v>3850.5204761904752</v>
      </c>
      <c r="K106" s="24">
        <f t="shared" si="42"/>
        <v>-7.4074280963680295E-2</v>
      </c>
      <c r="L106" s="22">
        <v>187.23</v>
      </c>
      <c r="M106" s="19">
        <f t="shared" si="43"/>
        <v>4.8624595339182973E-2</v>
      </c>
      <c r="N106" s="27">
        <v>0.21333333333333335</v>
      </c>
      <c r="O106" s="11">
        <v>-4.6868598995851904</v>
      </c>
      <c r="P106" s="10">
        <f t="shared" si="44"/>
        <v>-3.6666666666666681E-2</v>
      </c>
      <c r="Q106" s="10">
        <f t="shared" si="45"/>
        <v>-1.0000000000000064E-2</v>
      </c>
      <c r="R106" s="32">
        <v>0.154741666666667</v>
      </c>
      <c r="S106" s="10">
        <f t="shared" si="46"/>
        <v>-5.8591666666666348E-2</v>
      </c>
      <c r="T106" s="32">
        <f t="shared" si="47"/>
        <v>-7.5923196964469364E-2</v>
      </c>
      <c r="U106" s="10">
        <f t="shared" si="53"/>
        <v>-6.8333333333333329E-2</v>
      </c>
      <c r="V106" s="10">
        <f t="shared" si="54"/>
        <v>2.3333333333333289E-2</v>
      </c>
      <c r="W106" s="10">
        <f t="shared" si="48"/>
        <v>-9.1415438687040886</v>
      </c>
      <c r="X106" s="10">
        <f t="shared" si="49"/>
        <v>6.3851090009754969</v>
      </c>
      <c r="Y106" s="10">
        <f t="shared" si="50"/>
        <v>2.3258935867649115</v>
      </c>
      <c r="Z106" s="10">
        <f t="shared" si="51"/>
        <v>0.36499999999999999</v>
      </c>
      <c r="AA106" s="10">
        <f t="shared" si="55"/>
        <v>-0.06</v>
      </c>
      <c r="AB106" s="34">
        <v>31.62</v>
      </c>
      <c r="AC106" s="34">
        <v>21.662177760677203</v>
      </c>
      <c r="AD106" s="10">
        <f t="shared" si="52"/>
        <v>-0.16470873799415037</v>
      </c>
    </row>
    <row r="107" spans="1:30" x14ac:dyDescent="0.2">
      <c r="A107" s="1">
        <v>44835</v>
      </c>
      <c r="B107" s="18">
        <v>0.36914421443386103</v>
      </c>
      <c r="C107" s="19">
        <v>-5.5E-2</v>
      </c>
      <c r="D107" s="19">
        <v>0.28750000000000003</v>
      </c>
      <c r="E107" s="19">
        <v>0.30166666666666669</v>
      </c>
      <c r="F107" s="19">
        <v>0.32166666666666666</v>
      </c>
      <c r="G107" s="19">
        <f t="shared" si="38"/>
        <v>0.29268075000000005</v>
      </c>
      <c r="H107" s="19">
        <v>5.2908368561963472</v>
      </c>
      <c r="I107" s="19">
        <v>2.1570201880150464</v>
      </c>
      <c r="J107" s="23">
        <v>3726.0509523809519</v>
      </c>
      <c r="K107" s="24">
        <f t="shared" si="42"/>
        <v>-3.2325376420973551E-2</v>
      </c>
      <c r="L107" s="22">
        <f>L106*2/3+L109/3</f>
        <v>182.40333333333334</v>
      </c>
      <c r="M107" s="19">
        <f t="shared" si="43"/>
        <v>4.8953526310953246E-2</v>
      </c>
      <c r="N107" s="27">
        <v>0.25666666666666665</v>
      </c>
      <c r="O107" s="11">
        <v>2.2441569439350513</v>
      </c>
      <c r="P107" s="10">
        <f t="shared" si="44"/>
        <v>3.4166666666666623E-2</v>
      </c>
      <c r="Q107" s="10">
        <f t="shared" si="45"/>
        <v>-5.8333333333333015E-3</v>
      </c>
      <c r="R107" s="32">
        <v>0.18214166666666701</v>
      </c>
      <c r="S107" s="10">
        <f t="shared" si="46"/>
        <v>-7.4524999999999647E-2</v>
      </c>
      <c r="T107" s="32">
        <f t="shared" si="47"/>
        <v>-8.1644214433860995E-2</v>
      </c>
      <c r="U107" s="10">
        <f t="shared" si="53"/>
        <v>7.0833333333333304E-2</v>
      </c>
      <c r="V107" s="10">
        <f t="shared" si="54"/>
        <v>4.1666666666667629E-3</v>
      </c>
      <c r="W107" s="10">
        <f t="shared" si="48"/>
        <v>4.9981561061963475</v>
      </c>
      <c r="X107" s="10">
        <f t="shared" si="49"/>
        <v>-3.1338166681813009</v>
      </c>
      <c r="Y107" s="10">
        <f t="shared" si="50"/>
        <v>-2.18934556443602</v>
      </c>
      <c r="Z107" s="10">
        <f t="shared" si="51"/>
        <v>0.34250000000000003</v>
      </c>
      <c r="AA107" s="10">
        <f t="shared" si="55"/>
        <v>-2.2499999999999964E-2</v>
      </c>
      <c r="AB107" s="34">
        <v>25.88</v>
      </c>
      <c r="AC107" s="34">
        <v>-10.973512211902314</v>
      </c>
      <c r="AD107" s="10">
        <f t="shared" si="52"/>
        <v>-0.20771314035571342</v>
      </c>
    </row>
    <row r="108" spans="1:30" x14ac:dyDescent="0.2">
      <c r="A108" s="1">
        <v>44866</v>
      </c>
      <c r="B108" s="18">
        <v>0.34235669464899177</v>
      </c>
      <c r="C108" s="19">
        <v>-5.9166666666666666E-2</v>
      </c>
      <c r="D108" s="19">
        <v>0.27083333333333331</v>
      </c>
      <c r="E108" s="19">
        <v>0.27083333333333331</v>
      </c>
      <c r="F108" s="19">
        <v>0.29833333333333334</v>
      </c>
      <c r="G108" s="19">
        <f t="shared" si="38"/>
        <v>0.27083333333333331</v>
      </c>
      <c r="H108" s="19">
        <v>4.0024026954521572</v>
      </c>
      <c r="I108" s="19">
        <v>2.1483389757755322</v>
      </c>
      <c r="J108" s="23">
        <v>3917.488571428571</v>
      </c>
      <c r="K108" s="24">
        <f t="shared" si="42"/>
        <v>5.1378153840137442E-2</v>
      </c>
      <c r="L108" s="22">
        <f>L106/3+L109*2/3</f>
        <v>177.57666666666665</v>
      </c>
      <c r="M108" s="19">
        <f t="shared" si="43"/>
        <v>4.532921115884983E-2</v>
      </c>
      <c r="N108" s="27">
        <v>0.315</v>
      </c>
      <c r="O108" s="11">
        <v>2.5198681337412903</v>
      </c>
      <c r="P108" s="10">
        <f t="shared" si="44"/>
        <v>2.7500000000000024E-2</v>
      </c>
      <c r="Q108" s="10">
        <f t="shared" si="45"/>
        <v>-2.7500000000000024E-2</v>
      </c>
      <c r="R108" s="32">
        <v>0.23832500000000001</v>
      </c>
      <c r="S108" s="10">
        <f t="shared" si="46"/>
        <v>-7.6674999999999993E-2</v>
      </c>
      <c r="T108" s="32">
        <f t="shared" si="47"/>
        <v>-7.1523361315658451E-2</v>
      </c>
      <c r="U108" s="10">
        <f t="shared" si="53"/>
        <v>-6.6666666666665986E-3</v>
      </c>
      <c r="V108" s="10">
        <f t="shared" si="54"/>
        <v>-2.1666666666666723E-2</v>
      </c>
      <c r="W108" s="10">
        <f t="shared" si="48"/>
        <v>3.7315693621188237</v>
      </c>
      <c r="X108" s="10">
        <f t="shared" si="49"/>
        <v>-1.854063719676625</v>
      </c>
      <c r="Y108" s="10">
        <f t="shared" si="50"/>
        <v>-2.0969608219353946</v>
      </c>
      <c r="Z108" s="10">
        <f t="shared" si="51"/>
        <v>0.32999999999999996</v>
      </c>
      <c r="AA108" s="10">
        <f t="shared" si="55"/>
        <v>-1.2500000000000067E-2</v>
      </c>
      <c r="AB108" s="34">
        <v>20.58</v>
      </c>
      <c r="AC108" s="34">
        <v>-18.656126482213452</v>
      </c>
      <c r="AD108" s="10">
        <f t="shared" si="52"/>
        <v>-0.26967078884115014</v>
      </c>
    </row>
    <row r="109" spans="1:30" x14ac:dyDescent="0.2">
      <c r="A109" s="1">
        <v>44896</v>
      </c>
      <c r="B109" s="18">
        <v>0.35600350386227997</v>
      </c>
      <c r="C109" s="19">
        <v>2.5833333333333333E-2</v>
      </c>
      <c r="D109" s="19">
        <v>0.29833333333333334</v>
      </c>
      <c r="E109" s="19">
        <v>0.31083333333333335</v>
      </c>
      <c r="F109" s="19">
        <v>0.34</v>
      </c>
      <c r="G109" s="19">
        <f t="shared" si="38"/>
        <v>0.30290458333333337</v>
      </c>
      <c r="H109" s="19">
        <v>-1.3901555540533184</v>
      </c>
      <c r="I109" s="19">
        <v>-0.38312760107288568</v>
      </c>
      <c r="J109" s="23">
        <v>3912.3809523809532</v>
      </c>
      <c r="K109" s="24">
        <f t="shared" si="42"/>
        <v>-1.3037993486105792E-3</v>
      </c>
      <c r="L109" s="22">
        <v>172.75</v>
      </c>
      <c r="M109" s="19">
        <f t="shared" si="43"/>
        <v>4.4154698149951307E-2</v>
      </c>
      <c r="N109" s="27">
        <v>0.34166666666666662</v>
      </c>
      <c r="O109" s="11">
        <v>-1.3850399013585131</v>
      </c>
      <c r="P109" s="10">
        <f t="shared" si="44"/>
        <v>4.1666666666666685E-2</v>
      </c>
      <c r="Q109" s="10">
        <f t="shared" si="45"/>
        <v>-1.6666666666666663E-2</v>
      </c>
      <c r="R109" s="32">
        <v>0.26482499999999998</v>
      </c>
      <c r="S109" s="10">
        <f t="shared" si="46"/>
        <v>-7.6841666666666641E-2</v>
      </c>
      <c r="T109" s="32">
        <f t="shared" si="47"/>
        <v>-5.7670170528946629E-2</v>
      </c>
      <c r="U109" s="10">
        <f t="shared" si="53"/>
        <v>1.4166666666666661E-2</v>
      </c>
      <c r="V109" s="10">
        <f t="shared" si="54"/>
        <v>1.0833333333333361E-2</v>
      </c>
      <c r="W109" s="10">
        <f t="shared" si="48"/>
        <v>-1.6930601373866518</v>
      </c>
      <c r="X109" s="10">
        <f t="shared" si="49"/>
        <v>1.0070279529804327</v>
      </c>
      <c r="Y109" s="10">
        <f t="shared" si="50"/>
        <v>0.3818238017242751</v>
      </c>
      <c r="Z109" s="10">
        <f t="shared" si="51"/>
        <v>0.27250000000000002</v>
      </c>
      <c r="AA109" s="10">
        <f t="shared" si="55"/>
        <v>-5.749999999999994E-2</v>
      </c>
      <c r="AB109" s="34">
        <v>21.67</v>
      </c>
      <c r="AC109" s="34">
        <v>13.693599160545666</v>
      </c>
      <c r="AD109" s="10">
        <f t="shared" si="52"/>
        <v>-0.2975119685167153</v>
      </c>
    </row>
    <row r="110" spans="1:30" x14ac:dyDescent="0.2">
      <c r="A110" s="1">
        <v>44927</v>
      </c>
      <c r="B110" s="18">
        <v>0.31539567118287171</v>
      </c>
      <c r="C110" s="19">
        <v>5.0833333333333335E-2</v>
      </c>
      <c r="D110" s="19">
        <v>0.26916666666666667</v>
      </c>
      <c r="E110" s="19">
        <v>0.28416666666666668</v>
      </c>
      <c r="F110" s="19">
        <v>0.32</v>
      </c>
      <c r="G110" s="19">
        <f t="shared" si="38"/>
        <v>0.2746521666666667</v>
      </c>
      <c r="H110" s="19">
        <v>3.5440496464096305</v>
      </c>
      <c r="I110" s="19">
        <v>2.8976959084528575</v>
      </c>
      <c r="J110" s="23">
        <v>3960.6565000000001</v>
      </c>
      <c r="K110" s="24">
        <f t="shared" si="42"/>
        <v>1.2339173563777894E-2</v>
      </c>
      <c r="L110" s="22">
        <f>L109*2/3+L112/3</f>
        <v>173.55666666666667</v>
      </c>
      <c r="M110" s="19">
        <f t="shared" si="43"/>
        <v>4.3820176444654232E-2</v>
      </c>
      <c r="N110" s="27">
        <v>0.36083333333333334</v>
      </c>
      <c r="O110" s="11">
        <v>3.0698713827378343</v>
      </c>
      <c r="P110" s="10">
        <f t="shared" si="44"/>
        <v>5.0833333333333341E-2</v>
      </c>
      <c r="Q110" s="10">
        <f t="shared" si="45"/>
        <v>-2.0833333333333315E-2</v>
      </c>
      <c r="R110" s="32">
        <v>0.28562500000000002</v>
      </c>
      <c r="S110" s="10">
        <f t="shared" si="46"/>
        <v>-7.5208333333333321E-2</v>
      </c>
      <c r="T110" s="32">
        <f t="shared" si="47"/>
        <v>-4.6229004516205041E-2</v>
      </c>
      <c r="U110" s="10">
        <f t="shared" si="53"/>
        <v>9.1666666666666563E-3</v>
      </c>
      <c r="V110" s="10">
        <f t="shared" si="54"/>
        <v>-4.1666666666666519E-3</v>
      </c>
      <c r="W110" s="10">
        <f t="shared" si="48"/>
        <v>3.2693974797429637</v>
      </c>
      <c r="X110" s="10">
        <f t="shared" si="49"/>
        <v>-0.64635373795677298</v>
      </c>
      <c r="Y110" s="10">
        <f t="shared" si="50"/>
        <v>-2.8853567348890796</v>
      </c>
      <c r="Z110" s="10">
        <f t="shared" si="51"/>
        <v>0.21833333333333332</v>
      </c>
      <c r="AA110" s="10">
        <f t="shared" si="55"/>
        <v>-5.4166666666666696E-2</v>
      </c>
      <c r="AB110" s="34">
        <v>19.399999999999999</v>
      </c>
      <c r="AC110" s="34">
        <v>-11.858246251703786</v>
      </c>
      <c r="AD110" s="10">
        <f t="shared" si="52"/>
        <v>-0.31701315688867909</v>
      </c>
    </row>
    <row r="111" spans="1:30" x14ac:dyDescent="0.2">
      <c r="A111" s="1">
        <v>44958</v>
      </c>
      <c r="B111" s="18">
        <v>0.36017364471334096</v>
      </c>
      <c r="C111" s="19">
        <v>5.7499999999999996E-2</v>
      </c>
      <c r="D111" s="19">
        <v>0.31416666666666665</v>
      </c>
      <c r="E111" s="19">
        <v>0.315</v>
      </c>
      <c r="F111" s="19">
        <v>0.35083333333333333</v>
      </c>
      <c r="G111" s="19">
        <f t="shared" si="38"/>
        <v>0.31447141666666667</v>
      </c>
      <c r="H111" s="19">
        <v>-3.0899999052470539</v>
      </c>
      <c r="I111" s="19">
        <v>-0.6313787602458043</v>
      </c>
      <c r="J111" s="23">
        <v>4079.6847368421049</v>
      </c>
      <c r="K111" s="24">
        <f t="shared" si="42"/>
        <v>3.0052653352317993E-2</v>
      </c>
      <c r="L111" s="22">
        <f>L109/3+L112*2/3</f>
        <v>174.36333333333332</v>
      </c>
      <c r="M111" s="19">
        <f t="shared" si="43"/>
        <v>4.2739413601919615E-2</v>
      </c>
      <c r="N111" s="27">
        <v>0.38083333333333336</v>
      </c>
      <c r="O111" s="11">
        <v>-0.16023377056929605</v>
      </c>
      <c r="P111" s="10">
        <f t="shared" si="44"/>
        <v>3.6666666666666681E-2</v>
      </c>
      <c r="Q111" s="10">
        <f t="shared" si="45"/>
        <v>-3.4999999999999976E-2</v>
      </c>
      <c r="R111" s="32">
        <v>0.32517499999999999</v>
      </c>
      <c r="S111" s="10">
        <f t="shared" si="46"/>
        <v>-5.5658333333333365E-2</v>
      </c>
      <c r="T111" s="32">
        <f t="shared" si="47"/>
        <v>-4.6006978046674307E-2</v>
      </c>
      <c r="U111" s="10">
        <f t="shared" si="53"/>
        <v>-1.4166666666666661E-2</v>
      </c>
      <c r="V111" s="10">
        <f t="shared" si="54"/>
        <v>-1.4166666666666661E-2</v>
      </c>
      <c r="W111" s="10">
        <f t="shared" si="48"/>
        <v>-3.4044713219137206</v>
      </c>
      <c r="X111" s="10">
        <f t="shared" si="49"/>
        <v>2.4586211450012496</v>
      </c>
      <c r="Y111" s="10">
        <f t="shared" si="50"/>
        <v>0.6614314135981223</v>
      </c>
      <c r="Z111" s="10">
        <f t="shared" si="51"/>
        <v>0.25666666666666665</v>
      </c>
      <c r="AA111" s="10">
        <f t="shared" si="55"/>
        <v>3.833333333333333E-2</v>
      </c>
      <c r="AB111" s="34">
        <v>20.7</v>
      </c>
      <c r="AC111" s="34">
        <v>15.836597649692209</v>
      </c>
      <c r="AD111" s="10">
        <f t="shared" si="52"/>
        <v>-0.33809391973141373</v>
      </c>
    </row>
    <row r="112" spans="1:30" x14ac:dyDescent="0.2">
      <c r="A112" s="1">
        <v>44986</v>
      </c>
      <c r="B112" s="18">
        <v>0.33397723244495503</v>
      </c>
      <c r="C112" s="19">
        <v>1.4999999999999999E-2</v>
      </c>
      <c r="D112" s="19">
        <v>0.29666666666666669</v>
      </c>
      <c r="E112" s="19">
        <v>0.28999999999999998</v>
      </c>
      <c r="F112" s="19">
        <v>0.32666666666666666</v>
      </c>
      <c r="G112" s="19">
        <f t="shared" si="38"/>
        <v>0.29422866666666669</v>
      </c>
      <c r="H112" s="19">
        <v>1.4171659211566712</v>
      </c>
      <c r="I112" s="19">
        <v>0.7470288124141744</v>
      </c>
      <c r="J112" s="23">
        <v>3968.5591304347827</v>
      </c>
      <c r="K112" s="24">
        <f t="shared" si="42"/>
        <v>-2.7238772987478344E-2</v>
      </c>
      <c r="L112" s="22">
        <v>175.17</v>
      </c>
      <c r="M112" s="19">
        <f t="shared" si="43"/>
        <v>4.4139445638248287E-2</v>
      </c>
      <c r="N112" s="27">
        <v>0.38750000000000001</v>
      </c>
      <c r="O112" s="11">
        <v>-0.25809067214290327</v>
      </c>
      <c r="P112" s="10">
        <f t="shared" si="44"/>
        <v>2.9999999999999971E-2</v>
      </c>
      <c r="Q112" s="10">
        <f t="shared" si="45"/>
        <v>-4.333333333333339E-2</v>
      </c>
      <c r="R112" s="32">
        <v>0.33359166666666701</v>
      </c>
      <c r="S112" s="10">
        <f t="shared" si="46"/>
        <v>-5.3908333333333003E-2</v>
      </c>
      <c r="T112" s="32">
        <f t="shared" si="47"/>
        <v>-3.731056577828834E-2</v>
      </c>
      <c r="U112" s="10">
        <f t="shared" si="53"/>
        <v>-6.6666666666667096E-3</v>
      </c>
      <c r="V112" s="10">
        <f t="shared" si="54"/>
        <v>-8.3333333333334147E-3</v>
      </c>
      <c r="W112" s="10">
        <f t="shared" si="48"/>
        <v>1.1229372544900045</v>
      </c>
      <c r="X112" s="10">
        <f t="shared" si="49"/>
        <v>-0.67013710874249677</v>
      </c>
      <c r="Y112" s="10">
        <f t="shared" si="50"/>
        <v>-0.77426758540165275</v>
      </c>
      <c r="Z112" s="10">
        <f t="shared" si="51"/>
        <v>0.28166666666666668</v>
      </c>
      <c r="AA112" s="10">
        <f t="shared" si="55"/>
        <v>2.5000000000000022E-2</v>
      </c>
      <c r="AB112" s="34">
        <v>18.7</v>
      </c>
      <c r="AC112" s="34">
        <v>0.48361096184845742</v>
      </c>
      <c r="AD112" s="10">
        <f t="shared" si="52"/>
        <v>-0.34336055436175172</v>
      </c>
    </row>
    <row r="113" spans="1:30" x14ac:dyDescent="0.2">
      <c r="A113" s="1">
        <v>45017</v>
      </c>
      <c r="B113" s="18">
        <v>0.35152801342488393</v>
      </c>
      <c r="C113" s="19">
        <v>5.5E-2</v>
      </c>
      <c r="D113" s="19">
        <v>0.31583333333333335</v>
      </c>
      <c r="E113" s="19">
        <v>0.3066666666666667</v>
      </c>
      <c r="F113" s="19">
        <v>0.34416666666666668</v>
      </c>
      <c r="G113" s="19">
        <f t="shared" si="38"/>
        <v>0.31248108333333335</v>
      </c>
      <c r="H113" s="19">
        <v>0.26722913248619085</v>
      </c>
      <c r="I113" s="19">
        <v>0.24876778569725699</v>
      </c>
      <c r="J113" s="23">
        <v>4121.4673684210529</v>
      </c>
      <c r="K113" s="24">
        <f t="shared" si="42"/>
        <v>3.85299129887271E-2</v>
      </c>
      <c r="L113" s="22">
        <f>L112*2/3+L115/3</f>
        <v>177.11666666666665</v>
      </c>
      <c r="M113" s="19">
        <f t="shared" si="43"/>
        <v>4.2974176630329743E-2</v>
      </c>
      <c r="N113" s="27">
        <v>0.40250000000000002</v>
      </c>
      <c r="O113" s="11">
        <v>0.94080499762717185</v>
      </c>
      <c r="P113" s="10">
        <f t="shared" si="44"/>
        <v>2.8333333333333321E-2</v>
      </c>
      <c r="Q113" s="10">
        <f t="shared" si="45"/>
        <v>-4.6666666666666634E-2</v>
      </c>
      <c r="R113" s="32">
        <v>0.34811666666666702</v>
      </c>
      <c r="S113" s="10">
        <f t="shared" si="46"/>
        <v>-5.4383333333333006E-2</v>
      </c>
      <c r="T113" s="32">
        <f t="shared" si="47"/>
        <v>-3.5694680091550579E-2</v>
      </c>
      <c r="U113" s="10">
        <f t="shared" si="53"/>
        <v>-1.6666666666666496E-3</v>
      </c>
      <c r="V113" s="10">
        <f t="shared" si="54"/>
        <v>-3.3333333333332438E-3</v>
      </c>
      <c r="W113" s="10">
        <f t="shared" si="48"/>
        <v>-4.5251950847142508E-2</v>
      </c>
      <c r="X113" s="10">
        <f t="shared" si="49"/>
        <v>-1.8461346788933852E-2</v>
      </c>
      <c r="Y113" s="10">
        <f t="shared" si="50"/>
        <v>-0.21023787270852989</v>
      </c>
      <c r="Z113" s="10">
        <f t="shared" si="51"/>
        <v>0.26083333333333336</v>
      </c>
      <c r="AA113" s="10">
        <f t="shared" si="55"/>
        <v>-2.0833333333333315E-2</v>
      </c>
      <c r="AB113" s="34">
        <v>15.78</v>
      </c>
      <c r="AC113" s="34">
        <v>-15.614973262032084</v>
      </c>
      <c r="AD113" s="10">
        <f t="shared" si="52"/>
        <v>-0.35952582336967026</v>
      </c>
    </row>
    <row r="114" spans="1:30" x14ac:dyDescent="0.2">
      <c r="A114" s="1">
        <v>45047</v>
      </c>
      <c r="B114" s="18">
        <v>0.39456562574469495</v>
      </c>
      <c r="C114" s="19">
        <v>8.3333333333333329E-2</v>
      </c>
      <c r="D114" s="19">
        <v>0.36000000000000004</v>
      </c>
      <c r="E114" s="19">
        <v>0.34333333333333332</v>
      </c>
      <c r="F114" s="19">
        <v>0.37666666666666665</v>
      </c>
      <c r="G114" s="19">
        <f t="shared" si="38"/>
        <v>0.35390500000000003</v>
      </c>
      <c r="H114" s="19">
        <v>-2.8668852839867753</v>
      </c>
      <c r="I114" s="19">
        <v>-0.51604802383958814</v>
      </c>
      <c r="J114" s="23">
        <v>4146.1731818181825</v>
      </c>
      <c r="K114" s="24">
        <f t="shared" si="42"/>
        <v>5.9944216922416249E-3</v>
      </c>
      <c r="L114" s="22">
        <f>L112/3+L115*2/3</f>
        <v>179.06333333333333</v>
      </c>
      <c r="M114" s="19">
        <f t="shared" si="43"/>
        <v>4.3187615538724404E-2</v>
      </c>
      <c r="N114" s="27">
        <v>0.42166666666666663</v>
      </c>
      <c r="O114" s="11">
        <v>-1.4816122688402813</v>
      </c>
      <c r="P114" s="10">
        <f t="shared" si="44"/>
        <v>1.6666666666666607E-2</v>
      </c>
      <c r="Q114" s="10">
        <f t="shared" si="45"/>
        <v>-5.0000000000000044E-2</v>
      </c>
      <c r="R114" s="32">
        <v>0.36273333333333302</v>
      </c>
      <c r="S114" s="10">
        <f t="shared" si="46"/>
        <v>-5.8933333333333615E-2</v>
      </c>
      <c r="T114" s="32">
        <f t="shared" si="47"/>
        <v>-3.4565625744694906E-2</v>
      </c>
      <c r="U114" s="10">
        <f t="shared" si="53"/>
        <v>-1.1666666666666714E-2</v>
      </c>
      <c r="V114" s="10">
        <f t="shared" si="54"/>
        <v>-3.3333333333334103E-3</v>
      </c>
      <c r="W114" s="10">
        <f t="shared" si="48"/>
        <v>-3.2207902839867755</v>
      </c>
      <c r="X114" s="10">
        <f t="shared" si="49"/>
        <v>2.3508372601471872</v>
      </c>
      <c r="Y114" s="10">
        <f t="shared" si="50"/>
        <v>0.52204244553182977</v>
      </c>
      <c r="Z114" s="10">
        <f t="shared" si="51"/>
        <v>0.27666666666666673</v>
      </c>
      <c r="AA114" s="10">
        <f t="shared" si="55"/>
        <v>1.5833333333333366E-2</v>
      </c>
      <c r="AB114" s="34">
        <v>17.940000000000001</v>
      </c>
      <c r="AC114" s="34">
        <v>-10.701841712294669</v>
      </c>
      <c r="AD114" s="10">
        <f t="shared" si="52"/>
        <v>-0.37847905112794222</v>
      </c>
    </row>
    <row r="115" spans="1:30" x14ac:dyDescent="0.2">
      <c r="A115" s="1">
        <v>45078</v>
      </c>
      <c r="B115" s="18">
        <v>0.46282414554048107</v>
      </c>
      <c r="C115" s="19">
        <v>0.13333333333333333</v>
      </c>
      <c r="D115" s="19">
        <v>0.42333333333333334</v>
      </c>
      <c r="E115" s="19">
        <v>0.35749999999999998</v>
      </c>
      <c r="F115" s="19">
        <v>0.3725</v>
      </c>
      <c r="G115" s="19">
        <f t="shared" si="38"/>
        <v>0.39925808333333335</v>
      </c>
      <c r="H115" s="19">
        <v>-1.1312123766876736</v>
      </c>
      <c r="I115" s="19">
        <v>1.279574872206124</v>
      </c>
      <c r="J115" s="23">
        <v>4345.3728571428574</v>
      </c>
      <c r="K115" s="24">
        <f t="shared" si="42"/>
        <v>4.8044224538957181E-2</v>
      </c>
      <c r="L115" s="22">
        <v>181.01</v>
      </c>
      <c r="M115" s="19">
        <f t="shared" si="43"/>
        <v>4.1655803989859817E-2</v>
      </c>
      <c r="N115" s="27">
        <v>0.42333333333333334</v>
      </c>
      <c r="O115" s="11">
        <v>0.76715041455256716</v>
      </c>
      <c r="P115" s="10">
        <f t="shared" si="44"/>
        <v>-5.0833333333333341E-2</v>
      </c>
      <c r="Q115" s="10">
        <f t="shared" si="45"/>
        <v>-8.0833333333333368E-2</v>
      </c>
      <c r="R115" s="32">
        <v>0.38226666666666698</v>
      </c>
      <c r="S115" s="10">
        <f t="shared" si="46"/>
        <v>-4.1066666666666363E-2</v>
      </c>
      <c r="T115" s="32">
        <f t="shared" si="47"/>
        <v>-3.949081220714773E-2</v>
      </c>
      <c r="U115" s="10">
        <f t="shared" si="53"/>
        <v>-6.7499999999999949E-2</v>
      </c>
      <c r="V115" s="10">
        <f t="shared" si="54"/>
        <v>-3.0833333333333324E-2</v>
      </c>
      <c r="W115" s="10">
        <f t="shared" si="48"/>
        <v>-1.5304704600210068</v>
      </c>
      <c r="X115" s="10">
        <f t="shared" si="49"/>
        <v>2.4107872488937976</v>
      </c>
      <c r="Y115" s="10">
        <f t="shared" si="50"/>
        <v>-1.2315306476671668</v>
      </c>
      <c r="Z115" s="10">
        <f t="shared" si="51"/>
        <v>0.29000000000000004</v>
      </c>
      <c r="AA115" s="10">
        <f t="shared" si="55"/>
        <v>1.3333333333333308E-2</v>
      </c>
      <c r="AB115" s="34">
        <v>13.59</v>
      </c>
      <c r="AC115" s="34">
        <v>-7.7393075356415491</v>
      </c>
      <c r="AD115" s="10">
        <f t="shared" si="52"/>
        <v>-0.38167752934347354</v>
      </c>
    </row>
    <row r="116" spans="1:30" x14ac:dyDescent="0.2">
      <c r="A116" s="1">
        <v>45108</v>
      </c>
      <c r="B116" s="18">
        <v>0.43462726334413232</v>
      </c>
      <c r="C116" s="19">
        <v>0.12416666666666666</v>
      </c>
      <c r="D116" s="19">
        <v>0.39166666666666666</v>
      </c>
      <c r="E116" s="19">
        <v>0.35083333333333333</v>
      </c>
      <c r="F116" s="19">
        <v>0.37333333333333335</v>
      </c>
      <c r="G116" s="19">
        <f t="shared" si="38"/>
        <v>0.37673391666666667</v>
      </c>
      <c r="H116" s="19">
        <v>2.3984354405545805</v>
      </c>
      <c r="I116" s="19">
        <v>1.12989055433802</v>
      </c>
      <c r="J116" s="23">
        <v>4508.0755000000008</v>
      </c>
      <c r="K116" s="24">
        <f t="shared" si="42"/>
        <v>3.7442734652722631E-2</v>
      </c>
      <c r="L116" s="22">
        <f>L115*2/3+L118/3</f>
        <v>182.09</v>
      </c>
      <c r="M116" s="19">
        <f t="shared" si="43"/>
        <v>4.0391958830325703E-2</v>
      </c>
      <c r="N116" s="27">
        <v>0.42666666666666669</v>
      </c>
      <c r="O116" s="11">
        <v>1.9636320377819911</v>
      </c>
      <c r="P116" s="10">
        <f t="shared" si="44"/>
        <v>-1.8333333333333313E-2</v>
      </c>
      <c r="Q116" s="10">
        <f t="shared" si="45"/>
        <v>-6.3333333333333353E-2</v>
      </c>
      <c r="R116" s="32">
        <v>0.41084999999999999</v>
      </c>
      <c r="S116" s="10">
        <f t="shared" si="46"/>
        <v>-1.5816666666666701E-2</v>
      </c>
      <c r="T116" s="32">
        <f t="shared" si="47"/>
        <v>-4.2960596677465657E-2</v>
      </c>
      <c r="U116" s="10">
        <f t="shared" si="53"/>
        <v>3.2500000000000029E-2</v>
      </c>
      <c r="V116" s="10">
        <f t="shared" si="54"/>
        <v>1.7500000000000016E-2</v>
      </c>
      <c r="W116" s="10">
        <f t="shared" si="48"/>
        <v>2.0217015238879137</v>
      </c>
      <c r="X116" s="10">
        <f t="shared" si="49"/>
        <v>-1.2685448862165605</v>
      </c>
      <c r="Y116" s="10">
        <f t="shared" si="50"/>
        <v>-1.0924478196852974</v>
      </c>
      <c r="Z116" s="10">
        <f t="shared" si="51"/>
        <v>0.26750000000000002</v>
      </c>
      <c r="AA116" s="10">
        <f t="shared" si="55"/>
        <v>-2.250000000000002E-2</v>
      </c>
      <c r="AB116" s="34">
        <v>13.63</v>
      </c>
      <c r="AC116" s="34">
        <v>-0.51094890510947621</v>
      </c>
      <c r="AD116" s="10">
        <f t="shared" si="52"/>
        <v>-0.38627470783634099</v>
      </c>
    </row>
    <row r="117" spans="1:30" x14ac:dyDescent="0.2">
      <c r="A117" s="1">
        <v>45139</v>
      </c>
      <c r="B117" s="18">
        <v>0.42572968150306417</v>
      </c>
      <c r="C117" s="19">
        <v>0.11166666666666668</v>
      </c>
      <c r="D117" s="19">
        <v>0.38583333333333331</v>
      </c>
      <c r="E117" s="19">
        <v>0.35749999999999998</v>
      </c>
      <c r="F117" s="19">
        <v>0.38583333333333331</v>
      </c>
      <c r="G117" s="19">
        <f t="shared" si="38"/>
        <v>0.37547183333333334</v>
      </c>
      <c r="H117" s="19">
        <v>-0.36001392660908182</v>
      </c>
      <c r="I117" s="19">
        <v>0.23445586385838491</v>
      </c>
      <c r="J117" s="23">
        <v>4457.358695652174</v>
      </c>
      <c r="K117" s="24">
        <f t="shared" si="42"/>
        <v>-1.1250211836032253E-2</v>
      </c>
      <c r="L117" s="22">
        <f>L115/3+L118*2/3</f>
        <v>183.17</v>
      </c>
      <c r="M117" s="19">
        <f t="shared" si="43"/>
        <v>4.109384335137059E-2</v>
      </c>
      <c r="N117" s="27">
        <v>0.44416666666666665</v>
      </c>
      <c r="O117" s="11">
        <v>-0.62523746935851443</v>
      </c>
      <c r="P117" s="10">
        <f t="shared" si="44"/>
        <v>0</v>
      </c>
      <c r="Q117" s="10">
        <f t="shared" si="45"/>
        <v>-5.6666666666666643E-2</v>
      </c>
      <c r="R117" s="32">
        <v>0.43007499999999999</v>
      </c>
      <c r="S117" s="10">
        <f t="shared" si="46"/>
        <v>-1.4091666666666669E-2</v>
      </c>
      <c r="T117" s="32">
        <f t="shared" si="47"/>
        <v>-3.9896348169730866E-2</v>
      </c>
      <c r="U117" s="10">
        <f t="shared" si="53"/>
        <v>1.8333333333333313E-2</v>
      </c>
      <c r="V117" s="10">
        <f t="shared" si="54"/>
        <v>6.6666666666667096E-3</v>
      </c>
      <c r="W117" s="10">
        <f t="shared" si="48"/>
        <v>-0.73548575994241516</v>
      </c>
      <c r="X117" s="10">
        <f t="shared" si="49"/>
        <v>0.59446979046746673</v>
      </c>
      <c r="Y117" s="10">
        <f t="shared" si="50"/>
        <v>-0.24570607569441716</v>
      </c>
      <c r="Z117" s="10">
        <f t="shared" si="51"/>
        <v>0.27416666666666661</v>
      </c>
      <c r="AA117" s="10">
        <f t="shared" si="55"/>
        <v>6.6666666666665986E-3</v>
      </c>
      <c r="AB117" s="34">
        <v>13.57</v>
      </c>
      <c r="AC117" s="34">
        <v>-20.643274853801174</v>
      </c>
      <c r="AD117" s="10">
        <f t="shared" si="52"/>
        <v>-0.40307282331529604</v>
      </c>
    </row>
    <row r="118" spans="1:30" x14ac:dyDescent="0.2">
      <c r="A118" s="1">
        <v>45170</v>
      </c>
      <c r="B118" s="18">
        <v>0.40092141365350958</v>
      </c>
      <c r="C118" s="19">
        <v>6.25E-2</v>
      </c>
      <c r="D118" s="19">
        <v>0.36833333333333335</v>
      </c>
      <c r="E118" s="19">
        <v>0.36583333333333329</v>
      </c>
      <c r="F118" s="19">
        <v>0.40749999999999997</v>
      </c>
      <c r="G118" s="19">
        <f t="shared" si="38"/>
        <v>0.36741908333333329</v>
      </c>
      <c r="H118" s="19">
        <v>-4.593854413289522E-2</v>
      </c>
      <c r="I118" s="19">
        <v>-0.6162848237623697</v>
      </c>
      <c r="J118" s="23">
        <v>4409.0949999999993</v>
      </c>
      <c r="K118" s="24">
        <f t="shared" si="42"/>
        <v>-1.0827868912423932E-2</v>
      </c>
      <c r="L118" s="22">
        <v>184.25</v>
      </c>
      <c r="M118" s="19">
        <f t="shared" si="43"/>
        <v>4.1788621020867098E-2</v>
      </c>
      <c r="N118" s="27">
        <v>0.44416666666666665</v>
      </c>
      <c r="O118" s="11">
        <v>0.27937046819359035</v>
      </c>
      <c r="P118" s="10">
        <f t="shared" si="44"/>
        <v>3.9166666666666627E-2</v>
      </c>
      <c r="Q118" s="10">
        <f t="shared" si="45"/>
        <v>-4.4166666666666743E-2</v>
      </c>
      <c r="R118" s="32">
        <v>0.43211666666666698</v>
      </c>
      <c r="S118" s="10">
        <f t="shared" si="46"/>
        <v>-1.2049999999999672E-2</v>
      </c>
      <c r="T118" s="32">
        <f t="shared" si="47"/>
        <v>-3.2588080320176238E-2</v>
      </c>
      <c r="U118" s="10">
        <f t="shared" si="53"/>
        <v>3.9166666666666627E-2</v>
      </c>
      <c r="V118" s="10">
        <f t="shared" si="54"/>
        <v>1.24999999999999E-2</v>
      </c>
      <c r="W118" s="10">
        <f t="shared" si="48"/>
        <v>-0.41335762746622851</v>
      </c>
      <c r="X118" s="10">
        <f t="shared" si="49"/>
        <v>-0.57034627962947448</v>
      </c>
      <c r="Y118" s="10">
        <f t="shared" si="50"/>
        <v>0.60545695484994577</v>
      </c>
      <c r="Z118" s="10">
        <f t="shared" si="51"/>
        <v>0.30583333333333335</v>
      </c>
      <c r="AA118" s="10">
        <f t="shared" si="55"/>
        <v>3.1666666666666732E-2</v>
      </c>
      <c r="AB118" s="34">
        <v>17.52</v>
      </c>
      <c r="AC118" s="34">
        <v>26.772793053545584</v>
      </c>
      <c r="AD118" s="10">
        <f t="shared" si="52"/>
        <v>-0.40237804564579954</v>
      </c>
    </row>
    <row r="119" spans="1:30" x14ac:dyDescent="0.2">
      <c r="A119" s="1">
        <v>45200</v>
      </c>
      <c r="B119" s="18">
        <v>0.38999958116349842</v>
      </c>
      <c r="C119" s="19">
        <v>6.8333333333333329E-2</v>
      </c>
      <c r="D119" s="19">
        <v>0.36583333333333329</v>
      </c>
      <c r="E119" s="19">
        <v>0.3758333333333333</v>
      </c>
      <c r="F119" s="19">
        <v>0.41749999999999998</v>
      </c>
      <c r="G119" s="19">
        <f t="shared" si="38"/>
        <v>0.36949033333333325</v>
      </c>
      <c r="H119" s="19">
        <v>-9.7070913049535079E-2</v>
      </c>
      <c r="I119" s="19">
        <v>-0.74584245030848706</v>
      </c>
      <c r="J119" s="23">
        <v>4269.4009090909085</v>
      </c>
      <c r="K119" s="24">
        <f t="shared" si="42"/>
        <v>-3.1683166479536284E-2</v>
      </c>
      <c r="L119" s="22">
        <f>L118*2/3+L121/3</f>
        <v>186.97666666666666</v>
      </c>
      <c r="M119" s="19">
        <f t="shared" si="43"/>
        <v>4.3794591008901047E-2</v>
      </c>
      <c r="N119" s="27">
        <v>0.44416666666666665</v>
      </c>
      <c r="O119" s="11">
        <v>-1.7024670003016547</v>
      </c>
      <c r="P119" s="10">
        <f t="shared" si="44"/>
        <v>5.1666666666666694E-2</v>
      </c>
      <c r="Q119" s="10">
        <f t="shared" si="45"/>
        <v>-3.1666666666666676E-2</v>
      </c>
      <c r="R119" s="32">
        <v>0.43225833333333302</v>
      </c>
      <c r="S119" s="10">
        <f t="shared" si="46"/>
        <v>-1.1908333333333632E-2</v>
      </c>
      <c r="T119" s="32">
        <f t="shared" si="47"/>
        <v>-2.4166247830165133E-2</v>
      </c>
      <c r="U119" s="10">
        <f t="shared" si="53"/>
        <v>1.2500000000000067E-2</v>
      </c>
      <c r="V119" s="10">
        <f t="shared" si="54"/>
        <v>1.2500000000000067E-2</v>
      </c>
      <c r="W119" s="10">
        <f t="shared" si="48"/>
        <v>-0.46656124638286833</v>
      </c>
      <c r="X119" s="10">
        <f t="shared" si="49"/>
        <v>-0.64877153725895198</v>
      </c>
      <c r="Y119" s="10">
        <f t="shared" si="50"/>
        <v>0.71415928382895077</v>
      </c>
      <c r="Z119" s="10">
        <f t="shared" si="51"/>
        <v>0.29749999999999999</v>
      </c>
      <c r="AA119" s="10">
        <f t="shared" si="55"/>
        <v>-8.3333333333333592E-3</v>
      </c>
      <c r="AB119" s="34">
        <v>18.14</v>
      </c>
      <c r="AC119" s="34">
        <v>-2.3681377825618855</v>
      </c>
      <c r="AD119" s="10">
        <f t="shared" si="52"/>
        <v>-0.40037207565776561</v>
      </c>
    </row>
    <row r="120" spans="1:30" x14ac:dyDescent="0.2">
      <c r="A120" s="1">
        <v>45231</v>
      </c>
      <c r="B120" s="18">
        <v>0.36675514836584194</v>
      </c>
      <c r="C120" s="19">
        <v>5.8333333333333327E-2</v>
      </c>
      <c r="D120" s="19">
        <v>0.34749999999999998</v>
      </c>
      <c r="E120" s="19">
        <v>0.34833333333333333</v>
      </c>
      <c r="F120" s="19">
        <v>0.39166666666666666</v>
      </c>
      <c r="G120" s="19">
        <f t="shared" si="38"/>
        <v>0.34780475</v>
      </c>
      <c r="H120" s="19">
        <v>3.7616137410941941</v>
      </c>
      <c r="I120" s="19">
        <v>3.848600262254942</v>
      </c>
      <c r="J120" s="23">
        <v>4460.0633333333317</v>
      </c>
      <c r="K120" s="24">
        <f t="shared" si="42"/>
        <v>4.4657887207650626E-2</v>
      </c>
      <c r="L120" s="22">
        <f>L118/3+L121*2/3</f>
        <v>189.70333333333332</v>
      </c>
      <c r="M120" s="19">
        <f t="shared" si="43"/>
        <v>4.2533775678820718E-2</v>
      </c>
      <c r="N120" s="27">
        <v>0.44416666666666665</v>
      </c>
      <c r="O120" s="11">
        <v>3.1666873562985165</v>
      </c>
      <c r="P120" s="10">
        <f t="shared" si="44"/>
        <v>4.4166666666666687E-2</v>
      </c>
      <c r="Q120" s="10">
        <f t="shared" si="45"/>
        <v>-4.2499999999999982E-2</v>
      </c>
      <c r="R120" s="32">
        <v>0.43229166666666702</v>
      </c>
      <c r="S120" s="10">
        <f t="shared" si="46"/>
        <v>-1.1874999999999636E-2</v>
      </c>
      <c r="T120" s="32">
        <f t="shared" si="47"/>
        <v>-1.9255148365841968E-2</v>
      </c>
      <c r="U120" s="10">
        <f t="shared" si="53"/>
        <v>-7.5000000000000067E-3</v>
      </c>
      <c r="V120" s="10">
        <f t="shared" si="54"/>
        <v>-1.0833333333333306E-2</v>
      </c>
      <c r="W120" s="10">
        <f t="shared" si="48"/>
        <v>3.4138089910941942</v>
      </c>
      <c r="X120" s="10">
        <f t="shared" si="49"/>
        <v>8.6986521160747898E-2</v>
      </c>
      <c r="Y120" s="10">
        <f t="shared" si="50"/>
        <v>-3.8039423750472912</v>
      </c>
      <c r="Z120" s="10">
        <f t="shared" si="51"/>
        <v>0.28916666666666663</v>
      </c>
      <c r="AA120" s="10">
        <f t="shared" si="55"/>
        <v>-8.3333333333333592E-3</v>
      </c>
      <c r="AB120" s="34">
        <v>12.92</v>
      </c>
      <c r="AC120" s="34">
        <v>-13.346747149564052</v>
      </c>
      <c r="AD120" s="10">
        <f t="shared" si="52"/>
        <v>-0.40163289098784594</v>
      </c>
    </row>
    <row r="121" spans="1:30" x14ac:dyDescent="0.2">
      <c r="A121" s="1">
        <v>45261</v>
      </c>
      <c r="B121" s="18">
        <v>0.30190010895258029</v>
      </c>
      <c r="C121" s="19">
        <v>1.6666666666666668E-3</v>
      </c>
      <c r="D121" s="19">
        <v>0.28833333333333333</v>
      </c>
      <c r="E121" s="19">
        <v>0.29833333333333334</v>
      </c>
      <c r="F121" s="19">
        <v>0.34916666666666668</v>
      </c>
      <c r="G121" s="19">
        <f t="shared" si="38"/>
        <v>0.29199033333333335</v>
      </c>
      <c r="H121" s="19">
        <v>4.693212869725838</v>
      </c>
      <c r="I121" s="19">
        <v>3.2586058251002692</v>
      </c>
      <c r="J121" s="23">
        <v>4685.0515000000005</v>
      </c>
      <c r="K121" s="24">
        <f t="shared" si="42"/>
        <v>5.0445060944576126E-2</v>
      </c>
      <c r="L121" s="22">
        <v>192.42999999999998</v>
      </c>
      <c r="M121" s="19">
        <f t="shared" si="43"/>
        <v>4.1073187776057521E-2</v>
      </c>
      <c r="N121" s="27">
        <v>0.44416666666666665</v>
      </c>
      <c r="O121" s="11">
        <v>3.580071379617352</v>
      </c>
      <c r="P121" s="10">
        <f t="shared" si="44"/>
        <v>6.083333333333335E-2</v>
      </c>
      <c r="Q121" s="10">
        <f t="shared" si="45"/>
        <v>-4.0833333333333333E-2</v>
      </c>
      <c r="R121" s="32">
        <v>0.43225000000000002</v>
      </c>
      <c r="S121" s="10">
        <f t="shared" si="46"/>
        <v>-1.1916666666666631E-2</v>
      </c>
      <c r="T121" s="32">
        <f t="shared" si="47"/>
        <v>-1.3566775619246962E-2</v>
      </c>
      <c r="U121" s="10">
        <f t="shared" si="53"/>
        <v>1.6666666666666663E-2</v>
      </c>
      <c r="V121" s="10">
        <f t="shared" si="54"/>
        <v>1.6666666666666496E-3</v>
      </c>
      <c r="W121" s="10">
        <f t="shared" si="48"/>
        <v>4.4012225363925044</v>
      </c>
      <c r="X121" s="10">
        <f t="shared" si="49"/>
        <v>-1.4346070446255688</v>
      </c>
      <c r="Y121" s="10">
        <f t="shared" si="50"/>
        <v>-3.2081607641556928</v>
      </c>
      <c r="Z121" s="10">
        <f t="shared" si="51"/>
        <v>0.28666666666666668</v>
      </c>
      <c r="AA121" s="10">
        <f t="shared" si="55"/>
        <v>-2.4999999999999467E-3</v>
      </c>
      <c r="AB121" s="34">
        <v>12.45</v>
      </c>
      <c r="AC121" s="34">
        <v>-1.4251781472684244</v>
      </c>
      <c r="AD121" s="10">
        <f t="shared" si="52"/>
        <v>-0.40309347889060915</v>
      </c>
    </row>
    <row r="122" spans="1:30" x14ac:dyDescent="0.2">
      <c r="A122" s="1">
        <v>45292</v>
      </c>
      <c r="B122" s="18">
        <v>0.32114929648737472</v>
      </c>
      <c r="C122" s="19">
        <v>1.1666666666666667E-2</v>
      </c>
      <c r="D122" s="19">
        <v>0.3133333333333333</v>
      </c>
      <c r="E122" s="19">
        <v>0.32</v>
      </c>
      <c r="F122" s="19">
        <v>0.3741666666666667</v>
      </c>
      <c r="G122" s="19">
        <f t="shared" si="38"/>
        <v>0.31577133333333329</v>
      </c>
      <c r="H122" s="19">
        <v>-1.2039204413900939</v>
      </c>
      <c r="I122" s="19">
        <v>-0.18849150221832423</v>
      </c>
      <c r="J122" s="23">
        <v>4815.6139130434785</v>
      </c>
      <c r="K122" s="24">
        <f t="shared" si="42"/>
        <v>2.7867871472379235E-2</v>
      </c>
      <c r="L122" s="22">
        <f>L121*2/3+L124/3</f>
        <v>192.08333333333331</v>
      </c>
      <c r="M122" s="19">
        <f t="shared" si="43"/>
        <v>3.9887610759878428E-2</v>
      </c>
      <c r="N122" s="27">
        <v>0.44416666666666665</v>
      </c>
      <c r="O122" s="11">
        <v>5.5182858323510636E-2</v>
      </c>
      <c r="P122" s="10">
        <f t="shared" si="44"/>
        <v>6.0833333333333406E-2</v>
      </c>
      <c r="Q122" s="10">
        <f t="shared" si="45"/>
        <v>-4.7499999999999987E-2</v>
      </c>
      <c r="R122" s="32">
        <v>0.43229166666666702</v>
      </c>
      <c r="S122" s="10">
        <f t="shared" si="46"/>
        <v>-1.1874999999999636E-2</v>
      </c>
      <c r="T122" s="32">
        <f t="shared" si="47"/>
        <v>-7.8159631540414276E-3</v>
      </c>
      <c r="U122" s="10">
        <f t="shared" si="53"/>
        <v>5.5511151231257827E-17</v>
      </c>
      <c r="V122" s="10">
        <f t="shared" si="54"/>
        <v>-6.6666666666666541E-3</v>
      </c>
      <c r="W122" s="10">
        <f t="shared" si="48"/>
        <v>-1.5196917747234271</v>
      </c>
      <c r="X122" s="10">
        <f t="shared" si="49"/>
        <v>1.0154289391717697</v>
      </c>
      <c r="Y122" s="10">
        <f t="shared" si="50"/>
        <v>0.21635937369070346</v>
      </c>
      <c r="Z122" s="10">
        <f t="shared" si="51"/>
        <v>0.30166666666666664</v>
      </c>
      <c r="AA122" s="10">
        <f t="shared" si="55"/>
        <v>1.4999999999999958E-2</v>
      </c>
      <c r="AB122" s="34">
        <v>14.35</v>
      </c>
      <c r="AC122" s="34">
        <v>1.5569709837225609</v>
      </c>
      <c r="AD122" s="10">
        <f t="shared" si="52"/>
        <v>-0.40427905590678825</v>
      </c>
    </row>
    <row r="123" spans="1:30" x14ac:dyDescent="0.2">
      <c r="A123" s="1">
        <v>45323</v>
      </c>
      <c r="B123" s="18">
        <v>0.35488176230654811</v>
      </c>
      <c r="C123" s="19">
        <v>4.0833333333333333E-2</v>
      </c>
      <c r="D123" s="19">
        <v>0.34499999999999997</v>
      </c>
      <c r="E123" s="19">
        <v>0.33916666666666667</v>
      </c>
      <c r="F123" s="19">
        <v>0.37999999999999995</v>
      </c>
      <c r="G123" s="19">
        <f t="shared" si="38"/>
        <v>0.34286675</v>
      </c>
      <c r="H123" s="19">
        <v>-0.71920662507463096</v>
      </c>
      <c r="I123" s="19">
        <v>0.1222667581089909</v>
      </c>
      <c r="J123" s="23">
        <v>5011.9615000000003</v>
      </c>
      <c r="K123" s="24">
        <f t="shared" si="42"/>
        <v>4.0773116471131132E-2</v>
      </c>
      <c r="L123" s="22">
        <f>L121/3+L124*2/3</f>
        <v>191.73666666666665</v>
      </c>
      <c r="M123" s="19">
        <f t="shared" si="43"/>
        <v>3.8255813949621645E-2</v>
      </c>
      <c r="N123" s="27">
        <v>0.44416666666666665</v>
      </c>
      <c r="O123" s="11">
        <v>0.8173714702258239</v>
      </c>
      <c r="P123" s="10">
        <f t="shared" si="44"/>
        <v>3.4999999999999976E-2</v>
      </c>
      <c r="Q123" s="10">
        <f t="shared" si="45"/>
        <v>-4.6666666666666579E-2</v>
      </c>
      <c r="R123" s="32">
        <v>0.43235833333333301</v>
      </c>
      <c r="S123" s="10">
        <f t="shared" si="46"/>
        <v>-1.1808333333333643E-2</v>
      </c>
      <c r="T123" s="32">
        <f t="shared" si="47"/>
        <v>-9.8817623065481364E-3</v>
      </c>
      <c r="U123" s="10">
        <f t="shared" si="53"/>
        <v>-2.583333333333343E-2</v>
      </c>
      <c r="V123" s="10">
        <f t="shared" si="54"/>
        <v>8.3333333333340809E-4</v>
      </c>
      <c r="W123" s="10">
        <f t="shared" si="48"/>
        <v>-1.062073375074631</v>
      </c>
      <c r="X123" s="10">
        <f t="shared" si="49"/>
        <v>0.84147338318362186</v>
      </c>
      <c r="Y123" s="10">
        <f t="shared" si="50"/>
        <v>-8.1493641637859771E-2</v>
      </c>
      <c r="Z123" s="10">
        <f t="shared" si="51"/>
        <v>0.30416666666666664</v>
      </c>
      <c r="AA123" s="10">
        <f t="shared" si="55"/>
        <v>2.5000000000000022E-3</v>
      </c>
      <c r="AB123" s="34">
        <v>13.4</v>
      </c>
      <c r="AC123" s="34">
        <v>-3.2490974729241784</v>
      </c>
      <c r="AD123" s="10">
        <f t="shared" si="52"/>
        <v>-0.40591085271704502</v>
      </c>
    </row>
    <row r="124" spans="1:30" x14ac:dyDescent="0.2">
      <c r="A124" s="1">
        <v>45352</v>
      </c>
      <c r="B124" s="18">
        <v>0.33705483236844741</v>
      </c>
      <c r="C124" s="19">
        <v>8.3333333333333339E-4</v>
      </c>
      <c r="D124" s="19">
        <v>0.32916666666666666</v>
      </c>
      <c r="E124" s="19">
        <v>0.32416666666666666</v>
      </c>
      <c r="F124" s="19">
        <v>0.36916666666666664</v>
      </c>
      <c r="G124" s="19">
        <f t="shared" si="38"/>
        <v>0.32733816666666665</v>
      </c>
      <c r="H124" s="19">
        <v>1.8048275288838456</v>
      </c>
      <c r="I124" s="19">
        <v>0.7468317461734153</v>
      </c>
      <c r="J124" s="23">
        <v>5170.5724999999993</v>
      </c>
      <c r="K124" s="24">
        <f t="shared" si="42"/>
        <v>3.1646492096956136E-2</v>
      </c>
      <c r="L124" s="22">
        <v>191.39</v>
      </c>
      <c r="M124" s="19">
        <f t="shared" si="43"/>
        <v>3.701524347642355E-2</v>
      </c>
      <c r="N124" s="27">
        <v>0.44416666666666665</v>
      </c>
      <c r="O124" s="11">
        <v>2.5343167951715437</v>
      </c>
      <c r="P124" s="10">
        <f t="shared" si="44"/>
        <v>3.999999999999998E-2</v>
      </c>
      <c r="Q124" s="10">
        <f t="shared" si="45"/>
        <v>-4.9999999999999989E-2</v>
      </c>
      <c r="R124" s="32">
        <v>0.432425</v>
      </c>
      <c r="S124" s="10">
        <f t="shared" si="46"/>
        <v>-1.174166666666665E-2</v>
      </c>
      <c r="T124" s="32">
        <f t="shared" si="47"/>
        <v>-7.8881657017807472E-3</v>
      </c>
      <c r="U124" s="10">
        <f t="shared" si="53"/>
        <v>5.0000000000000044E-3</v>
      </c>
      <c r="V124" s="10">
        <f t="shared" si="54"/>
        <v>-3.3333333333334103E-3</v>
      </c>
      <c r="W124" s="10">
        <f t="shared" si="48"/>
        <v>1.477489362217179</v>
      </c>
      <c r="X124" s="10">
        <f t="shared" si="49"/>
        <v>-1.0579957827104303</v>
      </c>
      <c r="Y124" s="10">
        <f t="shared" si="50"/>
        <v>-0.71518525407645916</v>
      </c>
      <c r="Z124" s="10">
        <f t="shared" si="51"/>
        <v>0.32833333333333331</v>
      </c>
      <c r="AA124" s="10">
        <f t="shared" si="55"/>
        <v>2.416666666666667E-2</v>
      </c>
      <c r="AB124" s="34">
        <v>13.01</v>
      </c>
      <c r="AC124" s="34">
        <v>-0.76277650648359785</v>
      </c>
      <c r="AD124" s="10">
        <f t="shared" si="52"/>
        <v>-0.40715142319024311</v>
      </c>
    </row>
    <row r="125" spans="1:30" x14ac:dyDescent="0.2">
      <c r="A125" s="1">
        <v>45383</v>
      </c>
      <c r="B125" s="18">
        <v>0.37282529069601983</v>
      </c>
      <c r="C125" s="19">
        <v>1.3333333333333334E-2</v>
      </c>
      <c r="D125" s="19">
        <v>0.36333333333333334</v>
      </c>
      <c r="E125" s="19">
        <v>0.36000000000000004</v>
      </c>
      <c r="F125" s="19">
        <v>0.39999999999999997</v>
      </c>
      <c r="G125" s="19">
        <f t="shared" si="38"/>
        <v>0.36211433333333332</v>
      </c>
      <c r="H125" s="19">
        <v>-2.0160139765905583</v>
      </c>
      <c r="I125" s="19">
        <v>-0.47410019323196329</v>
      </c>
      <c r="J125" s="23">
        <v>5112.4927272727282</v>
      </c>
      <c r="K125" s="24">
        <f t="shared" si="42"/>
        <v>-1.1232754734078476E-2</v>
      </c>
      <c r="L125" s="22">
        <f>L124*2/3+L127/3</f>
        <v>193.17999999999998</v>
      </c>
      <c r="M125" s="19">
        <f t="shared" si="43"/>
        <v>3.7785872822757506E-2</v>
      </c>
      <c r="N125" s="27">
        <v>0.44416666666666665</v>
      </c>
      <c r="O125" s="11">
        <v>-0.49649597275839152</v>
      </c>
      <c r="P125" s="10">
        <f t="shared" si="44"/>
        <v>3.6666666666666625E-2</v>
      </c>
      <c r="Q125" s="10">
        <f t="shared" si="45"/>
        <v>-4.3333333333333224E-2</v>
      </c>
      <c r="R125" s="32">
        <v>0.43315833333333298</v>
      </c>
      <c r="S125" s="10">
        <f t="shared" si="46"/>
        <v>-1.1008333333333675E-2</v>
      </c>
      <c r="T125" s="32">
        <f t="shared" si="47"/>
        <v>-9.4919573626864873E-3</v>
      </c>
      <c r="U125" s="10">
        <f t="shared" si="53"/>
        <v>-3.3333333333333548E-3</v>
      </c>
      <c r="V125" s="10">
        <f t="shared" si="54"/>
        <v>6.6666666666667651E-3</v>
      </c>
      <c r="W125" s="10">
        <f t="shared" si="48"/>
        <v>-2.3781283099238917</v>
      </c>
      <c r="X125" s="10">
        <f t="shared" si="49"/>
        <v>1.541913783358595</v>
      </c>
      <c r="Y125" s="10">
        <f t="shared" si="50"/>
        <v>0.46286743849788481</v>
      </c>
      <c r="Z125" s="10">
        <f t="shared" si="51"/>
        <v>0.35000000000000003</v>
      </c>
      <c r="AA125" s="10">
        <f t="shared" si="55"/>
        <v>2.1666666666666723E-2</v>
      </c>
      <c r="AB125" s="34">
        <v>15.65</v>
      </c>
      <c r="AC125" s="34">
        <v>9.2114445219818606</v>
      </c>
      <c r="AD125" s="10">
        <f t="shared" si="52"/>
        <v>-0.40638079384390913</v>
      </c>
    </row>
    <row r="126" spans="1:30" x14ac:dyDescent="0.2">
      <c r="A126" s="1">
        <v>45413</v>
      </c>
      <c r="B126" s="18">
        <v>0.36656180395882038</v>
      </c>
      <c r="C126" s="19">
        <v>0.01</v>
      </c>
      <c r="D126" s="19">
        <v>0.35916666666666663</v>
      </c>
      <c r="E126" s="19">
        <v>0.35583333333333328</v>
      </c>
      <c r="F126" s="19">
        <v>0.39500000000000002</v>
      </c>
      <c r="G126" s="19">
        <f t="shared" si="38"/>
        <v>0.35794766666666666</v>
      </c>
      <c r="H126" s="19">
        <v>0.83605771238727256</v>
      </c>
      <c r="I126" s="19">
        <v>1.1100540013265547</v>
      </c>
      <c r="J126" s="23">
        <v>5235.2254545454543</v>
      </c>
      <c r="K126" s="24">
        <f t="shared" si="42"/>
        <v>2.4006435572613061E-2</v>
      </c>
      <c r="L126" s="22">
        <f>L124/3+L127*2/3</f>
        <v>194.96999999999997</v>
      </c>
      <c r="M126" s="19">
        <f t="shared" si="43"/>
        <v>3.7241949118106916E-2</v>
      </c>
      <c r="N126" s="27">
        <v>0.44416666666666665</v>
      </c>
      <c r="O126" s="11">
        <v>1.1573512190828252</v>
      </c>
      <c r="P126" s="10">
        <f t="shared" si="44"/>
        <v>3.5833333333333384E-2</v>
      </c>
      <c r="Q126" s="10">
        <f t="shared" si="45"/>
        <v>-4.2500000000000093E-2</v>
      </c>
      <c r="R126" s="32">
        <v>0.43333333333333302</v>
      </c>
      <c r="S126" s="10">
        <f t="shared" si="46"/>
        <v>-1.0833333333333639E-2</v>
      </c>
      <c r="T126" s="32">
        <f t="shared" si="47"/>
        <v>-7.3951372921537417E-3</v>
      </c>
      <c r="U126" s="10">
        <f t="shared" si="53"/>
        <v>-8.3333333333324155E-4</v>
      </c>
      <c r="V126" s="10">
        <f t="shared" si="54"/>
        <v>8.3333333333313053E-4</v>
      </c>
      <c r="W126" s="10">
        <f t="shared" si="48"/>
        <v>0.47811004572060589</v>
      </c>
      <c r="X126" s="10">
        <f t="shared" si="49"/>
        <v>0.27399628893928218</v>
      </c>
      <c r="Y126" s="10">
        <f t="shared" si="50"/>
        <v>-1.0860475657539417</v>
      </c>
      <c r="Z126" s="10">
        <f t="shared" si="51"/>
        <v>0.34916666666666663</v>
      </c>
      <c r="AA126" s="10">
        <f t="shared" si="55"/>
        <v>-8.3333333333340809E-4</v>
      </c>
      <c r="AB126" s="34">
        <v>12.92</v>
      </c>
      <c r="AC126" s="34">
        <v>-4.2253521126760614</v>
      </c>
      <c r="AD126" s="10">
        <f t="shared" si="52"/>
        <v>-0.40692471754855974</v>
      </c>
    </row>
    <row r="127" spans="1:30" x14ac:dyDescent="0.2">
      <c r="A127" s="1">
        <v>45444</v>
      </c>
      <c r="B127" s="18">
        <v>0.34895013134368552</v>
      </c>
      <c r="C127" s="19">
        <v>2.2500000000000003E-2</v>
      </c>
      <c r="D127" s="19">
        <v>0.34583333333333338</v>
      </c>
      <c r="E127" s="19">
        <v>0.34583333333333338</v>
      </c>
      <c r="F127" s="19">
        <v>0.38833333333333336</v>
      </c>
      <c r="G127" s="19">
        <f t="shared" si="38"/>
        <v>0.34583333333333338</v>
      </c>
      <c r="H127" s="19">
        <v>0.79135293264200879</v>
      </c>
      <c r="I127" s="19">
        <v>0.35269073674942808</v>
      </c>
      <c r="J127" s="23">
        <v>5415.1405263157876</v>
      </c>
      <c r="K127" s="24">
        <f t="shared" si="42"/>
        <v>3.4366250953743238E-2</v>
      </c>
      <c r="L127" s="22">
        <v>196.76</v>
      </c>
      <c r="M127" s="19">
        <f t="shared" si="43"/>
        <v>3.6335160471609486E-2</v>
      </c>
      <c r="N127" s="27">
        <v>0.44416666666666665</v>
      </c>
      <c r="O127" s="11">
        <v>1.1607317321410837</v>
      </c>
      <c r="P127" s="10">
        <f t="shared" si="44"/>
        <v>4.2499999999999982E-2</v>
      </c>
      <c r="Q127" s="10">
        <f t="shared" si="45"/>
        <v>-4.2499999999999982E-2</v>
      </c>
      <c r="R127" s="32">
        <v>0.43333333333333302</v>
      </c>
      <c r="S127" s="10">
        <f t="shared" si="46"/>
        <v>-1.0833333333333639E-2</v>
      </c>
      <c r="T127" s="32">
        <f t="shared" si="47"/>
        <v>-3.1167980103521398E-3</v>
      </c>
      <c r="U127" s="10">
        <f t="shared" si="53"/>
        <v>6.6666666666665986E-3</v>
      </c>
      <c r="V127" s="10">
        <f t="shared" si="54"/>
        <v>1.1102230246251565E-16</v>
      </c>
      <c r="W127" s="10">
        <f t="shared" si="48"/>
        <v>0.44551959930867541</v>
      </c>
      <c r="X127" s="10">
        <f t="shared" si="49"/>
        <v>-0.43866219589258071</v>
      </c>
      <c r="Y127" s="10">
        <f t="shared" si="50"/>
        <v>-0.31832448579568484</v>
      </c>
      <c r="Z127" s="10">
        <f t="shared" si="51"/>
        <v>0.32333333333333336</v>
      </c>
      <c r="AA127" s="10">
        <f t="shared" si="55"/>
        <v>-2.5833333333333264E-2</v>
      </c>
      <c r="AB127" s="34">
        <v>12.44</v>
      </c>
      <c r="AC127" s="34">
        <v>-5.1106025934401167</v>
      </c>
      <c r="AD127" s="10">
        <f t="shared" si="52"/>
        <v>-0.40783150619505715</v>
      </c>
    </row>
    <row r="128" spans="1:30" x14ac:dyDescent="0.2">
      <c r="A128" s="1">
        <v>45474</v>
      </c>
      <c r="B128" s="18">
        <v>0.32925824095084366</v>
      </c>
      <c r="C128" s="19">
        <v>5.8333333333333336E-3</v>
      </c>
      <c r="D128" s="19">
        <v>0.32083333333333336</v>
      </c>
      <c r="E128" s="19">
        <v>0.33083333333333337</v>
      </c>
      <c r="F128" s="19">
        <v>0.3775</v>
      </c>
      <c r="G128" s="19">
        <f t="shared" si="38"/>
        <v>0.32449033333333338</v>
      </c>
      <c r="H128" s="19">
        <v>1.6858978647071976</v>
      </c>
      <c r="I128" s="19">
        <v>1.3452818846220849</v>
      </c>
      <c r="J128" s="23">
        <v>5538.0045454545461</v>
      </c>
      <c r="K128" s="24">
        <f t="shared" si="42"/>
        <v>2.2688980746054632E-2</v>
      </c>
      <c r="L128" s="22">
        <f>L127*2/3+L130/3</f>
        <v>197.93</v>
      </c>
      <c r="M128" s="19">
        <f t="shared" si="43"/>
        <v>3.5740310137964033E-2</v>
      </c>
      <c r="N128" s="27">
        <v>0.44416666666666665</v>
      </c>
      <c r="O128" s="11">
        <v>0.98384974618307341</v>
      </c>
      <c r="P128" s="10">
        <f t="shared" si="44"/>
        <v>5.6666666666666643E-2</v>
      </c>
      <c r="Q128" s="10">
        <f t="shared" si="45"/>
        <v>-3.6666666666666625E-2</v>
      </c>
      <c r="R128" s="32">
        <v>0.43333333333333302</v>
      </c>
      <c r="S128" s="10">
        <f t="shared" si="46"/>
        <v>-1.0833333333333639E-2</v>
      </c>
      <c r="T128" s="32">
        <f t="shared" si="47"/>
        <v>-8.4249076175103021E-3</v>
      </c>
      <c r="U128" s="10">
        <f t="shared" si="53"/>
        <v>1.4166666666666661E-2</v>
      </c>
      <c r="V128" s="10">
        <f t="shared" si="54"/>
        <v>5.833333333333357E-3</v>
      </c>
      <c r="W128" s="10">
        <f t="shared" si="48"/>
        <v>1.3614075313738643</v>
      </c>
      <c r="X128" s="10">
        <f t="shared" si="49"/>
        <v>-0.34061598008511274</v>
      </c>
      <c r="Y128" s="10">
        <f t="shared" si="50"/>
        <v>-1.3225929038760302</v>
      </c>
      <c r="Z128" s="10">
        <f t="shared" si="51"/>
        <v>0.315</v>
      </c>
      <c r="AA128" s="10">
        <f t="shared" si="55"/>
        <v>-8.3333333333333592E-3</v>
      </c>
      <c r="AB128" s="34">
        <v>16.36</v>
      </c>
      <c r="AC128" s="34">
        <v>33.442088091354009</v>
      </c>
      <c r="AD128" s="10">
        <f t="shared" si="52"/>
        <v>-0.40842635652870263</v>
      </c>
    </row>
    <row r="129" spans="1:30" x14ac:dyDescent="0.2">
      <c r="A129" s="1">
        <v>45505</v>
      </c>
      <c r="B129" s="18">
        <v>0.32263387079135175</v>
      </c>
      <c r="C129" s="19">
        <v>1.5833333333333335E-2</v>
      </c>
      <c r="D129" s="19">
        <v>0.31916666666666665</v>
      </c>
      <c r="E129" s="19">
        <v>0.33083333333333337</v>
      </c>
      <c r="F129" s="19">
        <v>0.3741666666666667</v>
      </c>
      <c r="G129" s="19">
        <f t="shared" si="38"/>
        <v>0.32343316666666666</v>
      </c>
      <c r="H129" s="19">
        <v>0.31566815298580408</v>
      </c>
      <c r="I129" s="19">
        <v>1.4051939420045456</v>
      </c>
      <c r="J129" s="23">
        <v>5478.2145454545462</v>
      </c>
      <c r="K129" s="24">
        <f t="shared" si="42"/>
        <v>-1.0796307498352253E-2</v>
      </c>
      <c r="L129" s="22">
        <f>L127/3+L130*2/3</f>
        <v>199.10000000000002</v>
      </c>
      <c r="M129" s="19">
        <f t="shared" si="43"/>
        <v>3.6343958117741083E-2</v>
      </c>
      <c r="N129" s="27">
        <v>0.44416666666666665</v>
      </c>
      <c r="O129" s="11">
        <v>0.20128346879376346</v>
      </c>
      <c r="P129" s="10">
        <f t="shared" si="44"/>
        <v>5.5000000000000049E-2</v>
      </c>
      <c r="Q129" s="10">
        <f t="shared" si="45"/>
        <v>-3.1666666666666621E-2</v>
      </c>
      <c r="R129" s="32">
        <v>0.41249999999999998</v>
      </c>
      <c r="S129" s="10">
        <f t="shared" si="46"/>
        <v>-3.1666666666666676E-2</v>
      </c>
      <c r="T129" s="32">
        <f t="shared" si="47"/>
        <v>-3.4672041246850971E-3</v>
      </c>
      <c r="U129" s="10">
        <f t="shared" si="53"/>
        <v>-1.6666666666665941E-3</v>
      </c>
      <c r="V129" s="10">
        <f t="shared" si="54"/>
        <v>5.0000000000000044E-3</v>
      </c>
      <c r="W129" s="10">
        <f t="shared" si="48"/>
        <v>-7.7650136808625758E-3</v>
      </c>
      <c r="X129" s="10">
        <f t="shared" si="49"/>
        <v>1.0895257890187415</v>
      </c>
      <c r="Y129" s="10">
        <f t="shared" si="50"/>
        <v>-1.4159902495028978</v>
      </c>
      <c r="Z129" s="10">
        <f t="shared" si="51"/>
        <v>0.30333333333333334</v>
      </c>
      <c r="AA129" s="10">
        <f t="shared" si="55"/>
        <v>-1.1666666666666659E-2</v>
      </c>
      <c r="AB129" s="34">
        <v>15</v>
      </c>
      <c r="AC129" s="34">
        <v>-61.109670728545495</v>
      </c>
      <c r="AD129" s="10">
        <f t="shared" si="52"/>
        <v>-0.40782270854892555</v>
      </c>
    </row>
    <row r="130" spans="1:30" x14ac:dyDescent="0.2">
      <c r="A130" s="1">
        <v>45536</v>
      </c>
      <c r="B130" s="18">
        <v>0.3082069662361509</v>
      </c>
      <c r="C130" s="19">
        <v>9.1666666666666667E-3</v>
      </c>
      <c r="D130" s="19">
        <v>0.3116666666666667</v>
      </c>
      <c r="E130" s="19">
        <v>0.33250000000000002</v>
      </c>
      <c r="F130" s="19">
        <v>0.38083333333333336</v>
      </c>
      <c r="G130" s="19">
        <f t="shared" si="38"/>
        <v>0.31928541666666671</v>
      </c>
      <c r="H130" s="19">
        <v>0.18956425227609763</v>
      </c>
      <c r="I130" s="19">
        <v>1.4852184347318942</v>
      </c>
      <c r="J130" s="23">
        <v>5621.2604999999985</v>
      </c>
      <c r="K130" s="24">
        <f t="shared" si="42"/>
        <v>2.6111783932256216E-2</v>
      </c>
      <c r="L130" s="22">
        <v>200.27</v>
      </c>
      <c r="M130" s="19">
        <f t="shared" ref="M130:M145" si="56">L130/J130</f>
        <v>3.5627240545069931E-2</v>
      </c>
      <c r="N130" s="27">
        <v>0.42749999999999999</v>
      </c>
      <c r="O130" s="11">
        <v>6.2862567183433013E-2</v>
      </c>
      <c r="P130" s="10">
        <f t="shared" ref="P130:P145" si="57">F130-D130</f>
        <v>6.9166666666666654E-2</v>
      </c>
      <c r="Q130" s="10">
        <f t="shared" ref="Q130:Q145" si="58">2*E130-F130-D130</f>
        <v>-2.7500000000000024E-2</v>
      </c>
      <c r="R130" s="32">
        <v>0.41249999999999998</v>
      </c>
      <c r="S130" s="10">
        <f t="shared" ref="S130:S161" si="59">R130-N130</f>
        <v>-1.5000000000000013E-2</v>
      </c>
      <c r="T130" s="32">
        <f t="shared" ref="T130:T145" si="60">D130-B130</f>
        <v>3.4597004305157997E-3</v>
      </c>
      <c r="U130" s="10">
        <f t="shared" si="53"/>
        <v>1.4166666666666605E-2</v>
      </c>
      <c r="V130" s="10">
        <f t="shared" si="54"/>
        <v>4.1666666666665964E-3</v>
      </c>
      <c r="W130" s="10">
        <f t="shared" ref="W130:W145" si="61">H130-G130</f>
        <v>-0.12972116439056908</v>
      </c>
      <c r="X130" s="10">
        <f t="shared" ref="X130:X145" si="62">I130-H130</f>
        <v>1.2956541824557966</v>
      </c>
      <c r="Y130" s="10">
        <f t="shared" ref="Y130:Y145" si="63">K130-I130</f>
        <v>-1.459106650799638</v>
      </c>
      <c r="Z130" s="10">
        <f t="shared" ref="Z130:Z145" si="64">D130-C130</f>
        <v>0.30250000000000005</v>
      </c>
      <c r="AA130" s="10">
        <f t="shared" si="55"/>
        <v>-8.3333333333329707E-4</v>
      </c>
      <c r="AB130" s="34">
        <v>16.73</v>
      </c>
      <c r="AC130" s="34">
        <v>-19.256756756756754</v>
      </c>
      <c r="AD130" s="10">
        <f t="shared" ref="AD130:AD145" si="65">M130-N130</f>
        <v>-0.39187275945493005</v>
      </c>
    </row>
    <row r="131" spans="1:30" x14ac:dyDescent="0.2">
      <c r="A131" s="1">
        <v>45566</v>
      </c>
      <c r="B131" s="18">
        <v>0.34250572643952221</v>
      </c>
      <c r="C131" s="19">
        <v>2.4999999999999998E-2</v>
      </c>
      <c r="D131" s="19">
        <v>0.34833333333333333</v>
      </c>
      <c r="E131" s="19">
        <v>0.36749999999999999</v>
      </c>
      <c r="F131" s="19">
        <v>0.40583333333333332</v>
      </c>
      <c r="G131" s="19">
        <f t="shared" ref="G131:G145" si="66">0.3657*E131+(1-0.3657)*D131</f>
        <v>0.35534258333333335</v>
      </c>
      <c r="H131" s="19">
        <v>-1.314240774757125</v>
      </c>
      <c r="I131" s="19">
        <v>-0.53960859748704015</v>
      </c>
      <c r="J131" s="23">
        <v>5792.3195652173899</v>
      </c>
      <c r="K131" s="24">
        <f t="shared" si="42"/>
        <v>3.0430730832949671E-2</v>
      </c>
      <c r="L131" s="22">
        <f>L130*2/3+L133/3</f>
        <v>203.57</v>
      </c>
      <c r="M131" s="19">
        <f t="shared" si="56"/>
        <v>3.5144815079338573E-2</v>
      </c>
      <c r="N131" s="27">
        <v>0.40250000000000002</v>
      </c>
      <c r="O131" s="11">
        <v>1.5244628300109645E-2</v>
      </c>
      <c r="P131" s="10">
        <f t="shared" si="57"/>
        <v>5.7499999999999996E-2</v>
      </c>
      <c r="Q131" s="10">
        <f t="shared" si="58"/>
        <v>-1.9166666666666665E-2</v>
      </c>
      <c r="R131" s="32">
        <v>0.41249999999999998</v>
      </c>
      <c r="S131" s="10">
        <f t="shared" si="59"/>
        <v>9.9999999999999534E-3</v>
      </c>
      <c r="T131" s="32">
        <f t="shared" si="60"/>
        <v>5.8276068938111214E-3</v>
      </c>
      <c r="U131" s="10">
        <f t="shared" ref="U131:U145" si="67">P131-P130</f>
        <v>-1.1666666666666659E-2</v>
      </c>
      <c r="V131" s="10">
        <f t="shared" ref="V131:V145" si="68">Q131-Q130</f>
        <v>8.3333333333333592E-3</v>
      </c>
      <c r="W131" s="10">
        <f t="shared" si="61"/>
        <v>-1.6695833580904584</v>
      </c>
      <c r="X131" s="10">
        <f t="shared" si="62"/>
        <v>0.77463217727008482</v>
      </c>
      <c r="Y131" s="10">
        <f t="shared" si="63"/>
        <v>0.57003932831998982</v>
      </c>
      <c r="Z131" s="10">
        <f t="shared" si="64"/>
        <v>0.32333333333333331</v>
      </c>
      <c r="AA131" s="10">
        <f t="shared" ref="AA131:AA162" si="69">Z131-Z130</f>
        <v>2.0833333333333259E-2</v>
      </c>
      <c r="AB131" s="34">
        <v>23.16</v>
      </c>
      <c r="AC131" s="34">
        <v>20.562207183758453</v>
      </c>
      <c r="AD131" s="10">
        <f t="shared" si="65"/>
        <v>-0.36735518492066144</v>
      </c>
    </row>
    <row r="132" spans="1:30" x14ac:dyDescent="0.2">
      <c r="A132" s="1">
        <v>45597</v>
      </c>
      <c r="B132" s="18">
        <v>0.32706083067601627</v>
      </c>
      <c r="C132" s="19">
        <v>4.1666666666666666E-3</v>
      </c>
      <c r="D132" s="19">
        <v>0.33333333333333331</v>
      </c>
      <c r="E132" s="19">
        <v>0.35250000000000004</v>
      </c>
      <c r="F132" s="19">
        <v>0.39583333333333331</v>
      </c>
      <c r="G132" s="19">
        <f t="shared" si="66"/>
        <v>0.34034258333333334</v>
      </c>
      <c r="H132" s="19">
        <v>1.793439335899405</v>
      </c>
      <c r="I132" s="19">
        <v>1.3354588315085736</v>
      </c>
      <c r="J132" s="23">
        <v>5929.9160000000002</v>
      </c>
      <c r="K132" s="24">
        <f t="shared" ref="K132:K145" si="70">-1+J132/J131</f>
        <v>2.3754979889036187E-2</v>
      </c>
      <c r="L132" s="22">
        <f>L130/3+L133*2/3</f>
        <v>206.87</v>
      </c>
      <c r="M132" s="19">
        <f t="shared" si="56"/>
        <v>3.4885823003226353E-2</v>
      </c>
      <c r="N132" s="27">
        <v>0.38666666666666666</v>
      </c>
      <c r="O132" s="11">
        <v>2.5118747000438195</v>
      </c>
      <c r="P132" s="10">
        <f t="shared" si="57"/>
        <v>6.25E-2</v>
      </c>
      <c r="Q132" s="10">
        <f t="shared" si="58"/>
        <v>-2.4166666666666559E-2</v>
      </c>
      <c r="R132" s="32">
        <v>0.395633333333333</v>
      </c>
      <c r="S132" s="10">
        <f t="shared" si="59"/>
        <v>8.9666666666663453E-3</v>
      </c>
      <c r="T132" s="32">
        <f t="shared" si="60"/>
        <v>6.2725026573170473E-3</v>
      </c>
      <c r="U132" s="10">
        <f t="shared" si="67"/>
        <v>5.0000000000000044E-3</v>
      </c>
      <c r="V132" s="10">
        <f t="shared" si="68"/>
        <v>-4.9999999999998934E-3</v>
      </c>
      <c r="W132" s="10">
        <f t="shared" si="61"/>
        <v>1.4530967525660716</v>
      </c>
      <c r="X132" s="10">
        <f t="shared" si="62"/>
        <v>-0.45798050439083138</v>
      </c>
      <c r="Y132" s="10">
        <f t="shared" si="63"/>
        <v>-1.3117038516195374</v>
      </c>
      <c r="Z132" s="10">
        <f t="shared" si="64"/>
        <v>0.32916666666666666</v>
      </c>
      <c r="AA132" s="10">
        <f t="shared" si="69"/>
        <v>5.833333333333357E-3</v>
      </c>
      <c r="AB132" s="34">
        <v>13.51</v>
      </c>
      <c r="AC132" s="34">
        <v>-38.535031847133759</v>
      </c>
      <c r="AD132" s="10">
        <f t="shared" si="65"/>
        <v>-0.35178084366344031</v>
      </c>
    </row>
    <row r="133" spans="1:30" x14ac:dyDescent="0.2">
      <c r="A133" s="1">
        <v>45627</v>
      </c>
      <c r="B133" s="18">
        <v>0.34219852283851465</v>
      </c>
      <c r="C133" s="19">
        <v>2.4999999999999998E-2</v>
      </c>
      <c r="D133" s="19">
        <v>0.34833333333333333</v>
      </c>
      <c r="E133" s="19">
        <v>0.38083333333333336</v>
      </c>
      <c r="F133" s="19">
        <v>0.42749999999999999</v>
      </c>
      <c r="G133" s="19">
        <f t="shared" si="66"/>
        <v>0.36021858333333334</v>
      </c>
      <c r="H133" s="19">
        <v>-0.42121451932808363</v>
      </c>
      <c r="I133" s="19">
        <v>7.9175318373281289E-2</v>
      </c>
      <c r="J133" s="23">
        <v>6010.9085714285711</v>
      </c>
      <c r="K133" s="24">
        <f t="shared" si="70"/>
        <v>1.3658299953754893E-2</v>
      </c>
      <c r="L133" s="25">
        <v>210.17</v>
      </c>
      <c r="M133" s="19">
        <f t="shared" si="56"/>
        <v>3.4964764062290557E-2</v>
      </c>
      <c r="N133" s="27">
        <v>0.37333333333333335</v>
      </c>
      <c r="O133" s="11">
        <v>-0.73047275946122014</v>
      </c>
      <c r="P133" s="10">
        <f t="shared" si="57"/>
        <v>7.9166666666666663E-2</v>
      </c>
      <c r="Q133" s="10">
        <f t="shared" si="58"/>
        <v>-1.4166666666666605E-2</v>
      </c>
      <c r="R133" s="32">
        <v>0.391666666666667</v>
      </c>
      <c r="S133" s="10">
        <f t="shared" si="59"/>
        <v>1.8333333333333646E-2</v>
      </c>
      <c r="T133" s="32">
        <f t="shared" si="60"/>
        <v>6.1348104948186766E-3</v>
      </c>
      <c r="U133" s="10">
        <f t="shared" si="67"/>
        <v>1.6666666666666663E-2</v>
      </c>
      <c r="V133" s="10">
        <f t="shared" si="68"/>
        <v>9.9999999999999534E-3</v>
      </c>
      <c r="W133" s="10">
        <f t="shared" si="61"/>
        <v>-0.78143310266141697</v>
      </c>
      <c r="X133" s="10">
        <f t="shared" si="62"/>
        <v>0.50038983770136491</v>
      </c>
      <c r="Y133" s="10">
        <f t="shared" si="63"/>
        <v>-6.5517018419526396E-2</v>
      </c>
      <c r="Z133" s="10">
        <f t="shared" si="64"/>
        <v>0.32333333333333331</v>
      </c>
      <c r="AA133" s="10">
        <f t="shared" si="69"/>
        <v>-5.833333333333357E-3</v>
      </c>
      <c r="AB133" s="34">
        <v>17.350000000000001</v>
      </c>
      <c r="AC133" s="34">
        <v>30.451127819548883</v>
      </c>
      <c r="AD133" s="10">
        <f t="shared" si="65"/>
        <v>-0.33836856927104281</v>
      </c>
    </row>
    <row r="134" spans="1:30" x14ac:dyDescent="0.2">
      <c r="A134" s="1">
        <v>45658</v>
      </c>
      <c r="B134" s="18">
        <v>0.32833097671697614</v>
      </c>
      <c r="C134" s="19">
        <v>-7.4999999999999997E-3</v>
      </c>
      <c r="D134" s="19">
        <v>0.33583333333333337</v>
      </c>
      <c r="E134" s="19">
        <v>0.37833333333333335</v>
      </c>
      <c r="F134" s="19">
        <v>0.42583333333333334</v>
      </c>
      <c r="G134" s="19">
        <f t="shared" si="66"/>
        <v>0.35137558333333341</v>
      </c>
      <c r="H134" s="19">
        <v>0.70045814312970078</v>
      </c>
      <c r="I134" s="19">
        <v>1.2374258879166544</v>
      </c>
      <c r="J134" s="23">
        <v>5979.5155000000004</v>
      </c>
      <c r="K134" s="24">
        <f t="shared" si="70"/>
        <v>-5.2226832359071329E-3</v>
      </c>
      <c r="L134" s="22">
        <f>L133*2/3+L136/3</f>
        <v>212.34333333333331</v>
      </c>
      <c r="M134" s="19">
        <f t="shared" si="56"/>
        <v>3.551179578568419E-2</v>
      </c>
      <c r="N134" s="27">
        <v>0.36083333333333334</v>
      </c>
      <c r="O134" s="11">
        <v>2.664630651168546</v>
      </c>
      <c r="P134" s="10">
        <f t="shared" si="57"/>
        <v>8.9999999999999969E-2</v>
      </c>
      <c r="Q134" s="10">
        <f t="shared" si="58"/>
        <v>-5.0000000000000044E-3</v>
      </c>
      <c r="R134" s="32">
        <v>0.39168333333333299</v>
      </c>
      <c r="S134" s="10">
        <f t="shared" si="59"/>
        <v>3.0849999999999655E-2</v>
      </c>
      <c r="T134" s="32">
        <f t="shared" si="60"/>
        <v>7.5023566163572308E-3</v>
      </c>
      <c r="U134" s="10">
        <f t="shared" si="67"/>
        <v>1.0833333333333306E-2</v>
      </c>
      <c r="V134" s="10">
        <f t="shared" si="68"/>
        <v>9.1666666666666008E-3</v>
      </c>
      <c r="W134" s="10">
        <f t="shared" si="61"/>
        <v>0.34908255979636738</v>
      </c>
      <c r="X134" s="10">
        <f t="shared" si="62"/>
        <v>0.53696774478695364</v>
      </c>
      <c r="Y134" s="10">
        <f t="shared" si="63"/>
        <v>-1.2426485711525617</v>
      </c>
      <c r="Z134" s="10">
        <f t="shared" si="64"/>
        <v>0.34333333333333338</v>
      </c>
      <c r="AA134" s="10">
        <f t="shared" si="69"/>
        <v>2.0000000000000073E-2</v>
      </c>
      <c r="AB134" s="34">
        <v>16.43</v>
      </c>
      <c r="AC134" s="34">
        <v>2.4314214463840411</v>
      </c>
      <c r="AD134" s="10">
        <f t="shared" si="65"/>
        <v>-0.32532153754764914</v>
      </c>
    </row>
    <row r="135" spans="1:30" x14ac:dyDescent="0.2">
      <c r="A135" s="1">
        <v>45689</v>
      </c>
      <c r="B135" s="18">
        <v>0.32502064458219487</v>
      </c>
      <c r="C135" s="19">
        <v>8.3333333333333332E-3</v>
      </c>
      <c r="D135" s="19">
        <v>0.33083333333333337</v>
      </c>
      <c r="E135" s="19">
        <v>0.37333333333333335</v>
      </c>
      <c r="F135" s="19">
        <v>0.42166666666666663</v>
      </c>
      <c r="G135" s="19">
        <f t="shared" si="66"/>
        <v>0.34637558333333335</v>
      </c>
      <c r="H135" s="19">
        <v>0.48173527391317528</v>
      </c>
      <c r="I135" s="19">
        <v>0.65486590224408392</v>
      </c>
      <c r="J135" s="23">
        <v>6038.69</v>
      </c>
      <c r="K135" s="24">
        <f t="shared" si="70"/>
        <v>9.8962031288318819E-3</v>
      </c>
      <c r="L135" s="22">
        <f>L133/3+L136*2/3</f>
        <v>214.51666666666665</v>
      </c>
      <c r="M135" s="19">
        <f t="shared" si="56"/>
        <v>3.5523709060519194E-2</v>
      </c>
      <c r="N135" s="27">
        <v>0.36083333333333334</v>
      </c>
      <c r="O135" s="11">
        <v>-0.63980558944311527</v>
      </c>
      <c r="P135" s="10">
        <f t="shared" si="57"/>
        <v>9.0833333333333266E-2</v>
      </c>
      <c r="Q135" s="10">
        <f t="shared" si="58"/>
        <v>-5.8333333333333015E-3</v>
      </c>
      <c r="R135" s="32">
        <v>0.37432500000000002</v>
      </c>
      <c r="S135" s="10">
        <f t="shared" si="59"/>
        <v>1.349166666666668E-2</v>
      </c>
      <c r="T135" s="32">
        <f t="shared" si="60"/>
        <v>5.812688751138495E-3</v>
      </c>
      <c r="U135" s="10">
        <f t="shared" si="67"/>
        <v>8.3333333333329707E-4</v>
      </c>
      <c r="V135" s="10">
        <f t="shared" si="68"/>
        <v>-8.3333333333329707E-4</v>
      </c>
      <c r="W135" s="10">
        <f t="shared" si="61"/>
        <v>0.13535969057984193</v>
      </c>
      <c r="X135" s="10">
        <f t="shared" si="62"/>
        <v>0.17313062833090864</v>
      </c>
      <c r="Y135" s="10">
        <f t="shared" si="63"/>
        <v>-0.64496969911525204</v>
      </c>
      <c r="Z135" s="10">
        <f t="shared" si="64"/>
        <v>0.32250000000000001</v>
      </c>
      <c r="AA135" s="10">
        <f t="shared" si="69"/>
        <v>-2.083333333333337E-2</v>
      </c>
      <c r="AB135" s="34">
        <v>19.63</v>
      </c>
      <c r="AC135" s="34">
        <v>5.4242749731471473</v>
      </c>
      <c r="AD135" s="10">
        <f t="shared" si="65"/>
        <v>-0.32530962427281412</v>
      </c>
    </row>
    <row r="136" spans="1:30" x14ac:dyDescent="0.2">
      <c r="A136" s="1">
        <v>45717</v>
      </c>
      <c r="B136" s="18">
        <v>0.33058135373397562</v>
      </c>
      <c r="C136" s="19">
        <v>0</v>
      </c>
      <c r="D136" s="19">
        <v>0.33583333333333337</v>
      </c>
      <c r="E136" s="19">
        <v>0.38833333333333336</v>
      </c>
      <c r="F136" s="19">
        <v>0.44083333333333335</v>
      </c>
      <c r="G136" s="19">
        <f t="shared" si="66"/>
        <v>0.35503258333333337</v>
      </c>
      <c r="H136" s="19">
        <v>-1.516629863204555</v>
      </c>
      <c r="I136" s="19">
        <v>-1.0192529352492929</v>
      </c>
      <c r="J136" s="23">
        <v>5683.9833333333327</v>
      </c>
      <c r="K136" s="24">
        <f t="shared" si="70"/>
        <v>-5.8739009067639958E-2</v>
      </c>
      <c r="L136" s="25">
        <v>216.69</v>
      </c>
      <c r="M136" s="19">
        <f t="shared" si="56"/>
        <v>3.8122912628760941E-2</v>
      </c>
      <c r="N136" s="27">
        <v>0.36083333333333334</v>
      </c>
      <c r="O136" s="11">
        <v>-2.5680570998352561</v>
      </c>
      <c r="P136" s="10">
        <f t="shared" si="57"/>
        <v>0.10499999999999998</v>
      </c>
      <c r="Q136" s="10">
        <f t="shared" si="58"/>
        <v>0</v>
      </c>
      <c r="R136" s="32">
        <v>0.37129166666666702</v>
      </c>
      <c r="S136" s="10">
        <f t="shared" si="59"/>
        <v>1.045833333333368E-2</v>
      </c>
      <c r="T136" s="32">
        <f t="shared" si="60"/>
        <v>5.2519795993577478E-3</v>
      </c>
      <c r="U136" s="10">
        <f t="shared" si="67"/>
        <v>1.4166666666666716E-2</v>
      </c>
      <c r="V136" s="10">
        <f t="shared" si="68"/>
        <v>5.8333333333333015E-3</v>
      </c>
      <c r="W136" s="10">
        <f t="shared" si="61"/>
        <v>-1.8716624465378884</v>
      </c>
      <c r="X136" s="10">
        <f t="shared" si="62"/>
        <v>0.497376927955262</v>
      </c>
      <c r="Y136" s="10">
        <f t="shared" si="63"/>
        <v>0.96051392618165299</v>
      </c>
      <c r="Z136" s="10">
        <f t="shared" si="64"/>
        <v>0.33583333333333337</v>
      </c>
      <c r="AA136" s="10">
        <f t="shared" si="69"/>
        <v>1.3333333333333364E-2</v>
      </c>
      <c r="AB136" s="34">
        <v>22.28</v>
      </c>
      <c r="AC136" s="34">
        <v>-5.2318162484049306</v>
      </c>
      <c r="AD136" s="10">
        <f t="shared" si="65"/>
        <v>-0.3227104207045724</v>
      </c>
    </row>
    <row r="137" spans="1:30" x14ac:dyDescent="0.2">
      <c r="A137" s="1">
        <v>45748</v>
      </c>
      <c r="B137" s="18">
        <v>0.29307986463320995</v>
      </c>
      <c r="C137" s="19">
        <v>3.3333333333333335E-3</v>
      </c>
      <c r="D137" s="19">
        <v>0.30416666666666664</v>
      </c>
      <c r="E137" s="19">
        <v>0.37083333333333335</v>
      </c>
      <c r="F137" s="19">
        <v>0.43583333333333335</v>
      </c>
      <c r="G137" s="19">
        <f t="shared" si="66"/>
        <v>0.32854666666666665</v>
      </c>
      <c r="H137" s="19">
        <v>1.5942032494633107</v>
      </c>
      <c r="I137" s="19">
        <v>0.72790379654517068</v>
      </c>
      <c r="J137" s="23">
        <v>5369.4957142857147</v>
      </c>
      <c r="K137" s="24">
        <f t="shared" si="70"/>
        <v>-5.5328737014995633E-2</v>
      </c>
      <c r="L137" s="22">
        <f>L136*2/3+L139/3</f>
        <v>218.63666666666666</v>
      </c>
      <c r="M137" s="19">
        <f t="shared" si="56"/>
        <v>4.0718286837435558E-2</v>
      </c>
      <c r="N137" s="27">
        <v>0.36083333333333334</v>
      </c>
      <c r="O137" s="11">
        <v>-0.12574664360828455</v>
      </c>
      <c r="P137" s="10">
        <f t="shared" si="57"/>
        <v>0.13166666666666671</v>
      </c>
      <c r="Q137" s="10">
        <f t="shared" si="58"/>
        <v>1.6666666666667052E-3</v>
      </c>
      <c r="R137" s="32">
        <v>0.371475</v>
      </c>
      <c r="S137" s="10">
        <f t="shared" si="59"/>
        <v>1.064166666666666E-2</v>
      </c>
      <c r="T137" s="32">
        <f t="shared" si="60"/>
        <v>1.1086802033456689E-2</v>
      </c>
      <c r="U137" s="10">
        <f t="shared" si="67"/>
        <v>2.6666666666666727E-2</v>
      </c>
      <c r="V137" s="10">
        <f t="shared" si="68"/>
        <v>1.6666666666667052E-3</v>
      </c>
      <c r="W137" s="10">
        <f t="shared" si="61"/>
        <v>1.2656565827966442</v>
      </c>
      <c r="X137" s="10">
        <f t="shared" si="62"/>
        <v>-0.86629945291814003</v>
      </c>
      <c r="Y137" s="10">
        <f t="shared" si="63"/>
        <v>-0.78323253356016631</v>
      </c>
      <c r="Z137" s="10">
        <f t="shared" si="64"/>
        <v>0.30083333333333329</v>
      </c>
      <c r="AA137" s="10">
        <f t="shared" si="69"/>
        <v>-3.5000000000000087E-2</v>
      </c>
      <c r="AB137" s="34">
        <v>24.7</v>
      </c>
      <c r="AC137" s="34">
        <v>14.830311483031133</v>
      </c>
      <c r="AD137" s="10">
        <f t="shared" si="65"/>
        <v>-0.32011504649589778</v>
      </c>
    </row>
    <row r="138" spans="1:30" x14ac:dyDescent="0.2">
      <c r="A138" s="1">
        <v>45778</v>
      </c>
      <c r="B138" s="18">
        <v>0.31358976730880628</v>
      </c>
      <c r="C138" s="19">
        <v>2.4999999999999998E-2</v>
      </c>
      <c r="D138" s="19">
        <v>0.32583333333333336</v>
      </c>
      <c r="E138" s="19">
        <v>0.38916666666666666</v>
      </c>
      <c r="F138" s="19">
        <v>0.45</v>
      </c>
      <c r="G138" s="19">
        <f t="shared" si="66"/>
        <v>0.34899433333333335</v>
      </c>
      <c r="H138" s="19">
        <v>-7.1147712474350921E-2</v>
      </c>
      <c r="I138" s="19">
        <v>1.2413649855898656</v>
      </c>
      <c r="J138" s="23">
        <v>5810.9195238095244</v>
      </c>
      <c r="K138" s="24">
        <f t="shared" si="70"/>
        <v>8.2209546857330951E-2</v>
      </c>
      <c r="L138" s="22">
        <f>L136/3+L139*2/3</f>
        <v>220.58333333333331</v>
      </c>
      <c r="M138" s="19">
        <f t="shared" si="56"/>
        <v>3.7960142526414345E-2</v>
      </c>
      <c r="N138" s="27">
        <v>0.36083333333333334</v>
      </c>
      <c r="O138" s="11">
        <v>2.3878145236429944</v>
      </c>
      <c r="P138" s="10">
        <f t="shared" si="57"/>
        <v>0.12416666666666665</v>
      </c>
      <c r="Q138" s="10">
        <f t="shared" si="58"/>
        <v>2.4999999999999467E-3</v>
      </c>
      <c r="R138" s="32">
        <v>0.35503333333333298</v>
      </c>
      <c r="S138" s="10">
        <f t="shared" si="59"/>
        <v>-5.8000000000003604E-3</v>
      </c>
      <c r="T138" s="32">
        <f t="shared" si="60"/>
        <v>1.2243566024527086E-2</v>
      </c>
      <c r="U138" s="10">
        <f t="shared" si="67"/>
        <v>-7.5000000000000622E-3</v>
      </c>
      <c r="V138" s="10">
        <f t="shared" si="68"/>
        <v>8.3333333333324155E-4</v>
      </c>
      <c r="W138" s="10">
        <f t="shared" si="61"/>
        <v>-0.42014204580768427</v>
      </c>
      <c r="X138" s="10">
        <f t="shared" si="62"/>
        <v>1.3125126980642166</v>
      </c>
      <c r="Y138" s="10">
        <f t="shared" si="63"/>
        <v>-1.1591554387325347</v>
      </c>
      <c r="Z138" s="10">
        <f t="shared" si="64"/>
        <v>0.30083333333333334</v>
      </c>
      <c r="AA138" s="10">
        <f t="shared" si="69"/>
        <v>0</v>
      </c>
      <c r="AB138" s="34">
        <v>18.57</v>
      </c>
      <c r="AC138" s="34">
        <v>-21.446700507614214</v>
      </c>
      <c r="AD138" s="10">
        <f t="shared" si="65"/>
        <v>-0.32287319080691901</v>
      </c>
    </row>
    <row r="139" spans="1:30" x14ac:dyDescent="0.2">
      <c r="A139" s="1">
        <v>45809</v>
      </c>
      <c r="B139" s="18">
        <v>0.29637683502135453</v>
      </c>
      <c r="C139" s="19">
        <v>3.9166666666666662E-2</v>
      </c>
      <c r="D139" s="19">
        <v>0.30833333333333335</v>
      </c>
      <c r="E139" s="19">
        <v>0.3758333333333333</v>
      </c>
      <c r="F139" s="19">
        <v>0.44166666666666665</v>
      </c>
      <c r="G139" s="19">
        <f t="shared" si="66"/>
        <v>0.33301808333333333</v>
      </c>
      <c r="H139" s="19">
        <v>1.7385427153568167</v>
      </c>
      <c r="I139" s="19">
        <v>0.90650884302243551</v>
      </c>
      <c r="J139" s="23">
        <v>6029.9514999999992</v>
      </c>
      <c r="K139" s="24">
        <f t="shared" si="70"/>
        <v>3.7693169780276259E-2</v>
      </c>
      <c r="L139" s="25">
        <v>222.53</v>
      </c>
      <c r="M139" s="19">
        <f t="shared" si="56"/>
        <v>3.6904111086133951E-2</v>
      </c>
      <c r="N139" s="27">
        <v>0.36083333333333334</v>
      </c>
      <c r="O139" s="11">
        <v>1.3006576888791135</v>
      </c>
      <c r="P139" s="10">
        <f t="shared" si="57"/>
        <v>0.1333333333333333</v>
      </c>
      <c r="Q139" s="10">
        <f t="shared" si="58"/>
        <v>1.6666666666665941E-3</v>
      </c>
      <c r="R139" s="32">
        <v>0.35120000000000001</v>
      </c>
      <c r="S139" s="10">
        <f t="shared" si="59"/>
        <v>-9.6333333333333271E-3</v>
      </c>
      <c r="T139" s="32">
        <f t="shared" si="60"/>
        <v>1.1956498311978814E-2</v>
      </c>
      <c r="U139" s="10">
        <f t="shared" si="67"/>
        <v>9.1666666666666563E-3</v>
      </c>
      <c r="V139" s="10">
        <f t="shared" si="68"/>
        <v>-8.3333333333335258E-4</v>
      </c>
      <c r="W139" s="10">
        <f t="shared" si="61"/>
        <v>1.4055246320234833</v>
      </c>
      <c r="X139" s="10">
        <f t="shared" si="62"/>
        <v>-0.8320338723343812</v>
      </c>
      <c r="Y139" s="10">
        <f t="shared" si="63"/>
        <v>-0.86881567324215925</v>
      </c>
      <c r="Z139" s="10">
        <f t="shared" si="64"/>
        <v>0.26916666666666667</v>
      </c>
      <c r="AA139" s="10">
        <f t="shared" si="69"/>
        <v>-3.1666666666666676E-2</v>
      </c>
      <c r="AB139" s="34">
        <v>16.73</v>
      </c>
      <c r="AC139" s="34">
        <v>-5.4267947993216552</v>
      </c>
      <c r="AD139" s="10">
        <f t="shared" si="65"/>
        <v>-0.32392922224719939</v>
      </c>
    </row>
    <row r="140" spans="1:30" x14ac:dyDescent="0.2">
      <c r="A140" s="1">
        <v>45839</v>
      </c>
      <c r="B140" s="18">
        <v>0.3017207391105331</v>
      </c>
      <c r="C140" s="19">
        <v>3.2500000000000001E-2</v>
      </c>
      <c r="D140" s="19">
        <v>0.31083333333333335</v>
      </c>
      <c r="E140" s="19">
        <v>0.3833333333333333</v>
      </c>
      <c r="F140" s="19">
        <v>0.45083333333333336</v>
      </c>
      <c r="G140" s="19">
        <f t="shared" si="66"/>
        <v>0.33734658333333334</v>
      </c>
      <c r="H140" s="19">
        <v>0.3135479471914171</v>
      </c>
      <c r="I140" s="19">
        <v>1.0479703933691575</v>
      </c>
      <c r="J140" s="23">
        <v>6296.4981818181832</v>
      </c>
      <c r="K140" s="24">
        <f t="shared" si="70"/>
        <v>4.420378535684466E-2</v>
      </c>
      <c r="L140" s="22">
        <f>L139*2/3+L142/3</f>
        <v>226.76999999999998</v>
      </c>
      <c r="M140" s="19">
        <f t="shared" si="56"/>
        <v>3.6015256965343495E-2</v>
      </c>
      <c r="N140" s="27">
        <v>0.36083333333333334</v>
      </c>
      <c r="O140" s="11">
        <v>2.3644571963769208</v>
      </c>
      <c r="P140" s="10">
        <f t="shared" si="57"/>
        <v>0.14000000000000001</v>
      </c>
      <c r="Q140" s="10">
        <f t="shared" si="58"/>
        <v>4.9999999999998934E-3</v>
      </c>
      <c r="R140" s="32">
        <v>0.35143333333333299</v>
      </c>
      <c r="S140" s="10">
        <f t="shared" si="59"/>
        <v>-9.4000000000003525E-3</v>
      </c>
      <c r="T140" s="32">
        <f t="shared" si="60"/>
        <v>9.1125942228002521E-3</v>
      </c>
      <c r="U140" s="10">
        <f t="shared" si="67"/>
        <v>6.6666666666667096E-3</v>
      </c>
      <c r="V140" s="10">
        <f t="shared" si="68"/>
        <v>3.3333333333332993E-3</v>
      </c>
      <c r="W140" s="10">
        <f t="shared" si="61"/>
        <v>-2.3798636141916241E-2</v>
      </c>
      <c r="X140" s="10">
        <f t="shared" si="62"/>
        <v>0.73442244617774044</v>
      </c>
      <c r="Y140" s="10">
        <f t="shared" si="63"/>
        <v>-1.0037666080123129</v>
      </c>
      <c r="Z140" s="10">
        <f t="shared" si="64"/>
        <v>0.27833333333333332</v>
      </c>
      <c r="AA140" s="10">
        <f t="shared" si="69"/>
        <v>9.1666666666666563E-3</v>
      </c>
      <c r="AB140" s="34">
        <v>16.72</v>
      </c>
      <c r="AC140" s="34">
        <v>2.0757020757020683</v>
      </c>
      <c r="AD140" s="10">
        <f t="shared" si="65"/>
        <v>-0.32481807636798987</v>
      </c>
    </row>
    <row r="141" spans="1:30" x14ac:dyDescent="0.2">
      <c r="A141" s="1">
        <v>45870</v>
      </c>
      <c r="B141" s="18">
        <v>0.30835861584801866</v>
      </c>
      <c r="C141" s="19">
        <v>4.9166666666666664E-2</v>
      </c>
      <c r="D141" s="19">
        <v>0.31916666666666665</v>
      </c>
      <c r="E141" s="19">
        <v>0.39749999999999996</v>
      </c>
      <c r="F141" s="19">
        <v>0.46833333333333332</v>
      </c>
      <c r="G141" s="19">
        <f t="shared" si="66"/>
        <v>0.34781316666666662</v>
      </c>
      <c r="H141" s="19">
        <v>-0.59783655552254622</v>
      </c>
      <c r="I141" s="19">
        <v>0.60931087439360931</v>
      </c>
      <c r="J141" s="23">
        <v>6408.9495238095224</v>
      </c>
      <c r="K141" s="24">
        <f t="shared" si="70"/>
        <v>1.7859346377015584E-2</v>
      </c>
      <c r="L141" s="22">
        <f>L139/3+L142*2/3</f>
        <v>231.01</v>
      </c>
      <c r="M141" s="19">
        <f t="shared" si="56"/>
        <v>3.6044908630000587E-2</v>
      </c>
      <c r="N141" s="27">
        <v>0.36083333333333334</v>
      </c>
      <c r="O141" s="11">
        <v>-3.7635693365227305E-2</v>
      </c>
      <c r="P141" s="10">
        <f t="shared" si="57"/>
        <v>0.14916666666666667</v>
      </c>
      <c r="Q141" s="10">
        <f t="shared" si="58"/>
        <v>7.4999999999999512E-3</v>
      </c>
      <c r="R141" s="32">
        <v>0.33476666666666699</v>
      </c>
      <c r="S141" s="10">
        <f t="shared" si="59"/>
        <v>-2.6066666666666349E-2</v>
      </c>
      <c r="T141" s="32">
        <f t="shared" si="60"/>
        <v>1.0808050818647996E-2</v>
      </c>
      <c r="U141" s="10">
        <f t="shared" si="67"/>
        <v>9.1666666666666563E-3</v>
      </c>
      <c r="V141" s="10">
        <f t="shared" si="68"/>
        <v>2.5000000000000577E-3</v>
      </c>
      <c r="W141" s="10">
        <f t="shared" si="61"/>
        <v>-0.94564972218921284</v>
      </c>
      <c r="X141" s="10">
        <f t="shared" si="62"/>
        <v>1.2071474299161555</v>
      </c>
      <c r="Y141" s="10">
        <f t="shared" si="63"/>
        <v>-0.59145152801659373</v>
      </c>
      <c r="Z141" s="10">
        <f t="shared" si="64"/>
        <v>0.27</v>
      </c>
      <c r="AA141" s="10">
        <f t="shared" si="69"/>
        <v>-8.3333333333333037E-3</v>
      </c>
      <c r="AB141" s="34">
        <v>15.36</v>
      </c>
      <c r="AC141" s="34">
        <v>-12.328767123287676</v>
      </c>
      <c r="AD141" s="10">
        <f t="shared" si="65"/>
        <v>-0.32478842470333275</v>
      </c>
    </row>
    <row r="142" spans="1:30" x14ac:dyDescent="0.2">
      <c r="A142" s="1">
        <v>45901</v>
      </c>
      <c r="B142" s="18">
        <v>0.31092320379418359</v>
      </c>
      <c r="C142" s="19">
        <v>5.2499999999999998E-2</v>
      </c>
      <c r="D142" s="19">
        <v>0.32416666666666666</v>
      </c>
      <c r="E142" s="19">
        <v>0.39666666666666667</v>
      </c>
      <c r="F142" s="19">
        <v>0.46166666666666667</v>
      </c>
      <c r="G142" s="19">
        <f t="shared" si="66"/>
        <v>0.35067991666666665</v>
      </c>
      <c r="H142" s="19">
        <v>1.0861495776478436</v>
      </c>
      <c r="I142" s="19">
        <v>0.77885232521909264</v>
      </c>
      <c r="J142" s="23">
        <v>6584.0180952380952</v>
      </c>
      <c r="K142" s="24">
        <f t="shared" si="70"/>
        <v>2.7316266227122687E-2</v>
      </c>
      <c r="L142" s="25">
        <v>235.25</v>
      </c>
      <c r="M142" s="19">
        <f t="shared" si="56"/>
        <v>3.5730460730377556E-2</v>
      </c>
      <c r="N142" s="27">
        <v>0.35166666666666663</v>
      </c>
      <c r="O142" s="11">
        <v>1.5120608050198472</v>
      </c>
      <c r="P142" s="10">
        <f t="shared" si="57"/>
        <v>0.13750000000000001</v>
      </c>
      <c r="Q142" s="10">
        <f t="shared" si="58"/>
        <v>7.5000000000000067E-3</v>
      </c>
      <c r="R142" s="32">
        <v>0.3306</v>
      </c>
      <c r="S142" s="10">
        <f t="shared" si="59"/>
        <v>-2.1066666666666622E-2</v>
      </c>
      <c r="T142" s="32">
        <f t="shared" si="60"/>
        <v>1.3243462872483069E-2</v>
      </c>
      <c r="U142" s="10">
        <f t="shared" si="67"/>
        <v>-1.1666666666666659E-2</v>
      </c>
      <c r="V142" s="10">
        <f t="shared" si="68"/>
        <v>5.5511151231257827E-17</v>
      </c>
      <c r="W142" s="10">
        <f t="shared" si="61"/>
        <v>0.73546966098117694</v>
      </c>
      <c r="X142" s="10">
        <f t="shared" si="62"/>
        <v>-0.30729725242875094</v>
      </c>
      <c r="Y142" s="10">
        <f t="shared" si="63"/>
        <v>-0.75153605899196996</v>
      </c>
      <c r="Z142" s="10">
        <f t="shared" si="64"/>
        <v>0.27166666666666667</v>
      </c>
      <c r="AA142" s="10">
        <f t="shared" si="69"/>
        <v>1.6666666666666496E-3</v>
      </c>
      <c r="AB142" s="34">
        <v>16.28</v>
      </c>
      <c r="AC142" s="34">
        <v>-0.42813455657492172</v>
      </c>
      <c r="AD142" s="10">
        <f t="shared" si="65"/>
        <v>-0.31593620593628907</v>
      </c>
    </row>
    <row r="143" spans="1:30" x14ac:dyDescent="0.2">
      <c r="A143" s="1">
        <v>45931</v>
      </c>
      <c r="B143" s="18">
        <v>0.29050100579675503</v>
      </c>
      <c r="C143" s="19">
        <v>5.4166666666666669E-2</v>
      </c>
      <c r="D143" s="19">
        <v>0.30583333333333335</v>
      </c>
      <c r="E143" s="19">
        <v>0.37333333333333335</v>
      </c>
      <c r="F143" s="19">
        <v>0.43416666666666665</v>
      </c>
      <c r="G143" s="19">
        <f t="shared" si="66"/>
        <v>0.33051808333333332</v>
      </c>
      <c r="H143" s="19">
        <v>2.0422103598111585</v>
      </c>
      <c r="I143" s="19">
        <v>0.5563803952541968</v>
      </c>
      <c r="J143" s="23">
        <v>6735.6917391304351</v>
      </c>
      <c r="K143" s="24">
        <f t="shared" si="70"/>
        <v>2.3036638371640938E-2</v>
      </c>
      <c r="L143" s="22">
        <f>L142*2/3+L145/3</f>
        <v>241.20333333333335</v>
      </c>
      <c r="M143" s="19">
        <f t="shared" si="56"/>
        <v>3.5809734571444658E-2</v>
      </c>
      <c r="N143" s="27">
        <v>0.34083333333333332</v>
      </c>
      <c r="O143" s="11">
        <v>2.6303236664701828</v>
      </c>
      <c r="P143" s="10">
        <f t="shared" si="57"/>
        <v>0.1283333333333333</v>
      </c>
      <c r="Q143" s="10">
        <f t="shared" si="58"/>
        <v>6.6666666666667096E-3</v>
      </c>
      <c r="R143" s="32">
        <v>0.330683333333333</v>
      </c>
      <c r="S143" s="10">
        <f t="shared" si="59"/>
        <v>-1.0150000000000325E-2</v>
      </c>
      <c r="T143" s="32">
        <f t="shared" si="60"/>
        <v>1.5332327536578316E-2</v>
      </c>
      <c r="U143" s="10">
        <f t="shared" si="67"/>
        <v>-9.1666666666667118E-3</v>
      </c>
      <c r="V143" s="10">
        <f t="shared" si="68"/>
        <v>-8.3333333333329707E-4</v>
      </c>
      <c r="W143" s="10">
        <f t="shared" si="61"/>
        <v>1.7116922764778253</v>
      </c>
      <c r="X143" s="10">
        <f t="shared" si="62"/>
        <v>-1.4858299645569617</v>
      </c>
      <c r="Y143" s="10">
        <f t="shared" si="63"/>
        <v>-0.53334375688255586</v>
      </c>
      <c r="Z143" s="10">
        <f t="shared" si="64"/>
        <v>0.25166666666666671</v>
      </c>
      <c r="AA143" s="10">
        <f t="shared" si="69"/>
        <v>-1.9999999999999962E-2</v>
      </c>
      <c r="AB143" s="34">
        <v>17.440000000000001</v>
      </c>
      <c r="AC143" s="34">
        <v>6.536346976175933</v>
      </c>
      <c r="AD143" s="10">
        <f t="shared" si="65"/>
        <v>-0.30502359876188867</v>
      </c>
    </row>
    <row r="144" spans="1:30" x14ac:dyDescent="0.2">
      <c r="A144" s="1">
        <v>45962</v>
      </c>
      <c r="B144" s="18">
        <v>0.29068670331305074</v>
      </c>
      <c r="C144" s="19">
        <v>4.6666666666666669E-2</v>
      </c>
      <c r="D144" s="19">
        <v>0.30583333333333335</v>
      </c>
      <c r="E144" s="19">
        <v>0.3775</v>
      </c>
      <c r="F144" s="19">
        <v>0.43583333333333335</v>
      </c>
      <c r="G144" s="19">
        <f t="shared" si="66"/>
        <v>0.33204183333333337</v>
      </c>
      <c r="H144" s="19">
        <v>6.8418210573617522E-2</v>
      </c>
      <c r="I144" s="19">
        <v>4.9831664423849453E-2</v>
      </c>
      <c r="J144" s="23">
        <v>6740.8857894736839</v>
      </c>
      <c r="K144" s="24">
        <f t="shared" si="70"/>
        <v>7.7112352292996178E-4</v>
      </c>
      <c r="L144" s="22">
        <f>L142/3+L145*2/3</f>
        <v>247.15666666666669</v>
      </c>
      <c r="M144" s="19">
        <f t="shared" si="56"/>
        <v>3.6665309928943957E-2</v>
      </c>
      <c r="N144" s="27">
        <v>0.32333333333333331</v>
      </c>
      <c r="O144" s="11">
        <v>6.4450144874432388E-2</v>
      </c>
      <c r="P144" s="10">
        <f t="shared" si="57"/>
        <v>0.13</v>
      </c>
      <c r="Q144" s="10">
        <f t="shared" si="58"/>
        <v>1.3333333333333308E-2</v>
      </c>
      <c r="R144" s="32">
        <v>0.33077499999999999</v>
      </c>
      <c r="S144" s="10">
        <f t="shared" si="59"/>
        <v>7.4416666666666798E-3</v>
      </c>
      <c r="T144" s="32">
        <f t="shared" si="60"/>
        <v>1.5146630020282603E-2</v>
      </c>
      <c r="U144" s="10">
        <f t="shared" si="67"/>
        <v>1.6666666666667052E-3</v>
      </c>
      <c r="V144" s="10">
        <f t="shared" si="68"/>
        <v>6.6666666666665986E-3</v>
      </c>
      <c r="W144" s="10">
        <f t="shared" si="61"/>
        <v>-0.26362362275971585</v>
      </c>
      <c r="X144" s="10">
        <f t="shared" si="62"/>
        <v>-1.8586546149768068E-2</v>
      </c>
      <c r="Y144" s="10">
        <f t="shared" si="63"/>
        <v>-4.9060540900919491E-2</v>
      </c>
      <c r="Z144" s="10">
        <f t="shared" si="64"/>
        <v>0.25916666666666666</v>
      </c>
      <c r="AA144" s="10">
        <f t="shared" si="69"/>
        <v>7.4999999999999512E-3</v>
      </c>
      <c r="AB144" s="34">
        <v>16.350000000000001</v>
      </c>
      <c r="AC144" s="34">
        <v>-6.25</v>
      </c>
      <c r="AD144" s="10">
        <f t="shared" si="65"/>
        <v>-0.28666802340438935</v>
      </c>
    </row>
    <row r="145" spans="1:30" ht="17" thickBot="1" x14ac:dyDescent="0.25">
      <c r="A145" s="1">
        <v>45992</v>
      </c>
      <c r="B145" s="19">
        <v>0.2914524606705714</v>
      </c>
      <c r="C145" s="19">
        <v>5.9166666666666666E-2</v>
      </c>
      <c r="D145" s="19">
        <v>0.30916666666666665</v>
      </c>
      <c r="E145" s="19">
        <v>0.38083333333333336</v>
      </c>
      <c r="F145" s="19">
        <v>0.4366666666666667</v>
      </c>
      <c r="G145" s="19">
        <f t="shared" si="66"/>
        <v>0.33537516666666667</v>
      </c>
      <c r="H145" s="19">
        <v>0.56315073726525</v>
      </c>
      <c r="I145" s="21">
        <v>0.60872698848181139</v>
      </c>
      <c r="J145" s="23">
        <v>6853.0254545454527</v>
      </c>
      <c r="K145" s="24">
        <f t="shared" si="70"/>
        <v>1.6635746187375178E-2</v>
      </c>
      <c r="L145" s="22">
        <v>253.11</v>
      </c>
      <c r="M145" s="19">
        <f t="shared" si="56"/>
        <v>3.6934052219537286E-2</v>
      </c>
      <c r="N145" s="28">
        <v>0.31</v>
      </c>
      <c r="O145" s="11">
        <v>0.64991632276644051</v>
      </c>
      <c r="P145" s="10">
        <f t="shared" si="57"/>
        <v>0.12750000000000006</v>
      </c>
      <c r="Q145" s="10">
        <f t="shared" si="58"/>
        <v>1.5833333333333366E-2</v>
      </c>
      <c r="R145" s="33">
        <v>0.32324166666666698</v>
      </c>
      <c r="S145" s="10">
        <f t="shared" si="59"/>
        <v>1.3241666666666985E-2</v>
      </c>
      <c r="T145" s="32">
        <f t="shared" si="60"/>
        <v>1.7714205996095245E-2</v>
      </c>
      <c r="U145" s="10">
        <f t="shared" si="67"/>
        <v>-2.4999999999999467E-3</v>
      </c>
      <c r="V145" s="10">
        <f t="shared" si="68"/>
        <v>2.5000000000000577E-3</v>
      </c>
      <c r="W145" s="10">
        <f t="shared" si="61"/>
        <v>0.22777557059858333</v>
      </c>
      <c r="X145" s="10">
        <f t="shared" si="62"/>
        <v>4.5576251216561392E-2</v>
      </c>
      <c r="Y145" s="10">
        <f t="shared" si="63"/>
        <v>-0.59209124229443622</v>
      </c>
      <c r="Z145" s="10">
        <f t="shared" si="64"/>
        <v>0.24999999999999997</v>
      </c>
      <c r="AA145" s="10">
        <f t="shared" si="69"/>
        <v>-9.1666666666666841E-3</v>
      </c>
      <c r="AB145" s="34">
        <v>14.95</v>
      </c>
      <c r="AC145" s="34">
        <v>-7.0273631840795936</v>
      </c>
      <c r="AD145" s="10">
        <f t="shared" si="65"/>
        <v>-0.27306594778046273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6280B-4E29-824E-9F6B-B7ECD36B5B49}">
  <dimension ref="A1:Q145"/>
  <sheetViews>
    <sheetView workbookViewId="0">
      <selection activeCell="R10" sqref="R10"/>
    </sheetView>
  </sheetViews>
  <sheetFormatPr baseColWidth="10" defaultRowHeight="16" x14ac:dyDescent="0.2"/>
  <cols>
    <col min="1" max="1" width="7.33203125" style="9" bestFit="1" customWidth="1"/>
    <col min="2" max="2" width="12.83203125" bestFit="1" customWidth="1"/>
    <col min="3" max="3" width="12.1640625" bestFit="1" customWidth="1"/>
    <col min="4" max="4" width="18.33203125" bestFit="1" customWidth="1"/>
    <col min="5" max="7" width="12.83203125" bestFit="1" customWidth="1"/>
    <col min="8" max="8" width="15.83203125" customWidth="1"/>
    <col min="9" max="9" width="12.83203125" bestFit="1" customWidth="1"/>
    <col min="10" max="10" width="13.1640625" bestFit="1" customWidth="1"/>
    <col min="11" max="11" width="12.83203125" bestFit="1" customWidth="1"/>
    <col min="12" max="12" width="10.33203125" customWidth="1"/>
    <col min="13" max="13" width="14.83203125" customWidth="1"/>
    <col min="14" max="14" width="18.33203125" customWidth="1"/>
    <col min="15" max="15" width="12.6640625" bestFit="1" customWidth="1"/>
    <col min="16" max="16" width="6.83203125" customWidth="1"/>
    <col min="17" max="17" width="10.83203125" bestFit="1" customWidth="1"/>
  </cols>
  <sheetData>
    <row r="1" spans="1:17" ht="34" x14ac:dyDescent="0.2">
      <c r="A1" s="7" t="s">
        <v>64</v>
      </c>
      <c r="B1" s="8" t="s">
        <v>65</v>
      </c>
      <c r="C1" s="5" t="s">
        <v>71</v>
      </c>
      <c r="D1" s="6" t="s">
        <v>78</v>
      </c>
      <c r="E1" s="6" t="s">
        <v>66</v>
      </c>
      <c r="F1" s="6" t="s">
        <v>69</v>
      </c>
      <c r="G1" s="6" t="s">
        <v>67</v>
      </c>
      <c r="H1" s="6" t="s">
        <v>70</v>
      </c>
      <c r="I1" s="5" t="s">
        <v>68</v>
      </c>
      <c r="J1" s="6" t="s">
        <v>72</v>
      </c>
      <c r="K1" s="6" t="s">
        <v>73</v>
      </c>
      <c r="L1" s="6" t="s">
        <v>77</v>
      </c>
      <c r="M1" s="6" t="s">
        <v>74</v>
      </c>
      <c r="N1" s="6" t="s">
        <v>79</v>
      </c>
      <c r="O1" s="6" t="s">
        <v>76</v>
      </c>
      <c r="P1" s="6" t="s">
        <v>56</v>
      </c>
      <c r="Q1" s="6" t="s">
        <v>75</v>
      </c>
    </row>
    <row r="2" spans="1:17" x14ac:dyDescent="0.2">
      <c r="A2" s="9" cm="1">
        <f t="array" ref="A2:A145">Data!A2:A145</f>
        <v>41426</v>
      </c>
      <c r="B2" cm="1">
        <f t="array" ref="B2:B145">Data!O2:O145</f>
        <v>-3.1231512210139143</v>
      </c>
      <c r="C2" cm="1">
        <f t="array" ref="C2:C145">Data!R2:R145</f>
        <v>3.5433333333333303E-2</v>
      </c>
      <c r="D2" cm="1">
        <f t="array" ref="D2:D145">Data!S2:S145</f>
        <v>2.7933333333333303E-2</v>
      </c>
      <c r="E2" cm="1">
        <f t="array" ref="E2:E145">Data!P2:P145</f>
        <v>0.23333333333333331</v>
      </c>
      <c r="F2" cm="1">
        <f t="array" ref="F2:F145">Data!U2:U145</f>
        <v>-7.4009324009324047E-4</v>
      </c>
      <c r="G2" cm="1">
        <f t="array" ref="G2:G145">Data!Q2:Q145</f>
        <v>8.1666666666666748E-2</v>
      </c>
      <c r="H2" cm="1">
        <f t="array" ref="H2:H145">Data!V2:V145</f>
        <v>-4.6037296037296016E-4</v>
      </c>
      <c r="I2" cm="1">
        <f t="array" ref="I2:I145">Data!T2:T145</f>
        <v>8.2496246088558448E-3</v>
      </c>
      <c r="J2" cm="1">
        <f t="array" ref="J2:J145">Data!W2:W145</f>
        <v>-5.1387194346069833</v>
      </c>
      <c r="K2" cm="1">
        <f t="array" ref="K2:K145">Data!X2:X145</f>
        <v>5.9420041295174091</v>
      </c>
      <c r="L2" cm="1">
        <f t="array" ref="L2:L145">Data!Z2:Z145</f>
        <v>0.19749999999999998</v>
      </c>
      <c r="M2" cm="1">
        <f t="array" ref="M2:M145">Data!AA2:AA145</f>
        <v>3.671328671328667E-4</v>
      </c>
      <c r="N2" cm="1">
        <f t="array" ref="N2:N145">Data!Y2:Y145</f>
        <v>-0.91096437562072896</v>
      </c>
      <c r="O2" cm="1">
        <f t="array" ref="O2:O145">Data!AD2:AD145</f>
        <v>4.868463401224387E-2</v>
      </c>
      <c r="P2" cm="1">
        <f t="array" ref="P2:P145">Data!AB2:AB145</f>
        <v>16.86</v>
      </c>
      <c r="Q2" cm="1">
        <f t="array" ref="Q2:Q145">Data!AC2:AC145</f>
        <v>3.5626535626535505</v>
      </c>
    </row>
    <row r="3" spans="1:17" x14ac:dyDescent="0.2">
      <c r="A3" s="9">
        <v>41456</v>
      </c>
      <c r="B3">
        <v>3.4388141552305238</v>
      </c>
      <c r="C3">
        <v>3.5841666666666702E-2</v>
      </c>
      <c r="D3">
        <v>2.8341666666666702E-2</v>
      </c>
      <c r="E3">
        <v>0.245</v>
      </c>
      <c r="F3">
        <v>1.1666666666666686E-2</v>
      </c>
      <c r="G3">
        <v>8.1666666666666721E-2</v>
      </c>
      <c r="H3">
        <v>0</v>
      </c>
      <c r="I3">
        <v>5.1715084078758633E-3</v>
      </c>
      <c r="J3">
        <v>2.3484491421995508</v>
      </c>
      <c r="K3">
        <v>-2.9334478170628397E-2</v>
      </c>
      <c r="L3">
        <v>0.21749999999999997</v>
      </c>
      <c r="M3">
        <v>1.999999999999999E-2</v>
      </c>
      <c r="N3">
        <v>-2.3980136125330338</v>
      </c>
      <c r="O3">
        <v>4.7687333700889324E-2</v>
      </c>
      <c r="P3">
        <v>13.45</v>
      </c>
      <c r="Q3">
        <v>-16.975308641975307</v>
      </c>
    </row>
    <row r="4" spans="1:17" x14ac:dyDescent="0.2">
      <c r="A4" s="9">
        <v>41487</v>
      </c>
      <c r="B4">
        <v>-1.8423176925388944</v>
      </c>
      <c r="C4">
        <v>3.55833333333333E-2</v>
      </c>
      <c r="D4">
        <v>2.8916666666666632E-2</v>
      </c>
      <c r="E4">
        <v>0.23416666666666669</v>
      </c>
      <c r="F4">
        <v>-1.0833333333333306E-2</v>
      </c>
      <c r="G4">
        <v>9.9166666666666667E-2</v>
      </c>
      <c r="H4">
        <v>1.7499999999999946E-2</v>
      </c>
      <c r="I4">
        <v>4.8092385769792911E-3</v>
      </c>
      <c r="J4">
        <v>-0.92319478819390199</v>
      </c>
      <c r="K4">
        <v>4.3920350087911508E-2</v>
      </c>
      <c r="L4">
        <v>0.22749999999999998</v>
      </c>
      <c r="M4">
        <v>1.0000000000000009E-2</v>
      </c>
      <c r="N4">
        <v>0.75000275070437161</v>
      </c>
      <c r="O4">
        <v>4.9156672195310835E-2</v>
      </c>
      <c r="P4">
        <v>17.010000000000002</v>
      </c>
      <c r="Q4">
        <v>43.665540540540547</v>
      </c>
    </row>
    <row r="5" spans="1:17" x14ac:dyDescent="0.2">
      <c r="A5" s="9">
        <v>41518</v>
      </c>
      <c r="B5">
        <v>0.76476526172699799</v>
      </c>
      <c r="C5">
        <v>3.5825000000000003E-2</v>
      </c>
      <c r="D5">
        <v>2.9158333333333335E-2</v>
      </c>
      <c r="E5">
        <v>0.22333333333333333</v>
      </c>
      <c r="F5">
        <v>-1.0833333333333361E-2</v>
      </c>
      <c r="G5">
        <v>9.333333333333331E-2</v>
      </c>
      <c r="H5">
        <v>-5.833333333333357E-3</v>
      </c>
      <c r="I5">
        <v>3.8193556552330032E-3</v>
      </c>
      <c r="J5">
        <v>0.82434767702086331</v>
      </c>
      <c r="K5">
        <v>0.29321829923255605</v>
      </c>
      <c r="L5">
        <v>0.22833333333333333</v>
      </c>
      <c r="M5">
        <v>8.3333333333335258E-4</v>
      </c>
      <c r="N5">
        <v>-1.2369081491652585</v>
      </c>
      <c r="O5">
        <v>4.9267234481409697E-2</v>
      </c>
      <c r="P5">
        <v>16.600000000000001</v>
      </c>
      <c r="Q5">
        <v>-6.0204695966270538E-2</v>
      </c>
    </row>
    <row r="6" spans="1:17" x14ac:dyDescent="0.2">
      <c r="A6" s="9">
        <v>41548</v>
      </c>
      <c r="B6">
        <v>2.8438546235537174</v>
      </c>
      <c r="C6">
        <v>3.5941666666666698E-2</v>
      </c>
      <c r="D6">
        <v>2.8441666666666698E-2</v>
      </c>
      <c r="E6">
        <v>0.22166666666666668</v>
      </c>
      <c r="F6">
        <v>-1.6666666666666496E-3</v>
      </c>
      <c r="G6">
        <v>9.0000000000000011E-2</v>
      </c>
      <c r="H6">
        <v>-3.3333333333332993E-3</v>
      </c>
      <c r="I6">
        <v>4.9288539837933909E-3</v>
      </c>
      <c r="J6">
        <v>2.0252115715454142</v>
      </c>
      <c r="K6">
        <v>0.3441193728648706</v>
      </c>
      <c r="L6">
        <v>0.23583333333333334</v>
      </c>
      <c r="M6">
        <v>7.5000000000000067E-3</v>
      </c>
      <c r="N6">
        <v>-2.4760094597658804</v>
      </c>
      <c r="O6">
        <v>4.8495147371460573E-2</v>
      </c>
      <c r="P6">
        <v>13.75</v>
      </c>
      <c r="Q6">
        <v>-17.861409796893657</v>
      </c>
    </row>
    <row r="7" spans="1:17" x14ac:dyDescent="0.2">
      <c r="A7" s="9">
        <v>41579</v>
      </c>
      <c r="B7">
        <v>-0.40587403799491967</v>
      </c>
      <c r="C7">
        <v>3.58333333333333E-2</v>
      </c>
      <c r="D7">
        <v>2.9166666666666632E-2</v>
      </c>
      <c r="E7">
        <v>0.22916666666666663</v>
      </c>
      <c r="F7">
        <v>7.4999999999999512E-3</v>
      </c>
      <c r="G7">
        <v>0.10083333333333334</v>
      </c>
      <c r="H7">
        <v>1.0833333333333334E-2</v>
      </c>
      <c r="I7">
        <v>7.7616229533288422E-3</v>
      </c>
      <c r="J7">
        <v>-1.4083021680096535</v>
      </c>
      <c r="K7">
        <v>1.3116081856512141</v>
      </c>
      <c r="L7">
        <v>0.22833333333333333</v>
      </c>
      <c r="M7">
        <v>-7.5000000000000067E-3</v>
      </c>
      <c r="N7">
        <v>-1.7227430562336554E-3</v>
      </c>
      <c r="O7">
        <v>4.8424145239243301E-2</v>
      </c>
      <c r="P7">
        <v>13.7</v>
      </c>
      <c r="Q7">
        <v>3.1626506024096335</v>
      </c>
    </row>
    <row r="8" spans="1:17" x14ac:dyDescent="0.2">
      <c r="A8" s="9">
        <v>41609</v>
      </c>
      <c r="B8">
        <v>0.39463790345239053</v>
      </c>
      <c r="C8">
        <v>3.5125000000000003E-2</v>
      </c>
      <c r="D8">
        <v>2.7625000000000004E-2</v>
      </c>
      <c r="E8">
        <v>0.21250000000000002</v>
      </c>
      <c r="F8">
        <v>-1.6666666666666607E-2</v>
      </c>
      <c r="G8">
        <v>0.11750000000000005</v>
      </c>
      <c r="H8">
        <v>1.6666666666666705E-2</v>
      </c>
      <c r="I8">
        <v>3.7650093550271602E-3</v>
      </c>
      <c r="J8">
        <v>-0.89531690384682072</v>
      </c>
      <c r="K8">
        <v>1.477548835334086</v>
      </c>
      <c r="L8">
        <v>0.24</v>
      </c>
      <c r="M8">
        <v>1.1666666666666659E-2</v>
      </c>
      <c r="N8">
        <v>-0.72731481648190144</v>
      </c>
      <c r="O8">
        <v>4.7927098430118713E-2</v>
      </c>
      <c r="P8">
        <v>13.72</v>
      </c>
      <c r="Q8">
        <v>-5.704467353951892</v>
      </c>
    </row>
    <row r="9" spans="1:17" x14ac:dyDescent="0.2">
      <c r="A9" s="9">
        <v>41640</v>
      </c>
      <c r="B9">
        <v>-0.84486748191592764</v>
      </c>
      <c r="C9">
        <v>3.5725E-2</v>
      </c>
      <c r="D9">
        <v>2.9891666666666667E-2</v>
      </c>
      <c r="E9">
        <v>0.20833333333333331</v>
      </c>
      <c r="F9">
        <v>-4.1666666666667074E-3</v>
      </c>
      <c r="G9">
        <v>8.8333333333333333E-2</v>
      </c>
      <c r="H9">
        <v>-2.9166666666666716E-2</v>
      </c>
      <c r="I9">
        <v>1.7781224760151926E-3</v>
      </c>
      <c r="J9">
        <v>2.0846292055168538</v>
      </c>
      <c r="K9">
        <v>-1.6981930488104924</v>
      </c>
      <c r="L9">
        <v>0.22416666666666668</v>
      </c>
      <c r="M9">
        <v>-1.583333333333331E-2</v>
      </c>
      <c r="N9">
        <v>-0.52011651603658948</v>
      </c>
      <c r="O9">
        <v>4.9269207694052394E-2</v>
      </c>
      <c r="P9">
        <v>18.41</v>
      </c>
      <c r="Q9">
        <v>33.793604651162788</v>
      </c>
    </row>
    <row r="10" spans="1:17" x14ac:dyDescent="0.2">
      <c r="A10" s="9">
        <v>41671</v>
      </c>
      <c r="B10">
        <v>2.1320616401803507</v>
      </c>
      <c r="C10">
        <v>3.4974999999999999E-2</v>
      </c>
      <c r="D10">
        <v>2.9141666666666666E-2</v>
      </c>
      <c r="E10">
        <v>0.20666666666666667</v>
      </c>
      <c r="F10">
        <v>-1.6666666666666496E-3</v>
      </c>
      <c r="G10">
        <v>9.1666666666666619E-2</v>
      </c>
      <c r="H10">
        <v>3.3333333333332854E-3</v>
      </c>
      <c r="I10">
        <v>-1.6277217744231631E-4</v>
      </c>
      <c r="J10">
        <v>0.18815829103602541</v>
      </c>
      <c r="K10">
        <v>1.5916813871119762</v>
      </c>
      <c r="L10">
        <v>0.23333333333333334</v>
      </c>
      <c r="M10">
        <v>9.1666666666666563E-3</v>
      </c>
      <c r="N10">
        <v>-1.9264758862828741</v>
      </c>
      <c r="O10">
        <v>4.9549780595547328E-2</v>
      </c>
      <c r="P10">
        <v>14</v>
      </c>
      <c r="Q10">
        <v>-23.954372623574148</v>
      </c>
    </row>
    <row r="11" spans="1:17" x14ac:dyDescent="0.2">
      <c r="A11" s="9">
        <v>41699</v>
      </c>
      <c r="B11">
        <v>-0.42414010254649709</v>
      </c>
      <c r="C11">
        <v>3.4658333333333298E-2</v>
      </c>
      <c r="D11">
        <v>2.799166666666663E-2</v>
      </c>
      <c r="E11">
        <v>0.19666666666666666</v>
      </c>
      <c r="F11">
        <v>-1.0000000000000009E-2</v>
      </c>
      <c r="G11">
        <v>8.3333333333333329E-2</v>
      </c>
      <c r="H11">
        <v>-8.3333333333332898E-3</v>
      </c>
      <c r="I11">
        <v>9.5266583767456003E-4</v>
      </c>
      <c r="J11">
        <v>-0.30403984882426438</v>
      </c>
      <c r="K11">
        <v>0.17233653878685473</v>
      </c>
      <c r="L11">
        <v>0.23749999999999999</v>
      </c>
      <c r="M11">
        <v>4.1666666666666519E-3</v>
      </c>
      <c r="N11">
        <v>6.9187076511110224E-3</v>
      </c>
      <c r="O11">
        <v>4.7451346555622331E-2</v>
      </c>
      <c r="P11">
        <v>13.88</v>
      </c>
      <c r="Q11">
        <v>-1.5602836879432536</v>
      </c>
    </row>
    <row r="12" spans="1:17" x14ac:dyDescent="0.2">
      <c r="A12" s="9">
        <v>41730</v>
      </c>
      <c r="B12">
        <v>0.74520035393408268</v>
      </c>
      <c r="C12">
        <v>3.51666666666667E-2</v>
      </c>
      <c r="D12">
        <v>2.76666666666667E-2</v>
      </c>
      <c r="E12">
        <v>0.19166666666666671</v>
      </c>
      <c r="F12">
        <v>-4.9999999999999489E-3</v>
      </c>
      <c r="G12">
        <v>7.6666666666666647E-2</v>
      </c>
      <c r="H12">
        <v>-6.6666666666666818E-3</v>
      </c>
      <c r="I12">
        <v>-5.3543916145674941E-4</v>
      </c>
      <c r="J12">
        <v>1.2224064307019109</v>
      </c>
      <c r="K12">
        <v>-0.72031035034731961</v>
      </c>
      <c r="L12">
        <v>0.245</v>
      </c>
      <c r="M12">
        <v>7.5000000000000067E-3</v>
      </c>
      <c r="N12">
        <v>-0.65076373238944996</v>
      </c>
      <c r="O12">
        <v>4.7002412038378051E-2</v>
      </c>
      <c r="P12">
        <v>13.41</v>
      </c>
      <c r="Q12">
        <v>2.4446142093200951</v>
      </c>
    </row>
    <row r="13" spans="1:17" x14ac:dyDescent="0.2">
      <c r="A13" s="9">
        <v>41760</v>
      </c>
      <c r="B13">
        <v>1.3893836371301047</v>
      </c>
      <c r="C13">
        <v>3.5275000000000001E-2</v>
      </c>
      <c r="D13">
        <v>2.7775000000000001E-2</v>
      </c>
      <c r="E13">
        <v>0.18583333333333335</v>
      </c>
      <c r="F13">
        <v>-5.833333333333357E-3</v>
      </c>
      <c r="G13">
        <v>6.7500000000000004E-2</v>
      </c>
      <c r="H13">
        <v>-9.1666666666666424E-3</v>
      </c>
      <c r="I13">
        <v>-2.0155552411265654E-3</v>
      </c>
      <c r="J13">
        <v>1.1188106566869516</v>
      </c>
      <c r="K13">
        <v>-0.73488673081305578</v>
      </c>
      <c r="L13">
        <v>0.23333333333333334</v>
      </c>
      <c r="M13">
        <v>-1.1666666666666659E-2</v>
      </c>
      <c r="N13">
        <v>-0.51489554556213668</v>
      </c>
      <c r="O13">
        <v>4.666708558889883E-2</v>
      </c>
      <c r="P13">
        <v>11.4</v>
      </c>
      <c r="Q13">
        <v>-11.696359411309064</v>
      </c>
    </row>
    <row r="14" spans="1:17" x14ac:dyDescent="0.2">
      <c r="A14" s="9">
        <v>41791</v>
      </c>
      <c r="B14">
        <v>-0.15960421366991845</v>
      </c>
      <c r="C14">
        <v>3.5424999999999998E-2</v>
      </c>
      <c r="D14">
        <v>2.7091666666666667E-2</v>
      </c>
      <c r="E14">
        <v>0.16916666666666669</v>
      </c>
      <c r="F14">
        <v>-1.6666666666666663E-2</v>
      </c>
      <c r="G14">
        <v>6.2499999999999958E-2</v>
      </c>
      <c r="H14">
        <v>-5.0000000000000461E-3</v>
      </c>
      <c r="I14">
        <v>-2.1056525158506534E-3</v>
      </c>
      <c r="J14">
        <v>-0.39386738542473537</v>
      </c>
      <c r="K14">
        <v>1.1129798876345465</v>
      </c>
      <c r="L14">
        <v>0.23333333333333334</v>
      </c>
      <c r="M14">
        <v>0</v>
      </c>
      <c r="N14">
        <v>-0.84947435205176713</v>
      </c>
      <c r="O14">
        <v>4.462775218402848E-2</v>
      </c>
      <c r="P14">
        <v>11.57</v>
      </c>
      <c r="Q14">
        <v>-2.5273799494523908</v>
      </c>
    </row>
    <row r="15" spans="1:17" x14ac:dyDescent="0.2">
      <c r="A15" s="9">
        <v>41821</v>
      </c>
      <c r="B15">
        <v>2.1744398396726858E-3</v>
      </c>
      <c r="C15">
        <v>3.5691666666666698E-2</v>
      </c>
      <c r="D15">
        <v>2.8191666666666698E-2</v>
      </c>
      <c r="E15">
        <v>0.15750000000000003</v>
      </c>
      <c r="F15">
        <v>-1.1666666666666659E-2</v>
      </c>
      <c r="G15">
        <v>6.4166666666666636E-2</v>
      </c>
      <c r="H15">
        <v>1.6666666666666774E-3</v>
      </c>
      <c r="I15">
        <v>-2.2155666201154611E-3</v>
      </c>
      <c r="J15">
        <v>0.23199314515441699</v>
      </c>
      <c r="K15">
        <v>-1.7060652218341299</v>
      </c>
      <c r="L15">
        <v>0.23249999999999998</v>
      </c>
      <c r="M15">
        <v>-8.3333333333335258E-4</v>
      </c>
      <c r="N15">
        <v>1.3277320563891768</v>
      </c>
      <c r="O15">
        <v>4.5242722957106414E-2</v>
      </c>
      <c r="P15">
        <v>16.95</v>
      </c>
      <c r="Q15">
        <v>64.244186046511615</v>
      </c>
    </row>
    <row r="16" spans="1:17" x14ac:dyDescent="0.2">
      <c r="A16" s="9">
        <v>41852</v>
      </c>
      <c r="B16">
        <v>2.1528110708148573</v>
      </c>
      <c r="C16">
        <v>3.5233333333333297E-2</v>
      </c>
      <c r="D16">
        <v>2.7733333333333297E-2</v>
      </c>
      <c r="E16">
        <v>0.14583333333333337</v>
      </c>
      <c r="F16">
        <v>-1.1666666666666659E-2</v>
      </c>
      <c r="G16">
        <v>4.9166666666666678E-2</v>
      </c>
      <c r="H16">
        <v>-1.4999999999999958E-2</v>
      </c>
      <c r="I16">
        <v>-2.4910871148541569E-3</v>
      </c>
      <c r="J16">
        <v>3.0510319131719719</v>
      </c>
      <c r="K16">
        <v>-1.8319205333827138</v>
      </c>
      <c r="L16">
        <v>0.23666666666666669</v>
      </c>
      <c r="M16">
        <v>4.1666666666667074E-3</v>
      </c>
      <c r="N16">
        <v>-1.3622976654944936</v>
      </c>
      <c r="O16">
        <v>4.6036440091833081E-2</v>
      </c>
      <c r="P16">
        <v>11.98</v>
      </c>
      <c r="Q16">
        <v>-20.767195767195755</v>
      </c>
    </row>
    <row r="17" spans="1:17" x14ac:dyDescent="0.2">
      <c r="A17" s="9">
        <v>41883</v>
      </c>
      <c r="B17">
        <v>-0.63321922178810008</v>
      </c>
      <c r="C17">
        <v>3.59916666666667E-2</v>
      </c>
      <c r="D17">
        <v>2.84916666666667E-2</v>
      </c>
      <c r="E17">
        <v>0.14916666666666667</v>
      </c>
      <c r="F17">
        <v>3.3333333333332993E-3</v>
      </c>
      <c r="G17">
        <v>5.0833333333333341E-2</v>
      </c>
      <c r="H17">
        <v>1.6666666666666635E-3</v>
      </c>
      <c r="I17">
        <v>-2.6140145737335446E-3</v>
      </c>
      <c r="J17">
        <v>-0.57569475557887417</v>
      </c>
      <c r="K17">
        <v>-1.2696539933117035</v>
      </c>
      <c r="L17">
        <v>0.22249999999999998</v>
      </c>
      <c r="M17">
        <v>-1.4166666666666716E-2</v>
      </c>
      <c r="N17">
        <v>1.7191062695844579</v>
      </c>
      <c r="O17">
        <v>4.565994641862705E-2</v>
      </c>
      <c r="P17">
        <v>16.309999999999999</v>
      </c>
      <c r="Q17">
        <v>31.957928802588988</v>
      </c>
    </row>
    <row r="18" spans="1:17" x14ac:dyDescent="0.2">
      <c r="A18" s="9">
        <v>41913</v>
      </c>
      <c r="B18">
        <v>0.54311279831289316</v>
      </c>
      <c r="C18">
        <v>3.5900000000000001E-2</v>
      </c>
      <c r="D18">
        <v>2.8400000000000002E-2</v>
      </c>
      <c r="E18">
        <v>0.15999999999999998</v>
      </c>
      <c r="F18">
        <v>1.0833333333333306E-2</v>
      </c>
      <c r="G18">
        <v>4.8333333333333353E-2</v>
      </c>
      <c r="H18">
        <v>-2.4999999999999883E-3</v>
      </c>
      <c r="I18">
        <v>-2.7274931432175464E-3</v>
      </c>
      <c r="J18">
        <v>0.34508593485068878</v>
      </c>
      <c r="K18">
        <v>1.1410492226605284</v>
      </c>
      <c r="L18">
        <v>0.20416666666666666</v>
      </c>
      <c r="M18">
        <v>-1.8333333333333313E-2</v>
      </c>
      <c r="N18">
        <v>-1.640637274834607</v>
      </c>
      <c r="O18">
        <v>4.656749360354176E-2</v>
      </c>
      <c r="P18">
        <v>14.03</v>
      </c>
      <c r="Q18">
        <v>-9.2496765847348108</v>
      </c>
    </row>
    <row r="19" spans="1:17" x14ac:dyDescent="0.2">
      <c r="A19" s="9">
        <v>41944</v>
      </c>
      <c r="B19">
        <v>2.6535892327475388</v>
      </c>
      <c r="C19">
        <v>3.6041666666666701E-2</v>
      </c>
      <c r="D19">
        <v>2.8541666666666701E-2</v>
      </c>
      <c r="E19">
        <v>0.15083333333333335</v>
      </c>
      <c r="F19">
        <v>-9.1666666666666285E-3</v>
      </c>
      <c r="G19">
        <v>3.9166666666666655E-2</v>
      </c>
      <c r="H19">
        <v>-9.1666666666666979E-3</v>
      </c>
      <c r="I19">
        <v>-1.756859973143135E-3</v>
      </c>
      <c r="J19">
        <v>2.4668637873530348</v>
      </c>
      <c r="K19">
        <v>-3.0230419307813117</v>
      </c>
      <c r="L19">
        <v>0.19833333333333333</v>
      </c>
      <c r="M19">
        <v>-5.8333333333333293E-3</v>
      </c>
      <c r="N19">
        <v>0.5059905302552723</v>
      </c>
      <c r="O19">
        <v>4.3134933832867879E-2</v>
      </c>
      <c r="P19">
        <v>13.33</v>
      </c>
      <c r="Q19">
        <v>-4.9893086243763314</v>
      </c>
    </row>
    <row r="20" spans="1:17" x14ac:dyDescent="0.2">
      <c r="A20" s="9">
        <v>41974</v>
      </c>
      <c r="B20">
        <v>-0.18651939975316809</v>
      </c>
      <c r="C20">
        <v>3.5666666666666701E-2</v>
      </c>
      <c r="D20">
        <v>2.5666666666666699E-2</v>
      </c>
      <c r="E20">
        <v>0.14250000000000002</v>
      </c>
      <c r="F20">
        <v>-8.3333333333333315E-3</v>
      </c>
      <c r="G20">
        <v>3.2500000000000015E-2</v>
      </c>
      <c r="H20">
        <v>-6.6666666666666402E-3</v>
      </c>
      <c r="I20">
        <v>-7.4547702474647842E-3</v>
      </c>
      <c r="J20">
        <v>1.3828982966028573</v>
      </c>
      <c r="K20">
        <v>-2.7568383173732225</v>
      </c>
      <c r="L20">
        <v>0.2</v>
      </c>
      <c r="M20">
        <v>1.6666666666666774E-3</v>
      </c>
      <c r="N20">
        <v>1.2825188779607932</v>
      </c>
      <c r="O20">
        <v>3.9803579860485723E-2</v>
      </c>
      <c r="P20">
        <v>19.2</v>
      </c>
      <c r="Q20">
        <v>53.969526864474716</v>
      </c>
    </row>
    <row r="21" spans="1:17" x14ac:dyDescent="0.2">
      <c r="A21" s="9">
        <v>42005</v>
      </c>
      <c r="B21">
        <v>2.4047017706743326</v>
      </c>
      <c r="C21">
        <v>3.6291666666666701E-2</v>
      </c>
      <c r="D21">
        <v>2.7125000000000035E-2</v>
      </c>
      <c r="E21">
        <v>0.11749999999999999</v>
      </c>
      <c r="F21">
        <v>-2.5000000000000022E-2</v>
      </c>
      <c r="G21">
        <v>1.4166666666666682E-2</v>
      </c>
      <c r="H21">
        <v>-1.8333333333333333E-2</v>
      </c>
      <c r="I21">
        <v>-7.0464705036119013E-3</v>
      </c>
      <c r="J21">
        <v>5.9348906527047323</v>
      </c>
      <c r="K21">
        <v>-4.8259610531049102</v>
      </c>
      <c r="L21">
        <v>0.16999999999999998</v>
      </c>
      <c r="M21">
        <v>-3.0000000000000027E-2</v>
      </c>
      <c r="N21">
        <v>-1.1957052249156281</v>
      </c>
      <c r="O21">
        <v>4.0774660040035896E-2</v>
      </c>
      <c r="P21">
        <v>20.97</v>
      </c>
      <c r="Q21">
        <v>17.875210792580098</v>
      </c>
    </row>
    <row r="22" spans="1:17" x14ac:dyDescent="0.2">
      <c r="A22" s="9">
        <v>42036</v>
      </c>
      <c r="B22">
        <v>0.8220675256694463</v>
      </c>
      <c r="C22">
        <v>3.7591666666666697E-2</v>
      </c>
      <c r="D22">
        <v>2.842500000000003E-2</v>
      </c>
      <c r="E22">
        <v>0.1333333333333333</v>
      </c>
      <c r="F22">
        <v>1.583333333333331E-2</v>
      </c>
      <c r="G22">
        <v>3.333333333333334E-2</v>
      </c>
      <c r="H22">
        <v>1.9166666666666658E-2</v>
      </c>
      <c r="I22">
        <v>-7.3820605216026458E-3</v>
      </c>
      <c r="J22">
        <v>-3.7396932352934624</v>
      </c>
      <c r="K22">
        <v>5.7316406574134398</v>
      </c>
      <c r="L22">
        <v>0.1875</v>
      </c>
      <c r="M22">
        <v>1.7500000000000016E-2</v>
      </c>
      <c r="N22">
        <v>-2.0674543719469156</v>
      </c>
      <c r="O22">
        <v>3.8989130086767215E-2</v>
      </c>
      <c r="P22">
        <v>13.34</v>
      </c>
      <c r="Q22">
        <v>-36.385312350977586</v>
      </c>
    </row>
    <row r="23" spans="1:17" x14ac:dyDescent="0.2">
      <c r="A23" s="9">
        <v>42064</v>
      </c>
      <c r="B23">
        <v>0.79790760681101336</v>
      </c>
      <c r="C23">
        <v>3.80666666666667E-2</v>
      </c>
      <c r="D23">
        <v>2.8900000000000033E-2</v>
      </c>
      <c r="E23">
        <v>0.13499999999999998</v>
      </c>
      <c r="F23">
        <v>1.6666666666666774E-3</v>
      </c>
      <c r="G23">
        <v>3.0000000000000006E-2</v>
      </c>
      <c r="H23">
        <v>-3.333333333333334E-3</v>
      </c>
      <c r="I23">
        <v>-8.8842496009471847E-3</v>
      </c>
      <c r="J23">
        <v>1.0994857308880885</v>
      </c>
      <c r="K23">
        <v>-1.9613642923060559</v>
      </c>
      <c r="L23">
        <v>0.2</v>
      </c>
      <c r="M23">
        <v>1.2500000000000011E-2</v>
      </c>
      <c r="N23">
        <v>0.77481360069533434</v>
      </c>
      <c r="O23">
        <v>3.854990889379277E-2</v>
      </c>
      <c r="P23">
        <v>15.29</v>
      </c>
      <c r="Q23">
        <v>7.4490513000702752</v>
      </c>
    </row>
    <row r="24" spans="1:17" x14ac:dyDescent="0.2">
      <c r="A24" s="9">
        <v>42095</v>
      </c>
      <c r="B24">
        <v>-0.23417506109101072</v>
      </c>
      <c r="C24">
        <v>3.8116666666666701E-2</v>
      </c>
      <c r="D24">
        <v>2.81166666666667E-2</v>
      </c>
      <c r="E24">
        <v>0.14083333333333331</v>
      </c>
      <c r="F24">
        <v>5.8333333333333293E-3</v>
      </c>
      <c r="G24">
        <v>4.2499999999999996E-2</v>
      </c>
      <c r="H24">
        <v>1.249999999999999E-2</v>
      </c>
      <c r="I24">
        <v>-5.8839347603019954E-3</v>
      </c>
      <c r="J24">
        <v>-2.3264834455409638</v>
      </c>
      <c r="K24">
        <v>2.8746801011035772</v>
      </c>
      <c r="L24">
        <v>0.21666666666666667</v>
      </c>
      <c r="M24">
        <v>1.6666666666666663E-2</v>
      </c>
      <c r="N24">
        <v>-0.64457008273053229</v>
      </c>
      <c r="O24">
        <v>3.6687288569801003E-2</v>
      </c>
      <c r="P24">
        <v>14.55</v>
      </c>
      <c r="Q24">
        <v>-0.81799591002044147</v>
      </c>
    </row>
    <row r="25" spans="1:17" x14ac:dyDescent="0.2">
      <c r="A25" s="9">
        <v>42125</v>
      </c>
      <c r="B25">
        <v>0.44906329589973976</v>
      </c>
      <c r="C25">
        <v>3.85E-2</v>
      </c>
      <c r="D25">
        <v>2.8499999999999998E-2</v>
      </c>
      <c r="E25">
        <v>0.14333333333333331</v>
      </c>
      <c r="F25">
        <v>2.5000000000000022E-3</v>
      </c>
      <c r="G25">
        <v>4.1666666666666685E-2</v>
      </c>
      <c r="H25">
        <v>-8.3333333333331094E-4</v>
      </c>
      <c r="I25">
        <v>-6.4033975507690882E-3</v>
      </c>
      <c r="J25">
        <v>0.27399978476401698</v>
      </c>
      <c r="K25">
        <v>-0.50551389827404591</v>
      </c>
      <c r="L25">
        <v>0.20833333333333334</v>
      </c>
      <c r="M25">
        <v>-8.3333333333333315E-3</v>
      </c>
      <c r="N25">
        <v>0.13834015298999414</v>
      </c>
      <c r="O25">
        <v>3.5624717873929498E-2</v>
      </c>
      <c r="P25">
        <v>13.84</v>
      </c>
      <c r="Q25">
        <v>8.9763779527559215</v>
      </c>
    </row>
    <row r="26" spans="1:17" x14ac:dyDescent="0.2">
      <c r="A26" s="9">
        <v>42156</v>
      </c>
      <c r="B26">
        <v>-3.3442885744124804</v>
      </c>
      <c r="C26">
        <v>3.805E-2</v>
      </c>
      <c r="D26">
        <v>2.7216666666666667E-2</v>
      </c>
      <c r="E26">
        <v>0.14916666666666667</v>
      </c>
      <c r="F26">
        <v>5.833333333333357E-3</v>
      </c>
      <c r="G26">
        <v>5.0833333333333383E-2</v>
      </c>
      <c r="H26">
        <v>9.1666666666666979E-3</v>
      </c>
      <c r="I26">
        <v>-6.6986652695821547E-3</v>
      </c>
      <c r="J26">
        <v>-3.7708043023703515</v>
      </c>
      <c r="K26">
        <v>1.8186595523394522</v>
      </c>
      <c r="L26">
        <v>0.21500000000000002</v>
      </c>
      <c r="M26">
        <v>6.6666666666666818E-3</v>
      </c>
      <c r="N26">
        <v>1.8295849965341144</v>
      </c>
      <c r="O26">
        <v>3.4377190224631503E-2</v>
      </c>
      <c r="P26">
        <v>18.23</v>
      </c>
      <c r="Q26">
        <v>33.455344070278194</v>
      </c>
    </row>
    <row r="27" spans="1:17" x14ac:dyDescent="0.2">
      <c r="A27" s="9">
        <v>42186</v>
      </c>
      <c r="B27">
        <v>1.9551601207275044</v>
      </c>
      <c r="C27">
        <v>3.7908333333333301E-2</v>
      </c>
      <c r="D27">
        <v>2.7074999999999967E-2</v>
      </c>
      <c r="E27">
        <v>0.13666666666666666</v>
      </c>
      <c r="F27">
        <v>-1.2500000000000011E-2</v>
      </c>
      <c r="G27">
        <v>3.999999999999998E-2</v>
      </c>
      <c r="H27">
        <v>-1.0833333333333403E-2</v>
      </c>
      <c r="I27">
        <v>-8.6123056440666618E-3</v>
      </c>
      <c r="J27">
        <v>2.4312561086316236</v>
      </c>
      <c r="K27">
        <v>-2.3487649377745501</v>
      </c>
      <c r="L27">
        <v>0.19750000000000001</v>
      </c>
      <c r="M27">
        <v>-1.7500000000000016E-2</v>
      </c>
      <c r="N27">
        <v>-0.1964145478948659</v>
      </c>
      <c r="O27">
        <v>3.3811883000499809E-2</v>
      </c>
      <c r="P27">
        <v>12.12</v>
      </c>
      <c r="Q27">
        <v>-28.747795414462097</v>
      </c>
    </row>
    <row r="28" spans="1:17" x14ac:dyDescent="0.2">
      <c r="A28" s="9">
        <v>42217</v>
      </c>
      <c r="B28">
        <v>-2.9682787226250409</v>
      </c>
      <c r="C28">
        <v>3.8249999999999999E-2</v>
      </c>
      <c r="D28">
        <v>2.6583333333333334E-2</v>
      </c>
      <c r="E28">
        <v>0.14166666666666666</v>
      </c>
      <c r="F28">
        <v>5.0000000000000044E-3</v>
      </c>
      <c r="G28">
        <v>3.6666666666666639E-2</v>
      </c>
      <c r="H28">
        <v>-3.3333333333333409E-3</v>
      </c>
      <c r="I28">
        <v>-5.1761089815759997E-3</v>
      </c>
      <c r="J28">
        <v>-2.163876747359093</v>
      </c>
      <c r="K28">
        <v>0.48247579184206302</v>
      </c>
      <c r="L28">
        <v>0.17916666666666667</v>
      </c>
      <c r="M28">
        <v>-1.833333333333334E-2</v>
      </c>
      <c r="N28">
        <v>1.5478775327014587</v>
      </c>
      <c r="O28">
        <v>3.3471830721238778E-2</v>
      </c>
      <c r="P28">
        <v>28.43</v>
      </c>
      <c r="Q28">
        <v>118.69230769230769</v>
      </c>
    </row>
    <row r="29" spans="1:17" x14ac:dyDescent="0.2">
      <c r="A29" s="9">
        <v>42248</v>
      </c>
      <c r="B29">
        <v>-0.94912629185626851</v>
      </c>
      <c r="C29">
        <v>3.7866666666666701E-2</v>
      </c>
      <c r="D29">
        <v>2.6200000000000036E-2</v>
      </c>
      <c r="E29">
        <v>0.14499999999999996</v>
      </c>
      <c r="F29">
        <v>3.3333333333332993E-3</v>
      </c>
      <c r="G29">
        <v>2.5000000000000036E-2</v>
      </c>
      <c r="H29">
        <v>-1.1666666666666603E-2</v>
      </c>
      <c r="I29">
        <v>-3.7509955491122349E-3</v>
      </c>
      <c r="J29">
        <v>0.5025858772171532</v>
      </c>
      <c r="K29">
        <v>-3.4844501197260125</v>
      </c>
      <c r="L29">
        <v>0.18583333333333332</v>
      </c>
      <c r="M29">
        <v>6.6666666666666541E-3</v>
      </c>
      <c r="N29">
        <v>2.8398159760270083</v>
      </c>
      <c r="O29">
        <v>3.4959302136209271E-2</v>
      </c>
      <c r="P29">
        <v>24.5</v>
      </c>
      <c r="Q29">
        <v>-6.0942889996167153</v>
      </c>
    </row>
    <row r="30" spans="1:17" x14ac:dyDescent="0.2">
      <c r="A30" s="9">
        <v>42278</v>
      </c>
      <c r="B30">
        <v>2.683391280512204</v>
      </c>
      <c r="C30">
        <v>3.8516666666666699E-2</v>
      </c>
      <c r="D30">
        <v>2.8516666666666697E-2</v>
      </c>
      <c r="E30">
        <v>0.15</v>
      </c>
      <c r="F30">
        <v>5.0000000000000322E-3</v>
      </c>
      <c r="G30">
        <v>3.3333333333333354E-2</v>
      </c>
      <c r="H30">
        <v>8.3333333333333176E-3</v>
      </c>
      <c r="I30">
        <v>-1.2234181490369672E-3</v>
      </c>
      <c r="J30">
        <v>1.5012701524955124E-2</v>
      </c>
      <c r="K30">
        <v>3.3664345081825253</v>
      </c>
      <c r="L30">
        <v>0.18666666666666665</v>
      </c>
      <c r="M30">
        <v>8.3333333333332482E-4</v>
      </c>
      <c r="N30">
        <v>-3.4444537391388588</v>
      </c>
      <c r="O30">
        <v>3.4094672257314676E-2</v>
      </c>
      <c r="P30">
        <v>15.07</v>
      </c>
      <c r="Q30">
        <v>-22.8761514841351</v>
      </c>
    </row>
    <row r="31" spans="1:17" x14ac:dyDescent="0.2">
      <c r="A31" s="9">
        <v>42309</v>
      </c>
      <c r="B31">
        <v>1.084910181769061</v>
      </c>
      <c r="C31">
        <v>3.8633333333333297E-2</v>
      </c>
      <c r="D31">
        <v>2.8633333333333295E-2</v>
      </c>
      <c r="E31">
        <v>0.14666666666666667</v>
      </c>
      <c r="F31">
        <v>-3.333333333333327E-3</v>
      </c>
      <c r="G31">
        <v>2.6666666666666713E-2</v>
      </c>
      <c r="H31">
        <v>-6.6666666666666402E-3</v>
      </c>
      <c r="I31">
        <v>1.5610207163470891E-3</v>
      </c>
      <c r="J31">
        <v>2.0734306549589543</v>
      </c>
      <c r="K31">
        <v>-4.0532942578922153</v>
      </c>
      <c r="L31">
        <v>0.19083333333333333</v>
      </c>
      <c r="M31">
        <v>4.1666666666666796E-3</v>
      </c>
      <c r="N31">
        <v>1.9065660162592846</v>
      </c>
      <c r="O31">
        <v>3.2250226695247894E-2</v>
      </c>
      <c r="P31">
        <v>16.13</v>
      </c>
      <c r="Q31">
        <v>13.992932862190809</v>
      </c>
    </row>
    <row r="32" spans="1:17" x14ac:dyDescent="0.2">
      <c r="A32" s="9">
        <v>42339</v>
      </c>
      <c r="B32">
        <v>-0.60205936122706527</v>
      </c>
      <c r="C32">
        <v>3.8124999999999999E-2</v>
      </c>
      <c r="D32">
        <v>1.8124999999999999E-2</v>
      </c>
      <c r="E32">
        <v>0.14666666666666667</v>
      </c>
      <c r="F32">
        <v>0</v>
      </c>
      <c r="G32">
        <v>2.9999999999999971E-2</v>
      </c>
      <c r="H32">
        <v>3.3333333333332577E-3</v>
      </c>
      <c r="I32">
        <v>-3.2366331027638001E-3</v>
      </c>
      <c r="J32">
        <v>-1.4165022256805997</v>
      </c>
      <c r="K32">
        <v>-0.94913813765421517</v>
      </c>
      <c r="L32">
        <v>0.17916666666666664</v>
      </c>
      <c r="M32">
        <v>-1.1666666666666686E-2</v>
      </c>
      <c r="N32">
        <v>2.2414143834970743</v>
      </c>
      <c r="O32">
        <v>2.2125915251596826E-2</v>
      </c>
      <c r="P32">
        <v>18.21</v>
      </c>
      <c r="Q32">
        <v>0.55218111540586978</v>
      </c>
    </row>
    <row r="33" spans="1:17" x14ac:dyDescent="0.2">
      <c r="A33" s="9">
        <v>42370</v>
      </c>
      <c r="B33">
        <v>-1.3845334693391671</v>
      </c>
      <c r="C33">
        <v>3.8824999999999998E-2</v>
      </c>
      <c r="D33">
        <v>1.0491666666666663E-2</v>
      </c>
      <c r="E33">
        <v>0.15250000000000002</v>
      </c>
      <c r="F33">
        <v>5.833333333333357E-3</v>
      </c>
      <c r="G33">
        <v>2.7499999999999962E-2</v>
      </c>
      <c r="H33">
        <v>-2.5000000000000092E-3</v>
      </c>
      <c r="I33">
        <v>-6.1367997116639622E-4</v>
      </c>
      <c r="J33">
        <v>0.66815720708482551</v>
      </c>
      <c r="K33">
        <v>-2.4471289511413197</v>
      </c>
      <c r="L33">
        <v>0.17749999999999999</v>
      </c>
      <c r="M33">
        <v>-1.6666666666666496E-3</v>
      </c>
      <c r="N33">
        <v>1.6334355421039572</v>
      </c>
      <c r="O33">
        <v>1.6751624448382504E-2</v>
      </c>
      <c r="P33">
        <v>20.2</v>
      </c>
      <c r="Q33">
        <v>10.928061504667763</v>
      </c>
    </row>
    <row r="34" spans="1:17" x14ac:dyDescent="0.2">
      <c r="A34" s="9">
        <v>42401</v>
      </c>
      <c r="B34">
        <v>0.51269214936388086</v>
      </c>
      <c r="C34">
        <v>3.8808333333333299E-2</v>
      </c>
      <c r="D34">
        <v>7.1416666666666295E-3</v>
      </c>
      <c r="E34">
        <v>0.16083333333333333</v>
      </c>
      <c r="F34">
        <v>8.3333333333333037E-3</v>
      </c>
      <c r="G34">
        <v>1.0833333333333313E-2</v>
      </c>
      <c r="H34">
        <v>-1.6666666666666649E-2</v>
      </c>
      <c r="I34">
        <v>2.1393762856982447E-3</v>
      </c>
      <c r="J34">
        <v>-0.80775400785913054</v>
      </c>
      <c r="K34">
        <v>1.5397126766706677</v>
      </c>
      <c r="L34">
        <v>0.1525</v>
      </c>
      <c r="M34">
        <v>-2.4999999999999994E-2</v>
      </c>
      <c r="N34">
        <v>-0.8024053912740966</v>
      </c>
      <c r="O34">
        <v>1.3738233512915567E-2</v>
      </c>
      <c r="P34">
        <v>20.55</v>
      </c>
      <c r="Q34">
        <v>2.8528528528528607</v>
      </c>
    </row>
    <row r="35" spans="1:17" x14ac:dyDescent="0.2">
      <c r="A35" s="9">
        <v>42430</v>
      </c>
      <c r="B35">
        <v>2.1127325139720563</v>
      </c>
      <c r="C35">
        <v>3.8716666666666698E-2</v>
      </c>
      <c r="D35">
        <v>8.7166666666666989E-3</v>
      </c>
      <c r="E35">
        <v>0.15333333333333332</v>
      </c>
      <c r="F35">
        <v>-7.5000000000000067E-3</v>
      </c>
      <c r="G35">
        <v>1.666666666666667E-2</v>
      </c>
      <c r="H35">
        <v>5.833333333333357E-3</v>
      </c>
      <c r="I35">
        <v>8.6570503620442274E-4</v>
      </c>
      <c r="J35">
        <v>3.5954167685518694</v>
      </c>
      <c r="K35">
        <v>2.2292748659358264E-2</v>
      </c>
      <c r="L35">
        <v>0.19083333333333335</v>
      </c>
      <c r="M35">
        <v>3.8333333333333358E-2</v>
      </c>
      <c r="N35">
        <v>-3.6270796894894017</v>
      </c>
      <c r="O35">
        <v>1.2750809861767104E-2</v>
      </c>
      <c r="P35">
        <v>13.95</v>
      </c>
      <c r="Q35">
        <v>-16.467065868263475</v>
      </c>
    </row>
    <row r="36" spans="1:17" x14ac:dyDescent="0.2">
      <c r="A36" s="9">
        <v>42461</v>
      </c>
      <c r="B36">
        <v>0.44664249623499269</v>
      </c>
      <c r="C36">
        <v>3.88583333333333E-2</v>
      </c>
      <c r="D36">
        <v>8.0249999999999662E-3</v>
      </c>
      <c r="E36">
        <v>0.15333333333333335</v>
      </c>
      <c r="F36">
        <v>0</v>
      </c>
      <c r="G36">
        <v>2.6666666666666651E-2</v>
      </c>
      <c r="H36">
        <v>9.9999999999999811E-3</v>
      </c>
      <c r="I36">
        <v>1.5710165664632597E-3</v>
      </c>
      <c r="J36">
        <v>0.91190414214845739</v>
      </c>
      <c r="K36">
        <v>1.3584498983978066</v>
      </c>
      <c r="L36">
        <v>0.19666666666666668</v>
      </c>
      <c r="M36">
        <v>5.8333333333333293E-3</v>
      </c>
      <c r="N36">
        <v>-2.327596256567102</v>
      </c>
      <c r="O36">
        <v>1.0890748110531877E-2</v>
      </c>
      <c r="P36">
        <v>15.7</v>
      </c>
      <c r="Q36">
        <v>11.189801699716707</v>
      </c>
    </row>
    <row r="37" spans="1:17" x14ac:dyDescent="0.2">
      <c r="A37" s="9">
        <v>42491</v>
      </c>
      <c r="B37">
        <v>0.80909571022157933</v>
      </c>
      <c r="C37">
        <v>3.86083333333333E-2</v>
      </c>
      <c r="D37">
        <v>7.774999999999966E-3</v>
      </c>
      <c r="E37">
        <v>0.14333333333333331</v>
      </c>
      <c r="F37">
        <v>-1.0000000000000037E-2</v>
      </c>
      <c r="G37">
        <v>2.1666666666666716E-2</v>
      </c>
      <c r="H37">
        <v>-4.9999999999999351E-3</v>
      </c>
      <c r="I37">
        <v>-2.1451547504843446E-3</v>
      </c>
      <c r="J37">
        <v>0.85468808124803441</v>
      </c>
      <c r="K37">
        <v>-0.60223950995447195</v>
      </c>
      <c r="L37">
        <v>0.18833333333333332</v>
      </c>
      <c r="M37">
        <v>-8.3333333333333592E-3</v>
      </c>
      <c r="N37">
        <v>-0.33409869319838392</v>
      </c>
      <c r="O37">
        <v>1.1170007181299565E-2</v>
      </c>
      <c r="P37">
        <v>14.19</v>
      </c>
      <c r="Q37">
        <v>-9.0384615384615401</v>
      </c>
    </row>
    <row r="38" spans="1:17" x14ac:dyDescent="0.2">
      <c r="A38" s="9">
        <v>42522</v>
      </c>
      <c r="B38">
        <v>3.3950819422879635</v>
      </c>
      <c r="C38">
        <v>3.83166666666667E-2</v>
      </c>
      <c r="D38">
        <v>6.6500000000000309E-3</v>
      </c>
      <c r="E38">
        <v>0.13666666666666666</v>
      </c>
      <c r="F38">
        <v>-6.6666666666666541E-3</v>
      </c>
      <c r="G38">
        <v>9.9999999999999933E-3</v>
      </c>
      <c r="H38">
        <v>-1.1666666666666723E-2</v>
      </c>
      <c r="I38">
        <v>3.5069726876785483E-3</v>
      </c>
      <c r="J38">
        <v>3.5664770305249829</v>
      </c>
      <c r="K38">
        <v>-2.8362287152284393</v>
      </c>
      <c r="L38">
        <v>0.20583333333333334</v>
      </c>
      <c r="M38">
        <v>1.7500000000000016E-2</v>
      </c>
      <c r="N38">
        <v>-0.76068732422878949</v>
      </c>
      <c r="O38">
        <v>1.00437882997663E-2</v>
      </c>
      <c r="P38">
        <v>15.63</v>
      </c>
      <c r="Q38">
        <v>16.035634743875281</v>
      </c>
    </row>
    <row r="39" spans="1:17" x14ac:dyDescent="0.2">
      <c r="A39" s="9">
        <v>42552</v>
      </c>
      <c r="B39">
        <v>3.1095108983661892</v>
      </c>
      <c r="C39">
        <v>3.8141666666666699E-2</v>
      </c>
      <c r="D39">
        <v>5.6416666666666976E-3</v>
      </c>
      <c r="E39">
        <v>0.12333333333333332</v>
      </c>
      <c r="F39">
        <v>-1.3333333333333336E-2</v>
      </c>
      <c r="G39">
        <v>-4.9999999999999975E-3</v>
      </c>
      <c r="H39">
        <v>-1.4999999999999991E-2</v>
      </c>
      <c r="I39">
        <v>-3.2811258265727505E-3</v>
      </c>
      <c r="J39">
        <v>5.0465169683722939</v>
      </c>
      <c r="K39">
        <v>-2.6778427539731138</v>
      </c>
      <c r="L39">
        <v>0.2175</v>
      </c>
      <c r="M39">
        <v>1.1666666666666659E-2</v>
      </c>
      <c r="N39">
        <v>-2.3666150000944421</v>
      </c>
      <c r="O39">
        <v>8.2852079358431419E-3</v>
      </c>
      <c r="P39">
        <v>11.87</v>
      </c>
      <c r="Q39">
        <v>-19.634394041976989</v>
      </c>
    </row>
    <row r="40" spans="1:17" x14ac:dyDescent="0.2">
      <c r="A40" s="9">
        <v>42583</v>
      </c>
      <c r="B40">
        <v>1.5752476292840976</v>
      </c>
      <c r="C40">
        <v>2.0650000000000002E-2</v>
      </c>
      <c r="D40">
        <v>-1.2683333333333331E-2</v>
      </c>
      <c r="E40">
        <v>9.8333333333333342E-2</v>
      </c>
      <c r="F40">
        <v>-2.4999999999999981E-2</v>
      </c>
      <c r="G40">
        <v>-5.0000000000000062E-3</v>
      </c>
      <c r="H40">
        <v>-8.6736173798840355E-18</v>
      </c>
      <c r="I40">
        <v>-7.2191615852159469E-4</v>
      </c>
      <c r="J40">
        <v>3.4210472846484357</v>
      </c>
      <c r="K40">
        <v>-1.4033793851141456</v>
      </c>
      <c r="L40">
        <v>0.23416666666666666</v>
      </c>
      <c r="M40">
        <v>1.6666666666666663E-2</v>
      </c>
      <c r="N40">
        <v>-2.0328061690675399</v>
      </c>
      <c r="O40">
        <v>7.3708130849013953E-3</v>
      </c>
      <c r="P40">
        <v>13.42</v>
      </c>
      <c r="Q40">
        <v>8.0515297906602168</v>
      </c>
    </row>
    <row r="41" spans="1:17" x14ac:dyDescent="0.2">
      <c r="A41" s="9">
        <v>42614</v>
      </c>
      <c r="B41">
        <v>0.3941440510082177</v>
      </c>
      <c r="C41">
        <v>1.7749999999999998E-2</v>
      </c>
      <c r="D41">
        <v>-1.5583333333333334E-2</v>
      </c>
      <c r="E41">
        <v>0.11833333333333335</v>
      </c>
      <c r="F41">
        <v>2.0000000000000004E-2</v>
      </c>
      <c r="G41">
        <v>-1.6666666666666791E-3</v>
      </c>
      <c r="H41">
        <v>3.333333333333327E-3</v>
      </c>
      <c r="I41">
        <v>-1.6312304256484444E-3</v>
      </c>
      <c r="J41">
        <v>-1.9050206096671818</v>
      </c>
      <c r="K41">
        <v>1.8697496570680427</v>
      </c>
      <c r="L41">
        <v>0.22749999999999998</v>
      </c>
      <c r="M41">
        <v>-6.6666666666666818E-3</v>
      </c>
      <c r="N41">
        <v>-5.0280583610806673E-4</v>
      </c>
      <c r="O41">
        <v>7.9561938925424916E-3</v>
      </c>
      <c r="P41">
        <v>13.29</v>
      </c>
      <c r="Q41">
        <v>10.934891485809661</v>
      </c>
    </row>
    <row r="42" spans="1:17" x14ac:dyDescent="0.2">
      <c r="A42" s="9">
        <v>42644</v>
      </c>
      <c r="B42">
        <v>0.29248739326307094</v>
      </c>
      <c r="C42">
        <v>1.7666666666666699E-2</v>
      </c>
      <c r="D42">
        <v>-1.5666666666666634E-2</v>
      </c>
      <c r="E42">
        <v>0.13083333333333333</v>
      </c>
      <c r="F42">
        <v>1.2499999999999983E-2</v>
      </c>
      <c r="G42">
        <v>2.583333333333333E-2</v>
      </c>
      <c r="H42">
        <v>2.7500000000000011E-2</v>
      </c>
      <c r="I42">
        <v>3.0211098171881376E-3</v>
      </c>
      <c r="J42">
        <v>-4.4556526959210885</v>
      </c>
      <c r="K42">
        <v>4.6760943129646853</v>
      </c>
      <c r="L42">
        <v>0.26833333333333331</v>
      </c>
      <c r="M42">
        <v>4.0833333333333333E-2</v>
      </c>
      <c r="N42">
        <v>-0.28505372146313801</v>
      </c>
      <c r="O42">
        <v>9.088109303692922E-3</v>
      </c>
      <c r="P42">
        <v>17.059999999999999</v>
      </c>
      <c r="Q42">
        <v>25.165077035950102</v>
      </c>
    </row>
    <row r="43" spans="1:17" x14ac:dyDescent="0.2">
      <c r="A43" s="9">
        <v>42675</v>
      </c>
      <c r="B43">
        <v>-0.93339874585644023</v>
      </c>
      <c r="C43">
        <v>1.7566666666666699E-2</v>
      </c>
      <c r="D43">
        <v>-1.6599999999999965E-2</v>
      </c>
      <c r="E43">
        <v>0.15083333333333335</v>
      </c>
      <c r="F43">
        <v>2.0000000000000018E-2</v>
      </c>
      <c r="G43">
        <v>4.7499999999999987E-2</v>
      </c>
      <c r="H43">
        <v>2.1666666666666657E-2</v>
      </c>
      <c r="I43">
        <v>-8.6150758436941109E-3</v>
      </c>
      <c r="J43">
        <v>-1.6600067055434231</v>
      </c>
      <c r="K43">
        <v>0.88735429998600956</v>
      </c>
      <c r="L43">
        <v>0.255</v>
      </c>
      <c r="M43">
        <v>-1.3333333333333308E-2</v>
      </c>
      <c r="N43">
        <v>0.72247237641396156</v>
      </c>
      <c r="O43">
        <v>8.6649399458350179E-3</v>
      </c>
      <c r="P43">
        <v>13.33</v>
      </c>
      <c r="Q43">
        <v>-31.004140786749478</v>
      </c>
    </row>
    <row r="44" spans="1:17" x14ac:dyDescent="0.2">
      <c r="A44" s="9">
        <v>42705</v>
      </c>
      <c r="B44">
        <v>2.8609360739223297</v>
      </c>
      <c r="C44">
        <v>1.7708333333333302E-2</v>
      </c>
      <c r="D44">
        <v>-2.7291666666666704E-2</v>
      </c>
      <c r="E44">
        <v>0.14499999999999999</v>
      </c>
      <c r="F44">
        <v>-5.833333333333357E-3</v>
      </c>
      <c r="G44">
        <v>4.0000000000000008E-2</v>
      </c>
      <c r="H44">
        <v>-7.4999999999999789E-3</v>
      </c>
      <c r="I44">
        <v>-1.2249101769444895E-2</v>
      </c>
      <c r="J44">
        <v>2.9503559863160107</v>
      </c>
      <c r="K44">
        <v>-0.89007405583763077</v>
      </c>
      <c r="L44">
        <v>0.26250000000000001</v>
      </c>
      <c r="M44">
        <v>7.5000000000000067E-3</v>
      </c>
      <c r="N44">
        <v>-2.0722333327069506</v>
      </c>
      <c r="O44">
        <v>-2.9147434156937338E-3</v>
      </c>
      <c r="P44">
        <v>14.04</v>
      </c>
      <c r="Q44">
        <v>-0.56657223796033884</v>
      </c>
    </row>
    <row r="45" spans="1:17" x14ac:dyDescent="0.2">
      <c r="A45" s="9">
        <v>42736</v>
      </c>
      <c r="B45">
        <v>-0.44945692130845749</v>
      </c>
      <c r="C45">
        <v>1.7791666666666699E-2</v>
      </c>
      <c r="D45">
        <v>-3.637499999999997E-2</v>
      </c>
      <c r="E45">
        <v>0.14749999999999996</v>
      </c>
      <c r="F45">
        <v>2.4999999999999745E-3</v>
      </c>
      <c r="G45">
        <v>4.4166666666666674E-2</v>
      </c>
      <c r="H45">
        <v>4.1666666666666657E-3</v>
      </c>
      <c r="I45">
        <v>-1.1961296661560532E-2</v>
      </c>
      <c r="J45">
        <v>-1.5202579266307075</v>
      </c>
      <c r="K45">
        <v>2.1037097525038462</v>
      </c>
      <c r="L45">
        <v>0.28416666666666662</v>
      </c>
      <c r="M45">
        <v>2.1666666666666612E-2</v>
      </c>
      <c r="N45">
        <v>-0.63415019334093126</v>
      </c>
      <c r="O45">
        <v>-1.1767437908037082E-2</v>
      </c>
      <c r="P45">
        <v>11.99</v>
      </c>
      <c r="Q45">
        <v>-6.692607003891049</v>
      </c>
    </row>
    <row r="46" spans="1:17" x14ac:dyDescent="0.2">
      <c r="A46" s="9">
        <v>42767</v>
      </c>
      <c r="B46">
        <v>2.5257042870557784</v>
      </c>
      <c r="C46">
        <v>1.755E-2</v>
      </c>
      <c r="D46">
        <v>-3.7449999999999997E-2</v>
      </c>
      <c r="E46">
        <v>0.14250000000000002</v>
      </c>
      <c r="F46">
        <v>-4.9999999999999489E-3</v>
      </c>
      <c r="G46">
        <v>2.2499999999999985E-2</v>
      </c>
      <c r="H46">
        <v>-2.1666666666666688E-2</v>
      </c>
      <c r="I46">
        <v>-1.3042750137960682E-2</v>
      </c>
      <c r="J46">
        <v>2.6350509941130018</v>
      </c>
      <c r="K46">
        <v>-1.4911433907641825</v>
      </c>
      <c r="L46">
        <v>0.25916666666666671</v>
      </c>
      <c r="M46">
        <v>-2.4999999999999911E-2</v>
      </c>
      <c r="N46">
        <v>-1.161662273804297</v>
      </c>
      <c r="O46">
        <v>-1.2776623703633756E-2</v>
      </c>
      <c r="P46">
        <v>12.92</v>
      </c>
      <c r="Q46">
        <v>7.7564637197664599</v>
      </c>
    </row>
    <row r="47" spans="1:17" x14ac:dyDescent="0.2">
      <c r="A47" s="9">
        <v>42795</v>
      </c>
      <c r="B47">
        <v>0.32195109833132546</v>
      </c>
      <c r="C47">
        <v>1.7458333333333301E-2</v>
      </c>
      <c r="D47">
        <v>-4.8375000000000043E-2</v>
      </c>
      <c r="E47">
        <v>0.13833333333333334</v>
      </c>
      <c r="F47">
        <v>-4.1666666666666796E-3</v>
      </c>
      <c r="G47">
        <v>2.166666666666666E-2</v>
      </c>
      <c r="H47">
        <v>-8.3333333333332482E-4</v>
      </c>
      <c r="I47">
        <v>-1.9496460736538102E-2</v>
      </c>
      <c r="J47">
        <v>-0.17390455263532517</v>
      </c>
      <c r="K47">
        <v>-0.18290506587057553</v>
      </c>
      <c r="L47">
        <v>0.28250000000000003</v>
      </c>
      <c r="M47">
        <v>2.3333333333333317E-2</v>
      </c>
      <c r="N47">
        <v>0.32922876547152047</v>
      </c>
      <c r="O47">
        <v>-2.3460022308413826E-2</v>
      </c>
      <c r="P47">
        <v>12.37</v>
      </c>
      <c r="Q47">
        <v>10.053380782918131</v>
      </c>
    </row>
    <row r="48" spans="1:17" x14ac:dyDescent="0.2">
      <c r="A48" s="9">
        <v>42826</v>
      </c>
      <c r="B48">
        <v>-0.38364685529762182</v>
      </c>
      <c r="C48">
        <v>1.7616666666666701E-2</v>
      </c>
      <c r="D48">
        <v>-5.73833333333333E-2</v>
      </c>
      <c r="E48">
        <v>0.14166666666666666</v>
      </c>
      <c r="F48">
        <v>3.333333333333327E-3</v>
      </c>
      <c r="G48">
        <v>2.1666666666666695E-2</v>
      </c>
      <c r="H48">
        <v>3.4694469519536142E-17</v>
      </c>
      <c r="I48">
        <v>-1.9111165885739977E-2</v>
      </c>
      <c r="J48">
        <v>0.72625925846252182</v>
      </c>
      <c r="K48">
        <v>0.28409274655553096</v>
      </c>
      <c r="L48">
        <v>0.26416666666666666</v>
      </c>
      <c r="M48">
        <v>-1.8333333333333368E-2</v>
      </c>
      <c r="N48">
        <v>-1.0542238722111643</v>
      </c>
      <c r="O48">
        <v>-3.1964818810019308E-2</v>
      </c>
      <c r="P48">
        <v>10.82</v>
      </c>
      <c r="Q48">
        <v>-12.530315278900561</v>
      </c>
    </row>
    <row r="49" spans="1:17" x14ac:dyDescent="0.2">
      <c r="A49" s="9">
        <v>42856</v>
      </c>
      <c r="B49">
        <v>1.8101887790863302</v>
      </c>
      <c r="C49">
        <v>1.77166666666667E-2</v>
      </c>
      <c r="D49">
        <v>-5.8116666666666636E-2</v>
      </c>
      <c r="E49">
        <v>0.13750000000000001</v>
      </c>
      <c r="F49">
        <v>-4.1666666666666519E-3</v>
      </c>
      <c r="G49">
        <v>1.7500000000000009E-2</v>
      </c>
      <c r="H49">
        <v>-4.1666666666666866E-3</v>
      </c>
      <c r="I49">
        <v>-1.9005834205320996E-2</v>
      </c>
      <c r="J49">
        <v>1.5534992085354618</v>
      </c>
      <c r="K49">
        <v>-0.86733148529634096</v>
      </c>
      <c r="L49">
        <v>0.25833333333333336</v>
      </c>
      <c r="M49">
        <v>-5.8333333333333015E-3</v>
      </c>
      <c r="N49">
        <v>-0.71090048727853627</v>
      </c>
      <c r="O49">
        <v>-3.2926590407804011E-2</v>
      </c>
      <c r="P49">
        <v>10.41</v>
      </c>
      <c r="Q49">
        <v>-2.5280898876404501</v>
      </c>
    </row>
    <row r="50" spans="1:17" x14ac:dyDescent="0.2">
      <c r="A50" s="9">
        <v>42887</v>
      </c>
      <c r="B50">
        <v>-0.8739297602339734</v>
      </c>
      <c r="C50">
        <v>1.7675E-2</v>
      </c>
      <c r="D50">
        <v>-6.8991666666666673E-2</v>
      </c>
      <c r="E50">
        <v>0.13166666666666665</v>
      </c>
      <c r="F50">
        <v>-5.833333333333357E-3</v>
      </c>
      <c r="G50">
        <v>2.1666666666666674E-2</v>
      </c>
      <c r="H50">
        <v>4.1666666666666657E-3</v>
      </c>
      <c r="I50">
        <v>-1.6919737949653658E-2</v>
      </c>
      <c r="J50">
        <v>-1.3128763768352263</v>
      </c>
      <c r="K50">
        <v>1.3953051261217597</v>
      </c>
      <c r="L50">
        <v>0.2525</v>
      </c>
      <c r="M50">
        <v>-5.833333333333357E-3</v>
      </c>
      <c r="N50">
        <v>-0.12600116164798369</v>
      </c>
      <c r="O50">
        <v>-4.3930254438185858E-2</v>
      </c>
      <c r="P50">
        <v>11.18</v>
      </c>
      <c r="Q50">
        <v>11.022840119165833</v>
      </c>
    </row>
    <row r="51" spans="1:17" x14ac:dyDescent="0.2">
      <c r="A51" s="9">
        <v>42917</v>
      </c>
      <c r="B51">
        <v>0.77913542886387466</v>
      </c>
      <c r="C51">
        <v>1.77E-2</v>
      </c>
      <c r="D51">
        <v>-7.8133333333333332E-2</v>
      </c>
      <c r="E51">
        <v>0.13833333333333334</v>
      </c>
      <c r="F51">
        <v>6.6666666666666818E-3</v>
      </c>
      <c r="G51">
        <v>2.1666666666666664E-2</v>
      </c>
      <c r="H51">
        <v>0</v>
      </c>
      <c r="I51">
        <v>-1.6530848546611038E-2</v>
      </c>
      <c r="J51">
        <v>1.0235515044919676</v>
      </c>
      <c r="K51">
        <v>-0.25632476876954469</v>
      </c>
      <c r="L51">
        <v>0.24416666666666664</v>
      </c>
      <c r="M51">
        <v>-8.3333333333333592E-3</v>
      </c>
      <c r="N51">
        <v>-0.81322058181053336</v>
      </c>
      <c r="O51">
        <v>-5.3031491517596396E-2</v>
      </c>
      <c r="P51">
        <v>10.26</v>
      </c>
      <c r="Q51">
        <v>-8.5561497326203337</v>
      </c>
    </row>
    <row r="52" spans="1:17" x14ac:dyDescent="0.2">
      <c r="A52" s="9">
        <v>42948</v>
      </c>
      <c r="B52">
        <v>1.1252408849651883</v>
      </c>
      <c r="C52">
        <v>1.7766666666666701E-2</v>
      </c>
      <c r="D52">
        <v>-7.889999999999997E-2</v>
      </c>
      <c r="E52">
        <v>0.13333333333333333</v>
      </c>
      <c r="F52">
        <v>-5.0000000000000044E-3</v>
      </c>
      <c r="G52">
        <v>1.5000000000000017E-2</v>
      </c>
      <c r="H52">
        <v>-6.6666666666666471E-3</v>
      </c>
      <c r="I52">
        <v>-1.9272646805498599E-2</v>
      </c>
      <c r="J52">
        <v>0.87915557139737288</v>
      </c>
      <c r="K52">
        <v>-0.96316884586208351</v>
      </c>
      <c r="L52">
        <v>0.25</v>
      </c>
      <c r="M52">
        <v>5.833333333333357E-3</v>
      </c>
      <c r="N52">
        <v>4.192105160976034E-2</v>
      </c>
      <c r="O52">
        <v>-5.3486495509359903E-2</v>
      </c>
      <c r="P52">
        <v>10.59</v>
      </c>
      <c r="Q52">
        <v>5.5832502492522584</v>
      </c>
    </row>
    <row r="53" spans="1:17" x14ac:dyDescent="0.2">
      <c r="A53" s="9">
        <v>42979</v>
      </c>
      <c r="B53">
        <v>-1.0801430002995103</v>
      </c>
      <c r="C53">
        <v>1.7691666666666699E-2</v>
      </c>
      <c r="D53">
        <v>-7.8141666666666623E-2</v>
      </c>
      <c r="E53">
        <v>0.1225</v>
      </c>
      <c r="F53">
        <v>-1.0833333333333334E-2</v>
      </c>
      <c r="G53">
        <v>2.2499999999999985E-2</v>
      </c>
      <c r="H53">
        <v>7.4999999999999685E-3</v>
      </c>
      <c r="I53">
        <v>-1.927676946323862E-2</v>
      </c>
      <c r="J53">
        <v>-2.0519560737810645</v>
      </c>
      <c r="K53">
        <v>2.4965429806179995</v>
      </c>
      <c r="L53">
        <v>0.255</v>
      </c>
      <c r="M53">
        <v>5.0000000000000044E-3</v>
      </c>
      <c r="N53">
        <v>-0.5003577355554536</v>
      </c>
      <c r="O53">
        <v>-5.2878310146927461E-2</v>
      </c>
      <c r="P53">
        <v>9.51</v>
      </c>
      <c r="Q53">
        <v>-6.1204343534057344</v>
      </c>
    </row>
    <row r="54" spans="1:17" x14ac:dyDescent="0.2">
      <c r="A54" s="9">
        <v>43009</v>
      </c>
      <c r="B54">
        <v>1.2933080083597004</v>
      </c>
      <c r="C54">
        <v>1.7583333333333302E-2</v>
      </c>
      <c r="D54">
        <v>-7.8250000000000028E-2</v>
      </c>
      <c r="E54">
        <v>0.12166666666666665</v>
      </c>
      <c r="F54">
        <v>-8.3333333333335258E-4</v>
      </c>
      <c r="G54">
        <v>1.9999999999999997E-2</v>
      </c>
      <c r="H54">
        <v>-2.4999999999999883E-3</v>
      </c>
      <c r="I54">
        <v>-2.0022999334396129E-2</v>
      </c>
      <c r="J54">
        <v>0.34628136161819018</v>
      </c>
      <c r="K54">
        <v>-0.2037955707797412</v>
      </c>
      <c r="L54">
        <v>0.24666666666666667</v>
      </c>
      <c r="M54">
        <v>-8.3333333333333315E-3</v>
      </c>
      <c r="N54">
        <v>-0.18765182802896274</v>
      </c>
      <c r="O54">
        <v>-5.3591122409073128E-2</v>
      </c>
      <c r="P54">
        <v>10.18</v>
      </c>
      <c r="Q54">
        <v>5.7113187954309419</v>
      </c>
    </row>
    <row r="55" spans="1:17" x14ac:dyDescent="0.2">
      <c r="A55" s="9">
        <v>43040</v>
      </c>
      <c r="B55">
        <v>-0.34952011853591453</v>
      </c>
      <c r="C55">
        <v>3.7441666666666699E-2</v>
      </c>
      <c r="D55">
        <v>-5.9224999999999965E-2</v>
      </c>
      <c r="E55">
        <v>0.11333333333333334</v>
      </c>
      <c r="F55">
        <v>-8.3333333333333037E-3</v>
      </c>
      <c r="G55">
        <v>1.8333333333333313E-2</v>
      </c>
      <c r="H55">
        <v>-1.6666666666666843E-3</v>
      </c>
      <c r="I55">
        <v>-1.9633113168245592E-2</v>
      </c>
      <c r="J55">
        <v>-0.35419358995709715</v>
      </c>
      <c r="K55">
        <v>1.4234223664422174E-3</v>
      </c>
      <c r="L55">
        <v>0.24333333333333335</v>
      </c>
      <c r="M55">
        <v>-3.333333333333327E-3</v>
      </c>
      <c r="N55">
        <v>0.29384581056419168</v>
      </c>
      <c r="O55">
        <v>-5.4660865229030839E-2</v>
      </c>
      <c r="P55">
        <v>11.28</v>
      </c>
      <c r="Q55">
        <v>13.595166163141981</v>
      </c>
    </row>
    <row r="56" spans="1:17" x14ac:dyDescent="0.2">
      <c r="A56" s="9">
        <v>43070</v>
      </c>
      <c r="B56">
        <v>2.1937669383125291</v>
      </c>
      <c r="C56">
        <v>3.8491666666666702E-2</v>
      </c>
      <c r="D56">
        <v>-6.9841666666666635E-2</v>
      </c>
      <c r="E56">
        <v>0.10916666666666666</v>
      </c>
      <c r="F56">
        <v>-4.1666666666666796E-3</v>
      </c>
      <c r="G56">
        <v>1.4166666666666661E-2</v>
      </c>
      <c r="H56">
        <v>-4.1666666666666519E-3</v>
      </c>
      <c r="I56">
        <v>-1.7841095835345093E-2</v>
      </c>
      <c r="J56">
        <v>1.858001601839639</v>
      </c>
      <c r="K56">
        <v>-2.043673459645523</v>
      </c>
      <c r="L56">
        <v>0.23666666666666666</v>
      </c>
      <c r="M56">
        <v>-6.6666666666666818E-3</v>
      </c>
      <c r="N56">
        <v>0.14705789403273895</v>
      </c>
      <c r="O56">
        <v>-6.7092350575877452E-2</v>
      </c>
      <c r="P56">
        <v>11.04</v>
      </c>
      <c r="Q56">
        <v>-3.4120734908136496</v>
      </c>
    </row>
    <row r="57" spans="1:17" x14ac:dyDescent="0.2">
      <c r="A57" s="9">
        <v>43101</v>
      </c>
      <c r="B57">
        <v>-0.70844610563042631</v>
      </c>
      <c r="C57">
        <v>3.8591666666666698E-2</v>
      </c>
      <c r="D57">
        <v>-7.8908333333333303E-2</v>
      </c>
      <c r="E57">
        <v>9.8333333333333328E-2</v>
      </c>
      <c r="F57">
        <v>-1.0833333333333334E-2</v>
      </c>
      <c r="G57">
        <v>2.5000000000000022E-2</v>
      </c>
      <c r="H57">
        <v>1.0833333333333361E-2</v>
      </c>
      <c r="I57">
        <v>-1.2975613117504239E-2</v>
      </c>
      <c r="J57">
        <v>-0.8877688063153264</v>
      </c>
      <c r="K57">
        <v>0.95191456574579281</v>
      </c>
      <c r="L57">
        <v>0.245</v>
      </c>
      <c r="M57">
        <v>8.3333333333333315E-3</v>
      </c>
      <c r="N57">
        <v>-0.10710867464023677</v>
      </c>
      <c r="O57">
        <v>-7.7449339259684086E-2</v>
      </c>
      <c r="P57">
        <v>13.58</v>
      </c>
      <c r="Q57">
        <v>48.415300546448094</v>
      </c>
    </row>
    <row r="58" spans="1:17" x14ac:dyDescent="0.2">
      <c r="A58" s="9">
        <v>43132</v>
      </c>
      <c r="B58">
        <v>-1.1425691586862545</v>
      </c>
      <c r="C58">
        <v>3.8616666666666702E-2</v>
      </c>
      <c r="D58">
        <v>-7.971666666666663E-2</v>
      </c>
      <c r="E58">
        <v>9.5000000000000015E-2</v>
      </c>
      <c r="F58">
        <v>-3.3333333333333132E-3</v>
      </c>
      <c r="G58">
        <v>2.6666666666666658E-2</v>
      </c>
      <c r="H58">
        <v>1.6666666666666358E-3</v>
      </c>
      <c r="I58">
        <v>-1.3726296931925425E-2</v>
      </c>
      <c r="J58">
        <v>-1.3769514272096248</v>
      </c>
      <c r="K58">
        <v>0.58873157898159389</v>
      </c>
      <c r="L58">
        <v>0.23499999999999999</v>
      </c>
      <c r="M58">
        <v>-1.0000000000000009E-2</v>
      </c>
      <c r="N58">
        <v>0.66563400581997301</v>
      </c>
      <c r="O58">
        <v>-7.6344442965788836E-2</v>
      </c>
      <c r="P58">
        <v>19.850000000000001</v>
      </c>
      <c r="Q58">
        <v>46.170839469808556</v>
      </c>
    </row>
    <row r="59" spans="1:17" x14ac:dyDescent="0.2">
      <c r="A59" s="9">
        <v>43160</v>
      </c>
      <c r="B59">
        <v>-1.4912303020014905</v>
      </c>
      <c r="C59">
        <v>3.8641666666666699E-2</v>
      </c>
      <c r="D59">
        <v>-8.7191666666666626E-2</v>
      </c>
      <c r="E59">
        <v>7.4999999999999997E-2</v>
      </c>
      <c r="F59">
        <v>-2.0000000000000018E-2</v>
      </c>
      <c r="G59">
        <v>1.8333333333333326E-2</v>
      </c>
      <c r="H59">
        <v>-8.3333333333333315E-3</v>
      </c>
      <c r="I59">
        <v>-8.8298924635258624E-3</v>
      </c>
      <c r="J59">
        <v>0.20136749777207796</v>
      </c>
      <c r="K59">
        <v>-0.75633499901963663</v>
      </c>
      <c r="L59">
        <v>0.26083333333333336</v>
      </c>
      <c r="M59">
        <v>2.5833333333333375E-2</v>
      </c>
      <c r="N59">
        <v>0.46535133785611416</v>
      </c>
      <c r="O59">
        <v>-8.3121596855571619E-2</v>
      </c>
      <c r="P59">
        <v>19.97</v>
      </c>
      <c r="Q59">
        <v>1.9397651863195531</v>
      </c>
    </row>
    <row r="60" spans="1:17" x14ac:dyDescent="0.2">
      <c r="A60" s="9">
        <v>43191</v>
      </c>
      <c r="B60">
        <v>2.4711222871909655</v>
      </c>
      <c r="C60">
        <v>3.8475000000000002E-2</v>
      </c>
      <c r="D60">
        <v>-0.10235833333333333</v>
      </c>
      <c r="E60">
        <v>8.7499999999999981E-2</v>
      </c>
      <c r="F60">
        <v>1.2499999999999983E-2</v>
      </c>
      <c r="G60">
        <v>2.5833333333333333E-2</v>
      </c>
      <c r="H60">
        <v>7.5000000000000067E-3</v>
      </c>
      <c r="I60">
        <v>-5.8472209889140064E-3</v>
      </c>
      <c r="J60">
        <v>0.12731740286215751</v>
      </c>
      <c r="K60">
        <v>0.3648005059347259</v>
      </c>
      <c r="L60">
        <v>0.24833333333333335</v>
      </c>
      <c r="M60">
        <v>-1.2500000000000011E-2</v>
      </c>
      <c r="N60">
        <v>-0.60018892274800262</v>
      </c>
      <c r="O60">
        <v>-9.6446336402085706E-2</v>
      </c>
      <c r="P60">
        <v>15.93</v>
      </c>
      <c r="Q60">
        <v>-24.502369668246448</v>
      </c>
    </row>
    <row r="61" spans="1:17" x14ac:dyDescent="0.2">
      <c r="A61" s="9">
        <v>43221</v>
      </c>
      <c r="B61">
        <v>1.5632378548125487</v>
      </c>
      <c r="C61">
        <v>3.7741666666666701E-2</v>
      </c>
      <c r="D61">
        <v>-0.10392499999999996</v>
      </c>
      <c r="E61">
        <v>9.1666666666666674E-2</v>
      </c>
      <c r="F61">
        <v>4.1666666666666935E-3</v>
      </c>
      <c r="G61">
        <v>2.0000000000000011E-2</v>
      </c>
      <c r="H61">
        <v>-5.8333333333333223E-3</v>
      </c>
      <c r="I61">
        <v>-1.2723719293014198E-2</v>
      </c>
      <c r="J61">
        <v>-0.371473926792939</v>
      </c>
      <c r="K61">
        <v>0.11950110370141376</v>
      </c>
      <c r="L61">
        <v>0.25416666666666671</v>
      </c>
      <c r="M61">
        <v>5.833333333333357E-3</v>
      </c>
      <c r="N61">
        <v>0.19459024498248212</v>
      </c>
      <c r="O61">
        <v>-9.7197379964390013E-2</v>
      </c>
      <c r="P61">
        <v>15.43</v>
      </c>
      <c r="Q61">
        <v>-2.9559748427672949</v>
      </c>
    </row>
    <row r="62" spans="1:17" x14ac:dyDescent="0.2">
      <c r="A62" s="9">
        <v>43252</v>
      </c>
      <c r="B62">
        <v>0.17050584189129772</v>
      </c>
      <c r="C62">
        <v>3.7558333333333298E-2</v>
      </c>
      <c r="D62">
        <v>-0.11410833333333337</v>
      </c>
      <c r="E62">
        <v>8.5000000000000006E-2</v>
      </c>
      <c r="F62">
        <v>-6.666666666666668E-3</v>
      </c>
      <c r="G62">
        <v>1.8333333333333326E-2</v>
      </c>
      <c r="H62">
        <v>-1.6666666666666843E-3</v>
      </c>
      <c r="I62">
        <v>-9.917266356256893E-3</v>
      </c>
      <c r="J62">
        <v>-0.41320150136606915</v>
      </c>
      <c r="K62">
        <v>-0.10684972027757977</v>
      </c>
      <c r="L62">
        <v>0.24833333333333335</v>
      </c>
      <c r="M62">
        <v>-5.833333333333357E-3</v>
      </c>
      <c r="N62">
        <v>0.45655703468077546</v>
      </c>
      <c r="O62">
        <v>-0.10719882488911479</v>
      </c>
      <c r="P62">
        <v>16.09</v>
      </c>
      <c r="Q62">
        <v>26.295133437990572</v>
      </c>
    </row>
    <row r="63" spans="1:17" x14ac:dyDescent="0.2">
      <c r="A63" s="9">
        <v>43282</v>
      </c>
      <c r="B63">
        <v>1.3282751471537555</v>
      </c>
      <c r="C63">
        <v>3.7874999999999999E-2</v>
      </c>
      <c r="D63">
        <v>-0.12129166666666666</v>
      </c>
      <c r="E63">
        <v>8.3333333333333329E-2</v>
      </c>
      <c r="F63">
        <v>-1.6666666666666774E-3</v>
      </c>
      <c r="G63">
        <v>1.8333333333333326E-2</v>
      </c>
      <c r="H63">
        <v>0</v>
      </c>
      <c r="I63">
        <v>-1.2231328302658828E-2</v>
      </c>
      <c r="J63">
        <v>0.2551971584802315</v>
      </c>
      <c r="K63">
        <v>1.2175973718080435</v>
      </c>
      <c r="L63">
        <v>0.24666666666666665</v>
      </c>
      <c r="M63">
        <v>-1.6666666666667052E-3</v>
      </c>
      <c r="N63">
        <v>-1.5462862384030147</v>
      </c>
      <c r="O63">
        <v>-0.11438041408341804</v>
      </c>
      <c r="P63">
        <v>12.83</v>
      </c>
      <c r="Q63">
        <v>-20.508054522924411</v>
      </c>
    </row>
    <row r="64" spans="1:17" x14ac:dyDescent="0.2">
      <c r="A64" s="9">
        <v>43313</v>
      </c>
      <c r="B64">
        <v>1.3361896540353232E-2</v>
      </c>
      <c r="C64">
        <v>5.7591666666666701E-2</v>
      </c>
      <c r="D64">
        <v>-0.10157499999999994</v>
      </c>
      <c r="E64">
        <v>8.4166666666666667E-2</v>
      </c>
      <c r="F64">
        <v>8.333333333333387E-4</v>
      </c>
      <c r="G64">
        <v>1.4166666666666661E-2</v>
      </c>
      <c r="H64">
        <v>-4.1666666666666657E-3</v>
      </c>
      <c r="I64">
        <v>-1.20733778453469E-2</v>
      </c>
      <c r="J64">
        <v>0.54532839444733927</v>
      </c>
      <c r="K64">
        <v>-0.43424448954232364</v>
      </c>
      <c r="L64">
        <v>0.25166666666666671</v>
      </c>
      <c r="M64">
        <v>5.00000000000006E-3</v>
      </c>
      <c r="N64">
        <v>-0.1744238767493953</v>
      </c>
      <c r="O64">
        <v>-0.11446359462807314</v>
      </c>
      <c r="P64">
        <v>12.86</v>
      </c>
      <c r="Q64">
        <v>14.108251996450761</v>
      </c>
    </row>
    <row r="65" spans="1:17" x14ac:dyDescent="0.2">
      <c r="A65" s="9">
        <v>43344</v>
      </c>
      <c r="B65">
        <v>4.5162099813618559E-2</v>
      </c>
      <c r="C65">
        <v>5.8433333333333302E-2</v>
      </c>
      <c r="D65">
        <v>-0.1040666666666667</v>
      </c>
      <c r="E65">
        <v>8.5833333333333331E-2</v>
      </c>
      <c r="F65">
        <v>1.6666666666666635E-3</v>
      </c>
      <c r="G65">
        <v>1.9166666666666679E-2</v>
      </c>
      <c r="H65">
        <v>5.0000000000000183E-3</v>
      </c>
      <c r="I65">
        <v>-9.8086446960380796E-3</v>
      </c>
      <c r="J65">
        <v>-1.1987084485525838</v>
      </c>
      <c r="K65">
        <v>1.3715713176696176</v>
      </c>
      <c r="L65">
        <v>0.27416666666666667</v>
      </c>
      <c r="M65">
        <v>2.2499999999999964E-2</v>
      </c>
      <c r="N65">
        <v>-0.25511107484785889</v>
      </c>
      <c r="O65">
        <v>-0.11756117525417889</v>
      </c>
      <c r="P65">
        <v>12.12</v>
      </c>
      <c r="Q65">
        <v>-5.7542768273716955</v>
      </c>
    </row>
    <row r="66" spans="1:17" x14ac:dyDescent="0.2">
      <c r="A66" s="9">
        <v>43374</v>
      </c>
      <c r="B66">
        <v>-2.5280472836281653</v>
      </c>
      <c r="C66">
        <v>5.8424999999999998E-2</v>
      </c>
      <c r="D66">
        <v>-0.12407499999999999</v>
      </c>
      <c r="E66">
        <v>9.0833333333333321E-2</v>
      </c>
      <c r="F66">
        <v>4.9999999999999906E-3</v>
      </c>
      <c r="G66">
        <v>1.0833333333333334E-2</v>
      </c>
      <c r="H66">
        <v>-8.3333333333333454E-3</v>
      </c>
      <c r="I66">
        <v>-1.4918192223195084E-2</v>
      </c>
      <c r="J66">
        <v>0.20365796077345244</v>
      </c>
      <c r="K66">
        <v>-1.9838915929323631</v>
      </c>
      <c r="L66">
        <v>0.25166666666666671</v>
      </c>
      <c r="M66">
        <v>-2.2499999999999964E-2</v>
      </c>
      <c r="N66">
        <v>1.6533174418119638</v>
      </c>
      <c r="O66">
        <v>-0.13544972224815049</v>
      </c>
      <c r="P66">
        <v>21.23</v>
      </c>
      <c r="Q66">
        <v>49.296765119549924</v>
      </c>
    </row>
    <row r="67" spans="1:17" x14ac:dyDescent="0.2">
      <c r="A67" s="9">
        <v>43405</v>
      </c>
      <c r="B67">
        <v>-0.85098504001589137</v>
      </c>
      <c r="C67">
        <v>5.8474999999999999E-2</v>
      </c>
      <c r="D67">
        <v>-0.12485833333333335</v>
      </c>
      <c r="E67">
        <v>0.10833333333333332</v>
      </c>
      <c r="F67">
        <v>1.7500000000000002E-2</v>
      </c>
      <c r="G67">
        <v>-1.1666666666666645E-2</v>
      </c>
      <c r="H67">
        <v>-2.2499999999999978E-2</v>
      </c>
      <c r="I67">
        <v>-1.52755157809569E-2</v>
      </c>
      <c r="J67">
        <v>-2.1905269483508447</v>
      </c>
      <c r="K67">
        <v>1.0369147468731188</v>
      </c>
      <c r="L67">
        <v>0.26083333333333331</v>
      </c>
      <c r="M67">
        <v>9.1666666666666008E-3</v>
      </c>
      <c r="N67">
        <v>1.0477623544518608</v>
      </c>
      <c r="O67">
        <v>-0.13496307693437573</v>
      </c>
      <c r="P67">
        <v>18.07</v>
      </c>
      <c r="Q67">
        <v>-7.3808303434136358</v>
      </c>
    </row>
    <row r="68" spans="1:17" x14ac:dyDescent="0.2">
      <c r="A68" s="9">
        <v>43435</v>
      </c>
      <c r="B68">
        <v>-2.5046976641667626</v>
      </c>
      <c r="C68">
        <v>5.8549999999999998E-2</v>
      </c>
      <c r="D68">
        <v>-0.13061666666666669</v>
      </c>
      <c r="E68">
        <v>9.1666666666666688E-2</v>
      </c>
      <c r="F68">
        <v>-1.6666666666666635E-2</v>
      </c>
      <c r="G68">
        <v>-1.6666666666666635E-3</v>
      </c>
      <c r="H68">
        <v>9.9999999999999811E-3</v>
      </c>
      <c r="I68">
        <v>-1.3395336849117756E-2</v>
      </c>
      <c r="J68">
        <v>1.357859374712971</v>
      </c>
      <c r="K68">
        <v>-2.8428133410547285</v>
      </c>
      <c r="L68">
        <v>0.27083333333333331</v>
      </c>
      <c r="M68">
        <v>1.0000000000000009E-2</v>
      </c>
      <c r="N68">
        <v>1.3470752612152472</v>
      </c>
      <c r="O68">
        <v>-0.13759907257012205</v>
      </c>
      <c r="P68">
        <v>25.42</v>
      </c>
      <c r="Q68">
        <v>40.675152185943553</v>
      </c>
    </row>
    <row r="69" spans="1:17" x14ac:dyDescent="0.2">
      <c r="A69" s="9">
        <v>43678</v>
      </c>
      <c r="B69">
        <v>-1.2793531068196276</v>
      </c>
      <c r="C69">
        <v>5.9174999999999998E-2</v>
      </c>
      <c r="D69">
        <v>-0.11832499999999999</v>
      </c>
      <c r="E69">
        <v>5.5833333333333332E-2</v>
      </c>
      <c r="F69">
        <v>-3.5833333333333356E-2</v>
      </c>
      <c r="G69">
        <v>-3.9166666666666669E-2</v>
      </c>
      <c r="H69">
        <v>-3.7500000000000006E-2</v>
      </c>
      <c r="I69">
        <v>-6.199704069011866E-3</v>
      </c>
      <c r="J69">
        <v>1.0678641457547986</v>
      </c>
      <c r="K69">
        <v>-0.55883132638731015</v>
      </c>
      <c r="L69">
        <v>0.29166666666666669</v>
      </c>
      <c r="M69">
        <v>2.083333333333337E-2</v>
      </c>
      <c r="N69">
        <v>-0.41180114317989069</v>
      </c>
      <c r="O69">
        <v>-0.13176821020656204</v>
      </c>
      <c r="P69">
        <v>18.98</v>
      </c>
      <c r="Q69">
        <v>-22.814152094347296</v>
      </c>
    </row>
    <row r="70" spans="1:17" x14ac:dyDescent="0.2">
      <c r="A70" s="9">
        <v>43709</v>
      </c>
      <c r="B70">
        <v>1.3201728926043841</v>
      </c>
      <c r="C70">
        <v>5.9150000000000001E-2</v>
      </c>
      <c r="D70">
        <v>-0.11085</v>
      </c>
      <c r="E70">
        <v>5.8333333333333334E-2</v>
      </c>
      <c r="F70">
        <v>2.5000000000000022E-3</v>
      </c>
      <c r="G70">
        <v>-2.8333333333333325E-2</v>
      </c>
      <c r="H70">
        <v>1.0833333333333344E-2</v>
      </c>
      <c r="I70">
        <v>-1.0238465123027649E-2</v>
      </c>
      <c r="J70">
        <v>-4.062169850005945E-3</v>
      </c>
      <c r="K70">
        <v>-9.4699686076826772E-2</v>
      </c>
      <c r="L70">
        <v>0.29749999999999999</v>
      </c>
      <c r="M70">
        <v>5.8333333333333015E-3</v>
      </c>
      <c r="N70">
        <v>9.9160579558002837E-2</v>
      </c>
      <c r="O70">
        <v>-0.12543492694547168</v>
      </c>
      <c r="P70">
        <v>16.239999999999998</v>
      </c>
      <c r="Q70">
        <v>-17.395727365208558</v>
      </c>
    </row>
    <row r="71" spans="1:17" x14ac:dyDescent="0.2">
      <c r="A71" s="9">
        <v>43739</v>
      </c>
      <c r="B71">
        <v>-0.83998798555617005</v>
      </c>
      <c r="C71">
        <v>5.9233333333333298E-2</v>
      </c>
      <c r="D71">
        <v>-9.3266666666666692E-2</v>
      </c>
      <c r="E71">
        <v>5.9999999999999991E-2</v>
      </c>
      <c r="F71">
        <v>1.6666666666666566E-3</v>
      </c>
      <c r="G71">
        <v>-2.9999999999999992E-2</v>
      </c>
      <c r="H71">
        <v>-1.666666666666667E-3</v>
      </c>
      <c r="I71">
        <v>-8.908615231072961E-3</v>
      </c>
      <c r="J71">
        <v>-0.25340601070870289</v>
      </c>
      <c r="K71">
        <v>0.317072489829473</v>
      </c>
      <c r="L71">
        <v>0.25416666666666665</v>
      </c>
      <c r="M71">
        <v>-4.3333333333333335E-2</v>
      </c>
      <c r="N71">
        <v>-0.10565290663764049</v>
      </c>
      <c r="O71">
        <v>-0.10713246554364471</v>
      </c>
      <c r="P71">
        <v>13.22</v>
      </c>
      <c r="Q71">
        <v>-22.417840375586849</v>
      </c>
    </row>
    <row r="72" spans="1:17" x14ac:dyDescent="0.2">
      <c r="A72" s="9">
        <v>43770</v>
      </c>
      <c r="B72">
        <v>1.3072997744824202</v>
      </c>
      <c r="C72">
        <v>5.92083333333333E-2</v>
      </c>
      <c r="D72">
        <v>-6.9958333333333372E-2</v>
      </c>
      <c r="E72">
        <v>5.9166666666666666E-2</v>
      </c>
      <c r="F72">
        <v>-8.3333333333332482E-4</v>
      </c>
      <c r="G72">
        <v>-2.9166666666666653E-2</v>
      </c>
      <c r="H72">
        <v>8.333333333333387E-4</v>
      </c>
      <c r="I72">
        <v>-6.6413448869981281E-3</v>
      </c>
      <c r="J72">
        <v>-0.20371933742089599</v>
      </c>
      <c r="K72">
        <v>0.85689699896590588</v>
      </c>
      <c r="L72">
        <v>0.245</v>
      </c>
      <c r="M72">
        <v>-9.1666666666666563E-3</v>
      </c>
      <c r="N72">
        <v>-0.65760377974441342</v>
      </c>
      <c r="O72">
        <v>-8.4952746399553788E-2</v>
      </c>
      <c r="P72">
        <v>12.62</v>
      </c>
      <c r="Q72">
        <v>2.6016260162601501</v>
      </c>
    </row>
    <row r="73" spans="1:17" x14ac:dyDescent="0.2">
      <c r="A73" s="9">
        <v>43800</v>
      </c>
      <c r="B73">
        <v>0.79930043255834871</v>
      </c>
      <c r="C73">
        <v>5.9174999999999998E-2</v>
      </c>
      <c r="D73">
        <v>-6.9991666666666674E-2</v>
      </c>
      <c r="E73">
        <v>6.7500000000000004E-2</v>
      </c>
      <c r="F73">
        <v>8.3333333333333384E-3</v>
      </c>
      <c r="G73">
        <v>-1.9166666666666686E-2</v>
      </c>
      <c r="H73">
        <v>9.9999999999999672E-3</v>
      </c>
      <c r="I73">
        <v>-8.9940034209897365E-3</v>
      </c>
      <c r="J73">
        <v>-6.8036926882462212E-2</v>
      </c>
      <c r="K73">
        <v>1.3570891258576023</v>
      </c>
      <c r="L73">
        <v>0.2475</v>
      </c>
      <c r="M73">
        <v>2.5000000000000022E-3</v>
      </c>
      <c r="N73">
        <v>-1.3189174099723493</v>
      </c>
      <c r="O73">
        <v>-8.5263299733050496E-2</v>
      </c>
      <c r="P73">
        <v>13.78</v>
      </c>
      <c r="Q73">
        <v>-13.659147869674193</v>
      </c>
    </row>
    <row r="74" spans="1:17" x14ac:dyDescent="0.2">
      <c r="A74" s="9">
        <v>43831</v>
      </c>
      <c r="B74">
        <v>-2.1093949631446327E-2</v>
      </c>
      <c r="C74">
        <v>5.9275000000000001E-2</v>
      </c>
      <c r="D74">
        <v>-6.9891666666666685E-2</v>
      </c>
      <c r="E74">
        <v>5.1666666666666666E-2</v>
      </c>
      <c r="F74">
        <v>-1.5833333333333338E-2</v>
      </c>
      <c r="G74">
        <v>-3.1666666666666662E-2</v>
      </c>
      <c r="H74">
        <v>-1.2499999999999976E-2</v>
      </c>
      <c r="I74">
        <v>-4.5354667291070891E-3</v>
      </c>
      <c r="J74">
        <v>3.0998066900760599</v>
      </c>
      <c r="K74">
        <v>-3.539923676741219</v>
      </c>
      <c r="L74">
        <v>0.24666666666666665</v>
      </c>
      <c r="M74">
        <v>-8.3333333333335258E-4</v>
      </c>
      <c r="N74">
        <v>0.43422952792831127</v>
      </c>
      <c r="O74">
        <v>-8.8974929788766394E-2</v>
      </c>
      <c r="P74">
        <v>18.84</v>
      </c>
      <c r="Q74">
        <v>34.379457917261071</v>
      </c>
    </row>
    <row r="75" spans="1:17" x14ac:dyDescent="0.2">
      <c r="A75" s="9">
        <v>43862</v>
      </c>
      <c r="B75">
        <v>-4.1526948243374111</v>
      </c>
      <c r="C75">
        <v>5.9200000000000003E-2</v>
      </c>
      <c r="D75">
        <v>-7.2466666666666679E-2</v>
      </c>
      <c r="E75">
        <v>5.333333333333333E-2</v>
      </c>
      <c r="F75">
        <v>1.6666666666666635E-3</v>
      </c>
      <c r="G75">
        <v>-3.1666666666666649E-2</v>
      </c>
      <c r="H75">
        <v>0</v>
      </c>
      <c r="I75">
        <v>-4.3487890342807471E-3</v>
      </c>
      <c r="J75">
        <v>-1.5756409548922983</v>
      </c>
      <c r="K75">
        <v>0.14747498379189539</v>
      </c>
      <c r="L75">
        <v>0.23416666666666663</v>
      </c>
      <c r="M75">
        <v>-1.2500000000000011E-2</v>
      </c>
      <c r="N75">
        <v>1.3989331437280539</v>
      </c>
      <c r="O75">
        <v>-9.381758495978551E-2</v>
      </c>
      <c r="P75">
        <v>40.11</v>
      </c>
      <c r="Q75">
        <v>112.8980891719745</v>
      </c>
    </row>
    <row r="76" spans="1:17" x14ac:dyDescent="0.2">
      <c r="A76" s="9">
        <v>43891</v>
      </c>
      <c r="B76">
        <v>-7.0047284893671877</v>
      </c>
      <c r="C76">
        <v>2.6599999999999999E-2</v>
      </c>
      <c r="D76">
        <v>-2.756666666666667E-2</v>
      </c>
      <c r="E76">
        <v>5.9166666666666673E-2</v>
      </c>
      <c r="F76">
        <v>5.8333333333333431E-3</v>
      </c>
      <c r="G76">
        <v>-2.416666666666667E-2</v>
      </c>
      <c r="H76">
        <v>7.4999999999999789E-3</v>
      </c>
      <c r="I76">
        <v>-2.4332551984719668E-3</v>
      </c>
      <c r="J76">
        <v>-6.5893968100260576</v>
      </c>
      <c r="K76">
        <v>-5.8362258756493999</v>
      </c>
      <c r="L76">
        <v>0.22166666666666665</v>
      </c>
      <c r="M76">
        <v>-1.2499999999999983E-2</v>
      </c>
      <c r="N76">
        <v>12.216042233728871</v>
      </c>
      <c r="O76">
        <v>-1.0308169042051105E-2</v>
      </c>
      <c r="P76">
        <v>53.54</v>
      </c>
      <c r="Q76">
        <v>67.3648015004689</v>
      </c>
    </row>
    <row r="77" spans="1:17" x14ac:dyDescent="0.2">
      <c r="A77" s="9">
        <v>43922</v>
      </c>
      <c r="B77">
        <v>4.5018822436456931</v>
      </c>
      <c r="C77">
        <v>5.4916666666666699E-3</v>
      </c>
      <c r="D77">
        <v>1.3250000000000033E-3</v>
      </c>
      <c r="E77">
        <v>4.7500000000000001E-2</v>
      </c>
      <c r="F77">
        <v>-1.1666666666666672E-2</v>
      </c>
      <c r="G77">
        <v>-1.4166666666666668E-2</v>
      </c>
      <c r="H77">
        <v>1.0000000000000002E-2</v>
      </c>
      <c r="I77">
        <v>-5.8882272840911614E-3</v>
      </c>
      <c r="J77">
        <v>7.3665586735762902</v>
      </c>
      <c r="K77">
        <v>-1.8361631559271725</v>
      </c>
      <c r="L77">
        <v>0.20416666666666666</v>
      </c>
      <c r="M77">
        <v>-1.7499999999999988E-2</v>
      </c>
      <c r="N77">
        <v>-5.4985096206098296</v>
      </c>
      <c r="O77">
        <v>3.5888000903884977E-2</v>
      </c>
      <c r="P77">
        <v>34.15</v>
      </c>
      <c r="Q77">
        <v>-32.920840699273221</v>
      </c>
    </row>
    <row r="78" spans="1:17" x14ac:dyDescent="0.2">
      <c r="A78" s="9">
        <v>43952</v>
      </c>
      <c r="B78">
        <v>2.7070180675265525</v>
      </c>
      <c r="C78">
        <v>5.61666666666667E-3</v>
      </c>
      <c r="D78">
        <v>1.4500000000000034E-3</v>
      </c>
      <c r="E78">
        <v>5.4166666666666662E-2</v>
      </c>
      <c r="F78">
        <v>6.666666666666661E-3</v>
      </c>
      <c r="G78">
        <v>-1.5833333333333331E-2</v>
      </c>
      <c r="H78">
        <v>-1.6666666666666635E-3</v>
      </c>
      <c r="I78">
        <v>-4.0150322329618173E-3</v>
      </c>
      <c r="J78">
        <v>1.0916617932992878</v>
      </c>
      <c r="K78">
        <v>2.2070644970271109</v>
      </c>
      <c r="L78">
        <v>0.23416666666666663</v>
      </c>
      <c r="M78">
        <v>2.9999999999999971E-2</v>
      </c>
      <c r="N78">
        <v>-3.2444938645392751</v>
      </c>
      <c r="O78">
        <v>3.1773003461072785E-2</v>
      </c>
      <c r="P78">
        <v>27.51</v>
      </c>
      <c r="Q78">
        <v>-26.028502285560627</v>
      </c>
    </row>
    <row r="79" spans="1:17" x14ac:dyDescent="0.2">
      <c r="A79" s="9">
        <v>43983</v>
      </c>
      <c r="B79">
        <v>1.4570599695124704</v>
      </c>
      <c r="C79">
        <v>5.3833333333333303E-3</v>
      </c>
      <c r="D79">
        <v>-1.2833333333333368E-3</v>
      </c>
      <c r="E79">
        <v>6.25E-2</v>
      </c>
      <c r="F79">
        <v>8.3333333333333384E-3</v>
      </c>
      <c r="G79">
        <v>-1.5833333333333331E-2</v>
      </c>
      <c r="H79">
        <v>0</v>
      </c>
      <c r="I79">
        <v>-4.8942915124589922E-3</v>
      </c>
      <c r="J79">
        <v>1.0163751457846373</v>
      </c>
      <c r="K79">
        <v>1.8472120973034301E-2</v>
      </c>
      <c r="L79">
        <v>0.22166666666666665</v>
      </c>
      <c r="M79">
        <v>-1.2499999999999983E-2</v>
      </c>
      <c r="N79">
        <v>-0.97250002344103259</v>
      </c>
      <c r="O79">
        <v>2.5294955844004242E-2</v>
      </c>
      <c r="P79">
        <v>30.43</v>
      </c>
      <c r="Q79">
        <v>18.589243959469993</v>
      </c>
    </row>
    <row r="80" spans="1:17" x14ac:dyDescent="0.2">
      <c r="A80" s="9">
        <v>44013</v>
      </c>
      <c r="B80">
        <v>-0.45287219230992509</v>
      </c>
      <c r="C80">
        <v>4.9916666666666703E-3</v>
      </c>
      <c r="D80">
        <v>-2.5083333333333294E-3</v>
      </c>
      <c r="E80">
        <v>6.25E-2</v>
      </c>
      <c r="F80">
        <v>0</v>
      </c>
      <c r="G80">
        <v>-1.9166666666666665E-2</v>
      </c>
      <c r="H80">
        <v>-3.333333333333334E-3</v>
      </c>
      <c r="I80">
        <v>-4.2344067512649569E-3</v>
      </c>
      <c r="J80">
        <v>2.1435700279400138</v>
      </c>
      <c r="K80">
        <v>0.80872711750215043</v>
      </c>
      <c r="L80">
        <v>0.23666666666666669</v>
      </c>
      <c r="M80">
        <v>1.5000000000000041E-2</v>
      </c>
      <c r="N80">
        <v>-2.91622485577851</v>
      </c>
      <c r="O80">
        <v>2.3330759678919791E-2</v>
      </c>
      <c r="P80">
        <v>24.46</v>
      </c>
      <c r="Q80">
        <v>-12.455261274158913</v>
      </c>
    </row>
    <row r="81" spans="1:17" x14ac:dyDescent="0.2">
      <c r="A81" s="9">
        <v>44044</v>
      </c>
      <c r="B81">
        <v>1.4746501612318974</v>
      </c>
      <c r="C81">
        <v>4.6833333333333301E-3</v>
      </c>
      <c r="D81">
        <v>-3.6500000000000031E-3</v>
      </c>
      <c r="E81">
        <v>0.08</v>
      </c>
      <c r="F81">
        <v>1.7500000000000002E-2</v>
      </c>
      <c r="G81">
        <v>-1.0000000000000012E-2</v>
      </c>
      <c r="H81">
        <v>9.1666666666666528E-3</v>
      </c>
      <c r="I81">
        <v>-3.0416145710278285E-3</v>
      </c>
      <c r="J81">
        <v>-1.204767361587278</v>
      </c>
      <c r="K81">
        <v>2.3464636229931113</v>
      </c>
      <c r="L81">
        <v>0.25916666666666666</v>
      </c>
      <c r="M81">
        <v>2.2499999999999964E-2</v>
      </c>
      <c r="N81">
        <v>-1.0912706668086227</v>
      </c>
      <c r="O81">
        <v>2.0724772066794232E-2</v>
      </c>
      <c r="P81">
        <v>26.41</v>
      </c>
      <c r="Q81">
        <v>11.153198653198636</v>
      </c>
    </row>
    <row r="82" spans="1:17" x14ac:dyDescent="0.2">
      <c r="A82" s="9">
        <v>44075</v>
      </c>
      <c r="B82">
        <v>-0.32059917407416511</v>
      </c>
      <c r="C82">
        <v>4.55833333333333E-3</v>
      </c>
      <c r="D82">
        <v>-2.9416666666666697E-3</v>
      </c>
      <c r="E82">
        <v>7.0833333333333331E-2</v>
      </c>
      <c r="F82">
        <v>-9.1666666666666702E-3</v>
      </c>
      <c r="G82">
        <v>-1.4166666666666661E-2</v>
      </c>
      <c r="H82">
        <v>-4.1666666666666484E-3</v>
      </c>
      <c r="I82">
        <v>-1.4472037876856383E-3</v>
      </c>
      <c r="J82">
        <v>-1.9469169716171044E-3</v>
      </c>
      <c r="K82">
        <v>-1.1564681473968275</v>
      </c>
      <c r="L82">
        <v>0.25416666666666665</v>
      </c>
      <c r="M82">
        <v>-5.0000000000000044E-3</v>
      </c>
      <c r="N82">
        <v>1.1469974795813214</v>
      </c>
      <c r="O82">
        <v>2.1684226295120613E-2</v>
      </c>
      <c r="P82">
        <v>26.37</v>
      </c>
      <c r="Q82">
        <v>-0.75272864132479578</v>
      </c>
    </row>
    <row r="83" spans="1:17" x14ac:dyDescent="0.2">
      <c r="A83" s="9">
        <v>44105</v>
      </c>
      <c r="B83">
        <v>-1.9001782009329338</v>
      </c>
      <c r="C83">
        <v>4.4833333333333296E-3</v>
      </c>
      <c r="D83">
        <v>-3.0166666666666701E-3</v>
      </c>
      <c r="E83">
        <v>7.4166666666666659E-2</v>
      </c>
      <c r="F83">
        <v>3.333333333333327E-3</v>
      </c>
      <c r="G83">
        <v>-1.2500000000000001E-2</v>
      </c>
      <c r="H83">
        <v>1.6666666666666601E-3</v>
      </c>
      <c r="I83">
        <v>-2.3886032678280852E-3</v>
      </c>
      <c r="J83">
        <v>0.28979934223811843</v>
      </c>
      <c r="K83">
        <v>-0.29438125372986956</v>
      </c>
      <c r="L83">
        <v>0.2583333333333333</v>
      </c>
      <c r="M83">
        <v>4.1666666666666519E-3</v>
      </c>
      <c r="N83">
        <v>1.4942327565881319E-2</v>
      </c>
      <c r="O83">
        <v>2.0831420725103439E-2</v>
      </c>
      <c r="P83">
        <v>38.020000000000003</v>
      </c>
      <c r="Q83">
        <v>35.979971387696708</v>
      </c>
    </row>
    <row r="84" spans="1:17" x14ac:dyDescent="0.2">
      <c r="A84" s="9">
        <v>44136</v>
      </c>
      <c r="B84">
        <v>5.5867022964527608</v>
      </c>
      <c r="C84">
        <v>4.4749999999999998E-3</v>
      </c>
      <c r="D84">
        <v>-3.0249999999999999E-3</v>
      </c>
      <c r="E84">
        <v>7.2499999999999995E-2</v>
      </c>
      <c r="F84">
        <v>-1.6666666666666635E-3</v>
      </c>
      <c r="G84">
        <v>-9.1666666666666667E-3</v>
      </c>
      <c r="H84">
        <v>3.333333333333334E-3</v>
      </c>
      <c r="I84">
        <v>-1.5170889146502043E-3</v>
      </c>
      <c r="J84">
        <v>2.3639052440224098</v>
      </c>
      <c r="K84">
        <v>1.8226438096626829</v>
      </c>
      <c r="L84">
        <v>0.25916666666666666</v>
      </c>
      <c r="M84">
        <v>8.3333333333335258E-4</v>
      </c>
      <c r="N84">
        <v>-4.1583515919665963</v>
      </c>
      <c r="O84">
        <v>1.9407166846177701E-2</v>
      </c>
      <c r="P84">
        <v>20.57</v>
      </c>
      <c r="Q84">
        <v>-44.600053864799364</v>
      </c>
    </row>
    <row r="85" spans="1:17" x14ac:dyDescent="0.2">
      <c r="A85" s="9">
        <v>44166</v>
      </c>
      <c r="B85">
        <v>1.8519535193189707</v>
      </c>
      <c r="C85">
        <v>4.1000000000000003E-3</v>
      </c>
      <c r="D85">
        <v>-3.3999999999999994E-3</v>
      </c>
      <c r="E85">
        <v>6.9999999999999993E-2</v>
      </c>
      <c r="F85">
        <v>-2.5000000000000022E-3</v>
      </c>
      <c r="G85">
        <v>-1.166666666666666E-2</v>
      </c>
      <c r="H85">
        <v>-2.4999999999999935E-3</v>
      </c>
      <c r="I85">
        <v>-5.8648270692992222E-3</v>
      </c>
      <c r="J85">
        <v>1.5490140567033936</v>
      </c>
      <c r="K85">
        <v>-0.3626082423971444</v>
      </c>
      <c r="L85">
        <v>0.24916666666666665</v>
      </c>
      <c r="M85">
        <v>-1.0000000000000009E-2</v>
      </c>
      <c r="N85">
        <v>-1.1458441665296273</v>
      </c>
      <c r="O85">
        <v>1.797282907252707E-2</v>
      </c>
      <c r="P85">
        <v>22.75</v>
      </c>
      <c r="Q85">
        <v>6.9078947368421018</v>
      </c>
    </row>
    <row r="86" spans="1:17" x14ac:dyDescent="0.2">
      <c r="A86" s="9">
        <v>44197</v>
      </c>
      <c r="B86">
        <v>-0.72114034769675106</v>
      </c>
      <c r="C86">
        <v>4.1166666666666704E-3</v>
      </c>
      <c r="D86">
        <v>-3.3833333333333293E-3</v>
      </c>
      <c r="E86">
        <v>0.08</v>
      </c>
      <c r="F86">
        <v>1.0000000000000009E-2</v>
      </c>
      <c r="G86">
        <v>-4.9999999999999984E-3</v>
      </c>
      <c r="H86">
        <v>6.6666666666666619E-3</v>
      </c>
      <c r="I86">
        <v>-5.0069378650572927E-3</v>
      </c>
      <c r="J86">
        <v>-1.6477775578392471</v>
      </c>
      <c r="K86">
        <v>1.7138577640576136</v>
      </c>
      <c r="L86">
        <v>0.26833333333333331</v>
      </c>
      <c r="M86">
        <v>1.9166666666666665E-2</v>
      </c>
      <c r="N86">
        <v>-4.6488544479532212E-2</v>
      </c>
      <c r="O86">
        <v>2.0305393230950673E-2</v>
      </c>
      <c r="P86">
        <v>33.090000000000003</v>
      </c>
      <c r="Q86">
        <v>45.450549450549474</v>
      </c>
    </row>
    <row r="87" spans="1:17" x14ac:dyDescent="0.2">
      <c r="A87" s="9">
        <v>44228</v>
      </c>
      <c r="B87">
        <v>-2.8872892422191813E-2</v>
      </c>
      <c r="C87">
        <v>4.0499999999999998E-3</v>
      </c>
      <c r="D87">
        <v>-2.6166666666666673E-3</v>
      </c>
      <c r="E87">
        <v>9.9999999999999992E-2</v>
      </c>
      <c r="F87">
        <v>1.999999999999999E-2</v>
      </c>
      <c r="G87">
        <v>1.8333333333333354E-2</v>
      </c>
      <c r="H87">
        <v>2.3333333333333352E-2</v>
      </c>
      <c r="I87">
        <v>-3.358150988314882E-3</v>
      </c>
      <c r="J87">
        <v>-3.4798493915758022</v>
      </c>
      <c r="K87">
        <v>3.5452104912514049</v>
      </c>
      <c r="L87">
        <v>0.27916666666666667</v>
      </c>
      <c r="M87">
        <v>1.0833333333333361E-2</v>
      </c>
      <c r="N87">
        <v>-7.8358488974022089E-2</v>
      </c>
      <c r="O87">
        <v>2.342098007626912E-2</v>
      </c>
      <c r="P87">
        <v>27.95</v>
      </c>
      <c r="Q87">
        <v>-15.533393774554261</v>
      </c>
    </row>
    <row r="88" spans="1:17" x14ac:dyDescent="0.2">
      <c r="A88" s="9">
        <v>44256</v>
      </c>
      <c r="B88">
        <v>2.1554149374730458</v>
      </c>
      <c r="C88">
        <v>4.0499999999999998E-3</v>
      </c>
      <c r="D88">
        <v>-1.7833333333333338E-3</v>
      </c>
      <c r="E88">
        <v>0.10416666666666666</v>
      </c>
      <c r="F88">
        <v>4.1666666666666657E-3</v>
      </c>
      <c r="G88">
        <v>2.416666666666667E-2</v>
      </c>
      <c r="H88">
        <v>5.8333333333333154E-3</v>
      </c>
      <c r="I88">
        <v>-5.950212529785592E-3</v>
      </c>
      <c r="J88">
        <v>1.7190145145590065E-2</v>
      </c>
      <c r="K88">
        <v>0.64558840513078142</v>
      </c>
      <c r="L88">
        <v>0.29916666666666664</v>
      </c>
      <c r="M88">
        <v>1.9999999999999962E-2</v>
      </c>
      <c r="N88">
        <v>-0.69260541036168899</v>
      </c>
      <c r="O88">
        <v>2.6950128929828499E-2</v>
      </c>
      <c r="P88">
        <v>19.399999999999999</v>
      </c>
      <c r="Q88">
        <v>-32.096604830241517</v>
      </c>
    </row>
    <row r="89" spans="1:17" x14ac:dyDescent="0.2">
      <c r="A89" s="9">
        <v>44287</v>
      </c>
      <c r="B89">
        <v>2.3109716137805942</v>
      </c>
      <c r="C89">
        <v>4.0499999999999998E-3</v>
      </c>
      <c r="D89">
        <v>-1.7833333333333338E-3</v>
      </c>
      <c r="E89">
        <v>9.8333333333333328E-2</v>
      </c>
      <c r="F89">
        <v>-5.8333333333333293E-3</v>
      </c>
      <c r="G89">
        <v>2.8333333333333328E-2</v>
      </c>
      <c r="H89">
        <v>4.1666666666666588E-3</v>
      </c>
      <c r="I89">
        <v>-8.2368361016292892E-3</v>
      </c>
      <c r="J89">
        <v>0.3804319559628988</v>
      </c>
      <c r="K89">
        <v>0.2076270122115198</v>
      </c>
      <c r="L89">
        <v>0.28583333333333333</v>
      </c>
      <c r="M89">
        <v>-1.3333333333333308E-2</v>
      </c>
      <c r="N89">
        <v>-0.56639994712204866</v>
      </c>
      <c r="O89">
        <v>2.7583903775516578E-2</v>
      </c>
      <c r="P89">
        <v>18.61</v>
      </c>
      <c r="Q89">
        <v>3.9084310441094283</v>
      </c>
    </row>
    <row r="90" spans="1:17" x14ac:dyDescent="0.2">
      <c r="A90" s="9">
        <v>44317</v>
      </c>
      <c r="B90">
        <v>0.25176219913533959</v>
      </c>
      <c r="C90">
        <v>4.1250000000000002E-3</v>
      </c>
      <c r="D90">
        <v>-8.7499999999999991E-4</v>
      </c>
      <c r="E90">
        <v>9.9166666666666667E-2</v>
      </c>
      <c r="F90">
        <v>8.333333333333387E-4</v>
      </c>
      <c r="G90">
        <v>2.583333333333334E-2</v>
      </c>
      <c r="H90">
        <v>-2.4999999999999883E-3</v>
      </c>
      <c r="I90">
        <v>-9.1745447648415804E-3</v>
      </c>
      <c r="J90">
        <v>0.31001431749484604</v>
      </c>
      <c r="K90">
        <v>5.0473223425639979E-2</v>
      </c>
      <c r="L90">
        <v>0.30583333333333329</v>
      </c>
      <c r="M90">
        <v>1.9999999999999962E-2</v>
      </c>
      <c r="N90">
        <v>-0.38856945911305885</v>
      </c>
      <c r="O90">
        <v>3.0647480393265949E-2</v>
      </c>
      <c r="P90">
        <v>16.760000000000002</v>
      </c>
      <c r="Q90">
        <v>-8.4653194975423123</v>
      </c>
    </row>
    <row r="91" spans="1:17" x14ac:dyDescent="0.2">
      <c r="A91" s="9">
        <v>44348</v>
      </c>
      <c r="B91">
        <v>1.1935119946777377</v>
      </c>
      <c r="C91">
        <v>4.15E-3</v>
      </c>
      <c r="D91">
        <v>-2.5166666666666671E-3</v>
      </c>
      <c r="E91">
        <v>9.0833333333333321E-2</v>
      </c>
      <c r="F91">
        <v>-8.3333333333333454E-3</v>
      </c>
      <c r="G91">
        <v>1.7499999999999995E-2</v>
      </c>
      <c r="H91">
        <v>-8.3333333333333454E-3</v>
      </c>
      <c r="I91">
        <v>-1.1149958295093371E-2</v>
      </c>
      <c r="J91">
        <v>0.85502216530240871</v>
      </c>
      <c r="K91">
        <v>-0.11176746123985337</v>
      </c>
      <c r="L91">
        <v>0.27750000000000002</v>
      </c>
      <c r="M91">
        <v>-2.8333333333333266E-2</v>
      </c>
      <c r="N91">
        <v>-0.76028132124532877</v>
      </c>
      <c r="O91">
        <v>3.0790073121746371E-2</v>
      </c>
      <c r="P91">
        <v>15.83</v>
      </c>
      <c r="Q91">
        <v>-12.25055432372505</v>
      </c>
    </row>
    <row r="92" spans="1:17" x14ac:dyDescent="0.2">
      <c r="A92" s="9">
        <v>44378</v>
      </c>
      <c r="B92">
        <v>1.088562294937061</v>
      </c>
      <c r="C92">
        <v>4.2166666666666698E-3</v>
      </c>
      <c r="D92">
        <v>-4.1166666666666634E-3</v>
      </c>
      <c r="E92">
        <v>7.3333333333333334E-2</v>
      </c>
      <c r="F92">
        <v>-1.7499999999999988E-2</v>
      </c>
      <c r="G92">
        <v>1.1666666666666664E-2</v>
      </c>
      <c r="H92">
        <v>-5.833333333333331E-3</v>
      </c>
      <c r="I92">
        <v>-1.3874012264010744E-2</v>
      </c>
      <c r="J92">
        <v>1.6132309956574875</v>
      </c>
      <c r="K92">
        <v>-1.2141149693233988</v>
      </c>
      <c r="L92">
        <v>0.29499999999999998</v>
      </c>
      <c r="M92">
        <v>1.749999999999996E-2</v>
      </c>
      <c r="N92">
        <v>-0.39678061822529287</v>
      </c>
      <c r="O92">
        <v>2.9321909357005613E-2</v>
      </c>
      <c r="P92">
        <v>18.239999999999998</v>
      </c>
      <c r="Q92">
        <v>21.03516921035169</v>
      </c>
    </row>
    <row r="93" spans="1:17" x14ac:dyDescent="0.2">
      <c r="A93" s="9">
        <v>44409</v>
      </c>
      <c r="B93">
        <v>1.4799167353491935</v>
      </c>
      <c r="C93">
        <v>4.1999999999999997E-3</v>
      </c>
      <c r="D93">
        <v>-3.3E-3</v>
      </c>
      <c r="E93">
        <v>7.4166666666666672E-2</v>
      </c>
      <c r="F93">
        <v>8.333333333333387E-4</v>
      </c>
      <c r="G93">
        <v>9.1666666666666598E-3</v>
      </c>
      <c r="H93">
        <v>-2.500000000000004E-3</v>
      </c>
      <c r="I93">
        <v>-1.2328797096208044E-2</v>
      </c>
      <c r="J93">
        <v>-0.22870458134476115</v>
      </c>
      <c r="K93">
        <v>0.60800017659061734</v>
      </c>
      <c r="L93">
        <v>0.30249999999999999</v>
      </c>
      <c r="M93">
        <v>7.5000000000000067E-3</v>
      </c>
      <c r="N93">
        <v>-0.39129536353526051</v>
      </c>
      <c r="O93">
        <v>3.0637733069612587E-2</v>
      </c>
      <c r="P93">
        <v>16.48</v>
      </c>
      <c r="Q93">
        <v>-8.2915971062882505</v>
      </c>
    </row>
    <row r="94" spans="1:17" x14ac:dyDescent="0.2">
      <c r="A94" s="9">
        <v>44440</v>
      </c>
      <c r="B94">
        <v>-1.3312319193447704</v>
      </c>
      <c r="C94">
        <v>4.1666666666666701E-3</v>
      </c>
      <c r="D94">
        <v>-2.499999999999997E-3</v>
      </c>
      <c r="E94">
        <v>8.249999999999999E-2</v>
      </c>
      <c r="F94">
        <v>8.3333333333333176E-3</v>
      </c>
      <c r="G94">
        <v>1.7500000000000016E-2</v>
      </c>
      <c r="H94">
        <v>8.3333333333333558E-3</v>
      </c>
      <c r="I94">
        <v>-1.5283685008794033E-2</v>
      </c>
      <c r="J94">
        <v>-2.8087660797989829</v>
      </c>
      <c r="K94">
        <v>2.3880157139173019</v>
      </c>
      <c r="L94">
        <v>0.34833333333333338</v>
      </c>
      <c r="M94">
        <v>4.5833333333333393E-2</v>
      </c>
      <c r="N94">
        <v>0.36385378925894352</v>
      </c>
      <c r="O94">
        <v>3.2795326355558589E-2</v>
      </c>
      <c r="P94">
        <v>23.14</v>
      </c>
      <c r="Q94">
        <v>41.011578305911023</v>
      </c>
    </row>
    <row r="95" spans="1:17" x14ac:dyDescent="0.2">
      <c r="A95" s="9">
        <v>44470</v>
      </c>
      <c r="B95">
        <v>1.7130121087748451</v>
      </c>
      <c r="C95">
        <v>4.1833333333333297E-3</v>
      </c>
      <c r="D95">
        <v>-2.4833333333333374E-3</v>
      </c>
      <c r="E95">
        <v>0.04</v>
      </c>
      <c r="F95">
        <v>-4.2499999999999989E-2</v>
      </c>
      <c r="G95">
        <v>1.5000000000000006E-2</v>
      </c>
      <c r="H95">
        <v>-2.5000000000000092E-3</v>
      </c>
      <c r="I95">
        <v>-3.1344600967086599E-2</v>
      </c>
      <c r="J95">
        <v>0.69722145982741013</v>
      </c>
      <c r="K95">
        <v>-0.95978367877529447</v>
      </c>
      <c r="L95">
        <v>0.37249999999999994</v>
      </c>
      <c r="M95">
        <v>2.4166666666666559E-2</v>
      </c>
      <c r="N95">
        <v>0.19674981605092023</v>
      </c>
      <c r="O95">
        <v>3.4338042708368363E-2</v>
      </c>
      <c r="P95">
        <v>16.260000000000002</v>
      </c>
      <c r="Q95">
        <v>-29.181184668989545</v>
      </c>
    </row>
    <row r="96" spans="1:17" x14ac:dyDescent="0.2">
      <c r="A96" s="9">
        <v>44501</v>
      </c>
      <c r="B96">
        <v>0.3416951439283733</v>
      </c>
      <c r="C96">
        <v>3.8999999999999998E-3</v>
      </c>
      <c r="D96">
        <v>-2.7666666666666673E-3</v>
      </c>
      <c r="E96">
        <v>4.1666666666666664E-2</v>
      </c>
      <c r="F96">
        <v>1.6666666666666635E-3</v>
      </c>
      <c r="G96">
        <v>1.1666666666666665E-2</v>
      </c>
      <c r="H96">
        <v>-3.3333333333333409E-3</v>
      </c>
      <c r="I96">
        <v>-3.858223247398488E-2</v>
      </c>
      <c r="J96">
        <v>0.99547551042253035</v>
      </c>
      <c r="K96">
        <v>-2.197180584940539</v>
      </c>
      <c r="L96">
        <v>0.4</v>
      </c>
      <c r="M96">
        <v>2.750000000000008E-2</v>
      </c>
      <c r="N96">
        <v>1.1966197620013621</v>
      </c>
      <c r="O96">
        <v>3.4124896920665566E-2</v>
      </c>
      <c r="P96">
        <v>27.19</v>
      </c>
      <c r="Q96">
        <v>69.619463505926376</v>
      </c>
    </row>
    <row r="97" spans="1:17" x14ac:dyDescent="0.2">
      <c r="A97" s="9">
        <v>44531</v>
      </c>
      <c r="B97">
        <v>1.3592930931331151</v>
      </c>
      <c r="C97">
        <v>9.5083333333333304E-3</v>
      </c>
      <c r="D97">
        <v>2.8416666666666634E-3</v>
      </c>
      <c r="E97">
        <v>4.4166666666666674E-2</v>
      </c>
      <c r="F97">
        <v>2.5000000000000092E-3</v>
      </c>
      <c r="G97">
        <v>4.1666666666666657E-3</v>
      </c>
      <c r="H97">
        <v>-7.4999999999999997E-3</v>
      </c>
      <c r="I97">
        <v>-3.1334033633664327E-2</v>
      </c>
      <c r="J97">
        <v>-1.12353903746557</v>
      </c>
      <c r="K97">
        <v>2.8719779916318799</v>
      </c>
      <c r="L97">
        <v>0.35499999999999998</v>
      </c>
      <c r="M97">
        <v>-4.500000000000004E-2</v>
      </c>
      <c r="N97">
        <v>-1.8131942210481211</v>
      </c>
      <c r="O97">
        <v>3.5660524737874157E-2</v>
      </c>
      <c r="P97">
        <v>17.22</v>
      </c>
      <c r="Q97">
        <v>-43.853928920769491</v>
      </c>
    </row>
    <row r="98" spans="1:17" x14ac:dyDescent="0.2">
      <c r="A98" s="9">
        <v>44562</v>
      </c>
      <c r="B98">
        <v>-2.2568118607420633</v>
      </c>
      <c r="C98">
        <v>1.6316666666666702E-2</v>
      </c>
      <c r="D98">
        <v>9.6500000000000336E-3</v>
      </c>
      <c r="E98">
        <v>4.0833333333333333E-2</v>
      </c>
      <c r="F98">
        <v>-3.3333333333333409E-3</v>
      </c>
      <c r="G98">
        <v>5.8333333333333293E-3</v>
      </c>
      <c r="H98">
        <v>1.6666666666666635E-3</v>
      </c>
      <c r="I98">
        <v>-2.9580657045267369E-2</v>
      </c>
      <c r="J98">
        <v>-4.0342794589013895</v>
      </c>
      <c r="K98">
        <v>1.5655132399549521</v>
      </c>
      <c r="L98">
        <v>0.38500000000000001</v>
      </c>
      <c r="M98">
        <v>3.0000000000000027E-2</v>
      </c>
      <c r="N98">
        <v>2.3519703735642286</v>
      </c>
      <c r="O98">
        <v>3.6597722404849958E-2</v>
      </c>
      <c r="P98">
        <v>24.83</v>
      </c>
      <c r="Q98">
        <v>49.578313253012027</v>
      </c>
    </row>
    <row r="99" spans="1:17" x14ac:dyDescent="0.2">
      <c r="A99" s="9">
        <v>44593</v>
      </c>
      <c r="B99">
        <v>-1.1072210028407516</v>
      </c>
      <c r="C99">
        <v>3.4991666666666699E-2</v>
      </c>
      <c r="D99">
        <v>2.8325000000000031E-2</v>
      </c>
      <c r="E99">
        <v>5.2500000000000005E-2</v>
      </c>
      <c r="F99">
        <v>1.1666666666666672E-2</v>
      </c>
      <c r="G99">
        <v>9.1666666666666424E-3</v>
      </c>
      <c r="H99">
        <v>3.3333333333333132E-3</v>
      </c>
      <c r="I99">
        <v>-4.3952425424863342E-2</v>
      </c>
      <c r="J99">
        <v>-3.1651689144312303</v>
      </c>
      <c r="K99">
        <v>1.8992851340668637</v>
      </c>
      <c r="L99">
        <v>0.41833333333333333</v>
      </c>
      <c r="M99">
        <v>3.3333333333333326E-2</v>
      </c>
      <c r="N99">
        <v>1.1361390315927991</v>
      </c>
      <c r="O99">
        <v>3.7945041047709981E-2</v>
      </c>
      <c r="P99">
        <v>30.15</v>
      </c>
      <c r="Q99">
        <v>21.425694724124057</v>
      </c>
    </row>
    <row r="100" spans="1:17" x14ac:dyDescent="0.2">
      <c r="A100" s="9">
        <v>44621</v>
      </c>
      <c r="B100">
        <v>1.9965489332311821</v>
      </c>
      <c r="C100">
        <v>4.68583333333333E-2</v>
      </c>
      <c r="D100">
        <v>3.0191666666666634E-2</v>
      </c>
      <c r="E100">
        <v>3.7500000000000006E-2</v>
      </c>
      <c r="F100">
        <v>-1.4999999999999999E-2</v>
      </c>
      <c r="G100">
        <v>-8.3333333333332482E-4</v>
      </c>
      <c r="H100">
        <v>-9.9999999999999672E-3</v>
      </c>
      <c r="I100">
        <v>-4.8588149482655968E-2</v>
      </c>
      <c r="J100">
        <v>0.13326767049501004</v>
      </c>
      <c r="K100">
        <v>-0.88926020177264586</v>
      </c>
      <c r="L100">
        <v>0.4458333333333333</v>
      </c>
      <c r="M100">
        <v>2.7499999999999969E-2</v>
      </c>
      <c r="N100">
        <v>0.62170789033490259</v>
      </c>
      <c r="O100">
        <v>2.8402348799807773E-2</v>
      </c>
      <c r="P100">
        <v>20.56</v>
      </c>
      <c r="Q100">
        <v>-35.709818636647903</v>
      </c>
    </row>
    <row r="101" spans="1:17" x14ac:dyDescent="0.2">
      <c r="A101" s="9">
        <v>44652</v>
      </c>
      <c r="B101">
        <v>-1.7163787658669345</v>
      </c>
      <c r="C101">
        <v>5.7549999999999997E-2</v>
      </c>
      <c r="D101">
        <v>3.0049999999999997E-2</v>
      </c>
      <c r="E101">
        <v>4.1666666666666685E-2</v>
      </c>
      <c r="F101">
        <v>4.1666666666666796E-3</v>
      </c>
      <c r="G101">
        <v>3.3333333333333548E-3</v>
      </c>
      <c r="H101">
        <v>4.1666666666666796E-3</v>
      </c>
      <c r="I101">
        <v>-4.6967856997227025E-2</v>
      </c>
      <c r="J101">
        <v>-3.8653528730622675</v>
      </c>
      <c r="K101">
        <v>-8.7126922964420039E-2</v>
      </c>
      <c r="L101">
        <v>0.44416666666666671</v>
      </c>
      <c r="M101">
        <v>-1.6666666666665941E-3</v>
      </c>
      <c r="N101">
        <v>3.8067585559901422</v>
      </c>
      <c r="O101">
        <v>1.7139820833454788E-2</v>
      </c>
      <c r="P101">
        <v>33.4</v>
      </c>
      <c r="Q101">
        <v>70.147733061640352</v>
      </c>
    </row>
    <row r="102" spans="1:17" x14ac:dyDescent="0.2">
      <c r="A102" s="9">
        <v>44682</v>
      </c>
      <c r="B102">
        <v>-0.82038765576752415</v>
      </c>
      <c r="C102">
        <v>7.6316666666666699E-2</v>
      </c>
      <c r="D102">
        <v>1.2150000000000036E-2</v>
      </c>
      <c r="E102">
        <v>7.1666666666666684E-2</v>
      </c>
      <c r="F102">
        <v>0.03</v>
      </c>
      <c r="G102">
        <v>9.9999999999999811E-3</v>
      </c>
      <c r="H102">
        <v>6.6666666666666263E-3</v>
      </c>
      <c r="I102">
        <v>-5.9155057939020123E-2</v>
      </c>
      <c r="J102">
        <v>-1.556403524525015</v>
      </c>
      <c r="K102">
        <v>1.9832402190600007</v>
      </c>
      <c r="L102">
        <v>0.42499999999999999</v>
      </c>
      <c r="M102">
        <v>-1.9166666666666721E-2</v>
      </c>
      <c r="N102">
        <v>-0.65835238193357282</v>
      </c>
      <c r="O102">
        <v>-1.6115667910780222E-2</v>
      </c>
      <c r="P102">
        <v>26.19</v>
      </c>
      <c r="Q102">
        <v>3.0291109362706514</v>
      </c>
    </row>
    <row r="103" spans="1:17" x14ac:dyDescent="0.2">
      <c r="A103" s="9">
        <v>44713</v>
      </c>
      <c r="B103">
        <v>-3.6875242113072275</v>
      </c>
      <c r="C103">
        <v>8.9724999999999999E-2</v>
      </c>
      <c r="D103">
        <v>-1.1108333333333331E-2</v>
      </c>
      <c r="E103">
        <v>6.8333333333333357E-2</v>
      </c>
      <c r="F103">
        <v>-3.333333333333327E-3</v>
      </c>
      <c r="G103">
        <v>-3.3333333333333548E-3</v>
      </c>
      <c r="H103">
        <v>-1.3333333333333336E-2</v>
      </c>
      <c r="I103">
        <v>-5.5613543425937273E-2</v>
      </c>
      <c r="J103">
        <v>-3.4565692008015478</v>
      </c>
      <c r="K103">
        <v>-3.3781317128620212</v>
      </c>
      <c r="L103">
        <v>0.31416666666666671</v>
      </c>
      <c r="M103">
        <v>-0.11083333333333328</v>
      </c>
      <c r="N103">
        <v>6.6294821488282576</v>
      </c>
      <c r="O103">
        <v>-5.1522579317718871E-2</v>
      </c>
      <c r="P103">
        <v>28.71</v>
      </c>
      <c r="Q103">
        <v>16.140776699029136</v>
      </c>
    </row>
    <row r="104" spans="1:17" x14ac:dyDescent="0.2">
      <c r="A104" s="9">
        <v>44743</v>
      </c>
      <c r="B104">
        <v>3.8214888861569447</v>
      </c>
      <c r="C104">
        <v>9.9233333333333298E-2</v>
      </c>
      <c r="D104">
        <v>-4.0766666666666687E-2</v>
      </c>
      <c r="E104">
        <v>7.5000000000000011E-2</v>
      </c>
      <c r="F104">
        <v>6.6666666666666541E-3</v>
      </c>
      <c r="G104">
        <v>-2.8333333333333321E-2</v>
      </c>
      <c r="H104">
        <v>-2.4999999999999967E-2</v>
      </c>
      <c r="I104">
        <v>-5.7735732215517033E-2</v>
      </c>
      <c r="J104">
        <v>4.373127894277208</v>
      </c>
      <c r="K104">
        <v>1.8985646516991421</v>
      </c>
      <c r="L104">
        <v>0.33416666666666661</v>
      </c>
      <c r="M104">
        <v>1.9999999999999907E-2</v>
      </c>
      <c r="N104">
        <v>-6.4144470109190195</v>
      </c>
      <c r="O104">
        <v>-9.1279010132645055E-2</v>
      </c>
      <c r="P104">
        <v>21.33</v>
      </c>
      <c r="Q104">
        <v>-22.520886305848176</v>
      </c>
    </row>
    <row r="105" spans="1:17" x14ac:dyDescent="0.2">
      <c r="A105" s="9">
        <v>44774</v>
      </c>
      <c r="B105">
        <v>-1.8267949190726551</v>
      </c>
      <c r="C105">
        <v>0.13516666666666699</v>
      </c>
      <c r="D105">
        <v>-5.8999999999999692E-2</v>
      </c>
      <c r="E105">
        <v>3.1666666666666649E-2</v>
      </c>
      <c r="F105">
        <v>-4.3333333333333363E-2</v>
      </c>
      <c r="G105">
        <v>-3.3333333333333354E-2</v>
      </c>
      <c r="H105">
        <v>-5.0000000000000322E-3</v>
      </c>
      <c r="I105">
        <v>-6.7352188196434598E-2</v>
      </c>
      <c r="J105">
        <v>-8.1411935429504894</v>
      </c>
      <c r="K105">
        <v>4.0680971145003371</v>
      </c>
      <c r="L105">
        <v>0.42499999999999999</v>
      </c>
      <c r="M105">
        <v>9.0833333333333377E-2</v>
      </c>
      <c r="N105">
        <v>3.8973353840391622</v>
      </c>
      <c r="O105">
        <v>-0.14874071912381945</v>
      </c>
      <c r="P105">
        <v>25.87</v>
      </c>
      <c r="Q105">
        <v>20.662313432835823</v>
      </c>
    </row>
    <row r="106" spans="1:17" x14ac:dyDescent="0.2">
      <c r="A106" s="9">
        <v>44805</v>
      </c>
      <c r="B106">
        <v>-4.6868598995851904</v>
      </c>
      <c r="C106">
        <v>0.154741666666667</v>
      </c>
      <c r="D106">
        <v>-5.8591666666666348E-2</v>
      </c>
      <c r="E106">
        <v>-3.6666666666666681E-2</v>
      </c>
      <c r="F106">
        <v>-6.8333333333333329E-2</v>
      </c>
      <c r="G106">
        <v>-1.0000000000000064E-2</v>
      </c>
      <c r="H106">
        <v>2.3333333333333289E-2</v>
      </c>
      <c r="I106">
        <v>-7.5923196964469364E-2</v>
      </c>
      <c r="J106">
        <v>-9.1415438687040886</v>
      </c>
      <c r="K106">
        <v>6.3851090009754969</v>
      </c>
      <c r="L106">
        <v>0.36499999999999999</v>
      </c>
      <c r="M106">
        <v>-0.06</v>
      </c>
      <c r="N106">
        <v>2.3258935867649115</v>
      </c>
      <c r="O106">
        <v>-0.16470873799415037</v>
      </c>
      <c r="P106">
        <v>31.62</v>
      </c>
      <c r="Q106">
        <v>21.662177760677203</v>
      </c>
    </row>
    <row r="107" spans="1:17" x14ac:dyDescent="0.2">
      <c r="A107" s="9">
        <v>44835</v>
      </c>
      <c r="B107">
        <v>2.2441569439350513</v>
      </c>
      <c r="C107">
        <v>0.18214166666666701</v>
      </c>
      <c r="D107">
        <v>-7.4524999999999647E-2</v>
      </c>
      <c r="E107">
        <v>3.4166666666666623E-2</v>
      </c>
      <c r="F107">
        <v>7.0833333333333304E-2</v>
      </c>
      <c r="G107">
        <v>-5.8333333333333015E-3</v>
      </c>
      <c r="H107">
        <v>4.1666666666667629E-3</v>
      </c>
      <c r="I107">
        <v>-8.1644214433860995E-2</v>
      </c>
      <c r="J107">
        <v>4.9981561061963475</v>
      </c>
      <c r="K107">
        <v>-3.1338166681813009</v>
      </c>
      <c r="L107">
        <v>0.34250000000000003</v>
      </c>
      <c r="M107">
        <v>-2.2499999999999964E-2</v>
      </c>
      <c r="N107">
        <v>-2.18934556443602</v>
      </c>
      <c r="O107">
        <v>-0.20771314035571342</v>
      </c>
      <c r="P107">
        <v>25.88</v>
      </c>
      <c r="Q107">
        <v>-10.973512211902314</v>
      </c>
    </row>
    <row r="108" spans="1:17" x14ac:dyDescent="0.2">
      <c r="A108" s="9">
        <v>44866</v>
      </c>
      <c r="B108">
        <v>2.5198681337412903</v>
      </c>
      <c r="C108">
        <v>0.23832500000000001</v>
      </c>
      <c r="D108">
        <v>-7.6674999999999993E-2</v>
      </c>
      <c r="E108">
        <v>2.7500000000000024E-2</v>
      </c>
      <c r="F108">
        <v>-6.6666666666665986E-3</v>
      </c>
      <c r="G108">
        <v>-2.7500000000000024E-2</v>
      </c>
      <c r="H108">
        <v>-2.1666666666666723E-2</v>
      </c>
      <c r="I108">
        <v>-7.1523361315658451E-2</v>
      </c>
      <c r="J108">
        <v>3.7315693621188237</v>
      </c>
      <c r="K108">
        <v>-1.854063719676625</v>
      </c>
      <c r="L108">
        <v>0.32999999999999996</v>
      </c>
      <c r="M108">
        <v>-1.2500000000000067E-2</v>
      </c>
      <c r="N108">
        <v>-2.0969608219353946</v>
      </c>
      <c r="O108">
        <v>-0.26967078884115014</v>
      </c>
      <c r="P108">
        <v>20.58</v>
      </c>
      <c r="Q108">
        <v>-18.656126482213452</v>
      </c>
    </row>
    <row r="109" spans="1:17" x14ac:dyDescent="0.2">
      <c r="A109" s="9">
        <v>44896</v>
      </c>
      <c r="B109">
        <v>-1.3850399013585131</v>
      </c>
      <c r="C109">
        <v>0.26482499999999998</v>
      </c>
      <c r="D109">
        <v>-7.6841666666666641E-2</v>
      </c>
      <c r="E109">
        <v>4.1666666666666685E-2</v>
      </c>
      <c r="F109">
        <v>1.4166666666666661E-2</v>
      </c>
      <c r="G109">
        <v>-1.6666666666666663E-2</v>
      </c>
      <c r="H109">
        <v>1.0833333333333361E-2</v>
      </c>
      <c r="I109">
        <v>-5.7670170528946629E-2</v>
      </c>
      <c r="J109">
        <v>-1.6930601373866518</v>
      </c>
      <c r="K109">
        <v>1.0070279529804327</v>
      </c>
      <c r="L109">
        <v>0.27250000000000002</v>
      </c>
      <c r="M109">
        <v>-5.749999999999994E-2</v>
      </c>
      <c r="N109">
        <v>0.3818238017242751</v>
      </c>
      <c r="O109">
        <v>-0.2975119685167153</v>
      </c>
      <c r="P109">
        <v>21.67</v>
      </c>
      <c r="Q109">
        <v>13.693599160545666</v>
      </c>
    </row>
    <row r="110" spans="1:17" x14ac:dyDescent="0.2">
      <c r="A110" s="9">
        <v>44927</v>
      </c>
      <c r="B110">
        <v>3.0698713827378343</v>
      </c>
      <c r="C110">
        <v>0.28562500000000002</v>
      </c>
      <c r="D110">
        <v>-7.5208333333333321E-2</v>
      </c>
      <c r="E110">
        <v>5.0833333333333341E-2</v>
      </c>
      <c r="F110">
        <v>9.1666666666666563E-3</v>
      </c>
      <c r="G110">
        <v>-2.0833333333333315E-2</v>
      </c>
      <c r="H110">
        <v>-4.1666666666666519E-3</v>
      </c>
      <c r="I110">
        <v>-4.6229004516205041E-2</v>
      </c>
      <c r="J110">
        <v>3.2693974797429637</v>
      </c>
      <c r="K110">
        <v>-0.64635373795677298</v>
      </c>
      <c r="L110">
        <v>0.21833333333333332</v>
      </c>
      <c r="M110">
        <v>-5.4166666666666696E-2</v>
      </c>
      <c r="N110">
        <v>-2.8853567348890796</v>
      </c>
      <c r="O110">
        <v>-0.31701315688867909</v>
      </c>
      <c r="P110">
        <v>19.399999999999999</v>
      </c>
      <c r="Q110">
        <v>-11.858246251703786</v>
      </c>
    </row>
    <row r="111" spans="1:17" x14ac:dyDescent="0.2">
      <c r="A111" s="9">
        <v>44958</v>
      </c>
      <c r="B111">
        <v>-0.16023377056929605</v>
      </c>
      <c r="C111">
        <v>0.32517499999999999</v>
      </c>
      <c r="D111">
        <v>-5.5658333333333365E-2</v>
      </c>
      <c r="E111">
        <v>3.6666666666666681E-2</v>
      </c>
      <c r="F111">
        <v>-1.4166666666666661E-2</v>
      </c>
      <c r="G111">
        <v>-3.4999999999999976E-2</v>
      </c>
      <c r="H111">
        <v>-1.4166666666666661E-2</v>
      </c>
      <c r="I111">
        <v>-4.6006978046674307E-2</v>
      </c>
      <c r="J111">
        <v>-3.4044713219137206</v>
      </c>
      <c r="K111">
        <v>2.4586211450012496</v>
      </c>
      <c r="L111">
        <v>0.25666666666666665</v>
      </c>
      <c r="M111">
        <v>3.833333333333333E-2</v>
      </c>
      <c r="N111">
        <v>0.6614314135981223</v>
      </c>
      <c r="O111">
        <v>-0.33809391973141373</v>
      </c>
      <c r="P111">
        <v>20.7</v>
      </c>
      <c r="Q111">
        <v>15.836597649692209</v>
      </c>
    </row>
    <row r="112" spans="1:17" x14ac:dyDescent="0.2">
      <c r="A112" s="9">
        <v>44986</v>
      </c>
      <c r="B112">
        <v>-0.25809067214290327</v>
      </c>
      <c r="C112">
        <v>0.33359166666666701</v>
      </c>
      <c r="D112">
        <v>-5.3908333333333003E-2</v>
      </c>
      <c r="E112">
        <v>2.9999999999999971E-2</v>
      </c>
      <c r="F112">
        <v>-6.6666666666667096E-3</v>
      </c>
      <c r="G112">
        <v>-4.333333333333339E-2</v>
      </c>
      <c r="H112">
        <v>-8.3333333333334147E-3</v>
      </c>
      <c r="I112">
        <v>-3.731056577828834E-2</v>
      </c>
      <c r="J112">
        <v>1.1229372544900045</v>
      </c>
      <c r="K112">
        <v>-0.67013710874249677</v>
      </c>
      <c r="L112">
        <v>0.28166666666666668</v>
      </c>
      <c r="M112">
        <v>2.5000000000000022E-2</v>
      </c>
      <c r="N112">
        <v>-0.77426758540165275</v>
      </c>
      <c r="O112">
        <v>-0.34336055436175172</v>
      </c>
      <c r="P112">
        <v>18.7</v>
      </c>
      <c r="Q112">
        <v>0.48361096184845742</v>
      </c>
    </row>
    <row r="113" spans="1:17" x14ac:dyDescent="0.2">
      <c r="A113" s="9">
        <v>45017</v>
      </c>
      <c r="B113">
        <v>0.94080499762717185</v>
      </c>
      <c r="C113">
        <v>0.34811666666666702</v>
      </c>
      <c r="D113">
        <v>-5.4383333333333006E-2</v>
      </c>
      <c r="E113">
        <v>2.8333333333333321E-2</v>
      </c>
      <c r="F113">
        <v>-1.6666666666666496E-3</v>
      </c>
      <c r="G113">
        <v>-4.6666666666666634E-2</v>
      </c>
      <c r="H113">
        <v>-3.3333333333332438E-3</v>
      </c>
      <c r="I113">
        <v>-3.5694680091550579E-2</v>
      </c>
      <c r="J113">
        <v>-4.5251950847142508E-2</v>
      </c>
      <c r="K113">
        <v>-1.8461346788933852E-2</v>
      </c>
      <c r="L113">
        <v>0.26083333333333336</v>
      </c>
      <c r="M113">
        <v>-2.0833333333333315E-2</v>
      </c>
      <c r="N113">
        <v>-0.21023787270852989</v>
      </c>
      <c r="O113">
        <v>-0.35952582336967026</v>
      </c>
      <c r="P113">
        <v>15.78</v>
      </c>
      <c r="Q113">
        <v>-15.614973262032084</v>
      </c>
    </row>
    <row r="114" spans="1:17" x14ac:dyDescent="0.2">
      <c r="A114" s="9">
        <v>45047</v>
      </c>
      <c r="B114">
        <v>-1.4816122688402813</v>
      </c>
      <c r="C114">
        <v>0.36273333333333302</v>
      </c>
      <c r="D114">
        <v>-5.8933333333333615E-2</v>
      </c>
      <c r="E114">
        <v>1.6666666666666607E-2</v>
      </c>
      <c r="F114">
        <v>-1.1666666666666714E-2</v>
      </c>
      <c r="G114">
        <v>-5.0000000000000044E-2</v>
      </c>
      <c r="H114">
        <v>-3.3333333333334103E-3</v>
      </c>
      <c r="I114">
        <v>-3.4565625744694906E-2</v>
      </c>
      <c r="J114">
        <v>-3.2207902839867755</v>
      </c>
      <c r="K114">
        <v>2.3508372601471872</v>
      </c>
      <c r="L114">
        <v>0.27666666666666673</v>
      </c>
      <c r="M114">
        <v>1.5833333333333366E-2</v>
      </c>
      <c r="N114">
        <v>0.52204244553182977</v>
      </c>
      <c r="O114">
        <v>-0.37847905112794222</v>
      </c>
      <c r="P114">
        <v>17.940000000000001</v>
      </c>
      <c r="Q114">
        <v>-10.701841712294669</v>
      </c>
    </row>
    <row r="115" spans="1:17" x14ac:dyDescent="0.2">
      <c r="A115" s="9">
        <v>45078</v>
      </c>
      <c r="B115">
        <v>0.76715041455256716</v>
      </c>
      <c r="C115">
        <v>0.38226666666666698</v>
      </c>
      <c r="D115">
        <v>-4.1066666666666363E-2</v>
      </c>
      <c r="E115">
        <v>-5.0833333333333341E-2</v>
      </c>
      <c r="F115">
        <v>-6.7499999999999949E-2</v>
      </c>
      <c r="G115">
        <v>-8.0833333333333368E-2</v>
      </c>
      <c r="H115">
        <v>-3.0833333333333324E-2</v>
      </c>
      <c r="I115">
        <v>-3.949081220714773E-2</v>
      </c>
      <c r="J115">
        <v>-1.5304704600210068</v>
      </c>
      <c r="K115">
        <v>2.4107872488937976</v>
      </c>
      <c r="L115">
        <v>0.29000000000000004</v>
      </c>
      <c r="M115">
        <v>1.3333333333333308E-2</v>
      </c>
      <c r="N115">
        <v>-1.2315306476671668</v>
      </c>
      <c r="O115">
        <v>-0.38167752934347354</v>
      </c>
      <c r="P115">
        <v>13.59</v>
      </c>
      <c r="Q115">
        <v>-7.7393075356415491</v>
      </c>
    </row>
    <row r="116" spans="1:17" x14ac:dyDescent="0.2">
      <c r="A116" s="9">
        <v>45108</v>
      </c>
      <c r="B116">
        <v>1.9636320377819911</v>
      </c>
      <c r="C116">
        <v>0.41084999999999999</v>
      </c>
      <c r="D116">
        <v>-1.5816666666666701E-2</v>
      </c>
      <c r="E116">
        <v>-1.8333333333333313E-2</v>
      </c>
      <c r="F116">
        <v>3.2500000000000029E-2</v>
      </c>
      <c r="G116">
        <v>-6.3333333333333353E-2</v>
      </c>
      <c r="H116">
        <v>1.7500000000000016E-2</v>
      </c>
      <c r="I116">
        <v>-4.2960596677465657E-2</v>
      </c>
      <c r="J116">
        <v>2.0217015238879137</v>
      </c>
      <c r="K116">
        <v>-1.2685448862165605</v>
      </c>
      <c r="L116">
        <v>0.26750000000000002</v>
      </c>
      <c r="M116">
        <v>-2.250000000000002E-2</v>
      </c>
      <c r="N116">
        <v>-1.0924478196852974</v>
      </c>
      <c r="O116">
        <v>-0.38627470783634099</v>
      </c>
      <c r="P116">
        <v>13.63</v>
      </c>
      <c r="Q116">
        <v>-0.51094890510947621</v>
      </c>
    </row>
    <row r="117" spans="1:17" x14ac:dyDescent="0.2">
      <c r="A117" s="9">
        <v>45139</v>
      </c>
      <c r="B117">
        <v>-0.62523746935851443</v>
      </c>
      <c r="C117">
        <v>0.43007499999999999</v>
      </c>
      <c r="D117">
        <v>-1.4091666666666669E-2</v>
      </c>
      <c r="E117">
        <v>0</v>
      </c>
      <c r="F117">
        <v>1.8333333333333313E-2</v>
      </c>
      <c r="G117">
        <v>-5.6666666666666643E-2</v>
      </c>
      <c r="H117">
        <v>6.6666666666667096E-3</v>
      </c>
      <c r="I117">
        <v>-3.9896348169730866E-2</v>
      </c>
      <c r="J117">
        <v>-0.73548575994241516</v>
      </c>
      <c r="K117">
        <v>0.59446979046746673</v>
      </c>
      <c r="L117">
        <v>0.27416666666666661</v>
      </c>
      <c r="M117">
        <v>6.6666666666665986E-3</v>
      </c>
      <c r="N117">
        <v>-0.24570607569441716</v>
      </c>
      <c r="O117">
        <v>-0.40307282331529604</v>
      </c>
      <c r="P117">
        <v>13.57</v>
      </c>
      <c r="Q117">
        <v>-20.643274853801174</v>
      </c>
    </row>
    <row r="118" spans="1:17" x14ac:dyDescent="0.2">
      <c r="A118" s="9">
        <v>45170</v>
      </c>
      <c r="B118">
        <v>0.27937046819359035</v>
      </c>
      <c r="C118">
        <v>0.43211666666666698</v>
      </c>
      <c r="D118">
        <v>-1.2049999999999672E-2</v>
      </c>
      <c r="E118">
        <v>3.9166666666666627E-2</v>
      </c>
      <c r="F118">
        <v>3.9166666666666627E-2</v>
      </c>
      <c r="G118">
        <v>-4.4166666666666743E-2</v>
      </c>
      <c r="H118">
        <v>1.24999999999999E-2</v>
      </c>
      <c r="I118">
        <v>-3.2588080320176238E-2</v>
      </c>
      <c r="J118">
        <v>-0.41335762746622851</v>
      </c>
      <c r="K118">
        <v>-0.57034627962947448</v>
      </c>
      <c r="L118">
        <v>0.30583333333333335</v>
      </c>
      <c r="M118">
        <v>3.1666666666666732E-2</v>
      </c>
      <c r="N118">
        <v>0.60545695484994577</v>
      </c>
      <c r="O118">
        <v>-0.40237804564579954</v>
      </c>
      <c r="P118">
        <v>17.52</v>
      </c>
      <c r="Q118">
        <v>26.772793053545584</v>
      </c>
    </row>
    <row r="119" spans="1:17" x14ac:dyDescent="0.2">
      <c r="A119" s="9">
        <v>45200</v>
      </c>
      <c r="B119">
        <v>-1.7024670003016547</v>
      </c>
      <c r="C119">
        <v>0.43225833333333302</v>
      </c>
      <c r="D119">
        <v>-1.1908333333333632E-2</v>
      </c>
      <c r="E119">
        <v>5.1666666666666694E-2</v>
      </c>
      <c r="F119">
        <v>1.2500000000000067E-2</v>
      </c>
      <c r="G119">
        <v>-3.1666666666666676E-2</v>
      </c>
      <c r="H119">
        <v>1.2500000000000067E-2</v>
      </c>
      <c r="I119">
        <v>-2.4166247830165133E-2</v>
      </c>
      <c r="J119">
        <v>-0.46656124638286833</v>
      </c>
      <c r="K119">
        <v>-0.64877153725895198</v>
      </c>
      <c r="L119">
        <v>0.29749999999999999</v>
      </c>
      <c r="M119">
        <v>-8.3333333333333592E-3</v>
      </c>
      <c r="N119">
        <v>0.71415928382895077</v>
      </c>
      <c r="O119">
        <v>-0.40037207565776561</v>
      </c>
      <c r="P119">
        <v>18.14</v>
      </c>
      <c r="Q119">
        <v>-2.3681377825618855</v>
      </c>
    </row>
    <row r="120" spans="1:17" x14ac:dyDescent="0.2">
      <c r="A120" s="9">
        <v>45231</v>
      </c>
      <c r="B120">
        <v>3.1666873562985165</v>
      </c>
      <c r="C120">
        <v>0.43229166666666702</v>
      </c>
      <c r="D120">
        <v>-1.1874999999999636E-2</v>
      </c>
      <c r="E120">
        <v>4.4166666666666687E-2</v>
      </c>
      <c r="F120">
        <v>-7.5000000000000067E-3</v>
      </c>
      <c r="G120">
        <v>-4.2499999999999982E-2</v>
      </c>
      <c r="H120">
        <v>-1.0833333333333306E-2</v>
      </c>
      <c r="I120">
        <v>-1.9255148365841968E-2</v>
      </c>
      <c r="J120">
        <v>3.4138089910941942</v>
      </c>
      <c r="K120">
        <v>8.6986521160747898E-2</v>
      </c>
      <c r="L120">
        <v>0.28916666666666663</v>
      </c>
      <c r="M120">
        <v>-8.3333333333333592E-3</v>
      </c>
      <c r="N120">
        <v>-3.8039423750472912</v>
      </c>
      <c r="O120">
        <v>-0.40163289098784594</v>
      </c>
      <c r="P120">
        <v>12.92</v>
      </c>
      <c r="Q120">
        <v>-13.346747149564052</v>
      </c>
    </row>
    <row r="121" spans="1:17" x14ac:dyDescent="0.2">
      <c r="A121" s="9">
        <v>45261</v>
      </c>
      <c r="B121">
        <v>3.580071379617352</v>
      </c>
      <c r="C121">
        <v>0.43225000000000002</v>
      </c>
      <c r="D121">
        <v>-1.1916666666666631E-2</v>
      </c>
      <c r="E121">
        <v>6.083333333333335E-2</v>
      </c>
      <c r="F121">
        <v>1.6666666666666663E-2</v>
      </c>
      <c r="G121">
        <v>-4.0833333333333333E-2</v>
      </c>
      <c r="H121">
        <v>1.6666666666666496E-3</v>
      </c>
      <c r="I121">
        <v>-1.3566775619246962E-2</v>
      </c>
      <c r="J121">
        <v>4.4012225363925044</v>
      </c>
      <c r="K121">
        <v>-1.4346070446255688</v>
      </c>
      <c r="L121">
        <v>0.28666666666666668</v>
      </c>
      <c r="M121">
        <v>-2.4999999999999467E-3</v>
      </c>
      <c r="N121">
        <v>-3.2081607641556928</v>
      </c>
      <c r="O121">
        <v>-0.40309347889060915</v>
      </c>
      <c r="P121">
        <v>12.45</v>
      </c>
      <c r="Q121">
        <v>-1.4251781472684244</v>
      </c>
    </row>
    <row r="122" spans="1:17" x14ac:dyDescent="0.2">
      <c r="A122" s="9">
        <v>45292</v>
      </c>
      <c r="B122">
        <v>5.5182858323510636E-2</v>
      </c>
      <c r="C122">
        <v>0.43229166666666702</v>
      </c>
      <c r="D122">
        <v>-1.1874999999999636E-2</v>
      </c>
      <c r="E122">
        <v>6.0833333333333406E-2</v>
      </c>
      <c r="F122">
        <v>5.5511151231257827E-17</v>
      </c>
      <c r="G122">
        <v>-4.7499999999999987E-2</v>
      </c>
      <c r="H122">
        <v>-6.6666666666666541E-3</v>
      </c>
      <c r="I122">
        <v>-7.8159631540414276E-3</v>
      </c>
      <c r="J122">
        <v>-1.5196917747234271</v>
      </c>
      <c r="K122">
        <v>1.0154289391717697</v>
      </c>
      <c r="L122">
        <v>0.30166666666666664</v>
      </c>
      <c r="M122">
        <v>1.4999999999999958E-2</v>
      </c>
      <c r="N122">
        <v>0.21635937369070346</v>
      </c>
      <c r="O122">
        <v>-0.40427905590678825</v>
      </c>
      <c r="P122">
        <v>14.35</v>
      </c>
      <c r="Q122">
        <v>1.5569709837225609</v>
      </c>
    </row>
    <row r="123" spans="1:17" x14ac:dyDescent="0.2">
      <c r="A123" s="9">
        <v>45323</v>
      </c>
      <c r="B123">
        <v>0.8173714702258239</v>
      </c>
      <c r="C123">
        <v>0.43235833333333301</v>
      </c>
      <c r="D123">
        <v>-1.1808333333333643E-2</v>
      </c>
      <c r="E123">
        <v>3.4999999999999976E-2</v>
      </c>
      <c r="F123">
        <v>-2.583333333333343E-2</v>
      </c>
      <c r="G123">
        <v>-4.6666666666666579E-2</v>
      </c>
      <c r="H123">
        <v>8.3333333333340809E-4</v>
      </c>
      <c r="I123">
        <v>-9.8817623065481364E-3</v>
      </c>
      <c r="J123">
        <v>-1.062073375074631</v>
      </c>
      <c r="K123">
        <v>0.84147338318362186</v>
      </c>
      <c r="L123">
        <v>0.30416666666666664</v>
      </c>
      <c r="M123">
        <v>2.5000000000000022E-3</v>
      </c>
      <c r="N123">
        <v>-8.1493641637859771E-2</v>
      </c>
      <c r="O123">
        <v>-0.40591085271704502</v>
      </c>
      <c r="P123">
        <v>13.4</v>
      </c>
      <c r="Q123">
        <v>-3.2490974729241784</v>
      </c>
    </row>
    <row r="124" spans="1:17" x14ac:dyDescent="0.2">
      <c r="A124" s="9">
        <v>45352</v>
      </c>
      <c r="B124">
        <v>2.5343167951715437</v>
      </c>
      <c r="C124">
        <v>0.432425</v>
      </c>
      <c r="D124">
        <v>-1.174166666666665E-2</v>
      </c>
      <c r="E124">
        <v>3.999999999999998E-2</v>
      </c>
      <c r="F124">
        <v>5.0000000000000044E-3</v>
      </c>
      <c r="G124">
        <v>-4.9999999999999989E-2</v>
      </c>
      <c r="H124">
        <v>-3.3333333333334103E-3</v>
      </c>
      <c r="I124">
        <v>-7.8881657017807472E-3</v>
      </c>
      <c r="J124">
        <v>1.477489362217179</v>
      </c>
      <c r="K124">
        <v>-1.0579957827104303</v>
      </c>
      <c r="L124">
        <v>0.32833333333333331</v>
      </c>
      <c r="M124">
        <v>2.416666666666667E-2</v>
      </c>
      <c r="N124">
        <v>-0.71518525407645916</v>
      </c>
      <c r="O124">
        <v>-0.40715142319024311</v>
      </c>
      <c r="P124">
        <v>13.01</v>
      </c>
      <c r="Q124">
        <v>-0.76277650648359785</v>
      </c>
    </row>
    <row r="125" spans="1:17" x14ac:dyDescent="0.2">
      <c r="A125" s="9">
        <v>45383</v>
      </c>
      <c r="B125">
        <v>-0.49649597275839152</v>
      </c>
      <c r="C125">
        <v>0.43315833333333298</v>
      </c>
      <c r="D125">
        <v>-1.1008333333333675E-2</v>
      </c>
      <c r="E125">
        <v>3.6666666666666625E-2</v>
      </c>
      <c r="F125">
        <v>-3.3333333333333548E-3</v>
      </c>
      <c r="G125">
        <v>-4.3333333333333224E-2</v>
      </c>
      <c r="H125">
        <v>6.6666666666667651E-3</v>
      </c>
      <c r="I125">
        <v>-9.4919573626864873E-3</v>
      </c>
      <c r="J125">
        <v>-2.3781283099238917</v>
      </c>
      <c r="K125">
        <v>1.541913783358595</v>
      </c>
      <c r="L125">
        <v>0.35000000000000003</v>
      </c>
      <c r="M125">
        <v>2.1666666666666723E-2</v>
      </c>
      <c r="N125">
        <v>0.46286743849788481</v>
      </c>
      <c r="O125">
        <v>-0.40638079384390913</v>
      </c>
      <c r="P125">
        <v>15.65</v>
      </c>
      <c r="Q125">
        <v>9.2114445219818606</v>
      </c>
    </row>
    <row r="126" spans="1:17" x14ac:dyDescent="0.2">
      <c r="A126" s="9">
        <v>45413</v>
      </c>
      <c r="B126">
        <v>1.1573512190828252</v>
      </c>
      <c r="C126">
        <v>0.43333333333333302</v>
      </c>
      <c r="D126">
        <v>-1.0833333333333639E-2</v>
      </c>
      <c r="E126">
        <v>3.5833333333333384E-2</v>
      </c>
      <c r="F126">
        <v>-8.3333333333324155E-4</v>
      </c>
      <c r="G126">
        <v>-4.2500000000000093E-2</v>
      </c>
      <c r="H126">
        <v>8.3333333333313053E-4</v>
      </c>
      <c r="I126">
        <v>-7.3951372921537417E-3</v>
      </c>
      <c r="J126">
        <v>0.47811004572060589</v>
      </c>
      <c r="K126">
        <v>0.27399628893928218</v>
      </c>
      <c r="L126">
        <v>0.34916666666666663</v>
      </c>
      <c r="M126">
        <v>-8.3333333333340809E-4</v>
      </c>
      <c r="N126">
        <v>-1.0860475657539417</v>
      </c>
      <c r="O126">
        <v>-0.40692471754855974</v>
      </c>
      <c r="P126">
        <v>12.92</v>
      </c>
      <c r="Q126">
        <v>-4.2253521126760614</v>
      </c>
    </row>
    <row r="127" spans="1:17" x14ac:dyDescent="0.2">
      <c r="A127" s="9">
        <v>45444</v>
      </c>
      <c r="B127">
        <v>1.1607317321410837</v>
      </c>
      <c r="C127">
        <v>0.43333333333333302</v>
      </c>
      <c r="D127">
        <v>-1.0833333333333639E-2</v>
      </c>
      <c r="E127">
        <v>4.2499999999999982E-2</v>
      </c>
      <c r="F127">
        <v>6.6666666666665986E-3</v>
      </c>
      <c r="G127">
        <v>-4.2499999999999982E-2</v>
      </c>
      <c r="H127">
        <v>1.1102230246251565E-16</v>
      </c>
      <c r="I127">
        <v>-3.1167980103521398E-3</v>
      </c>
      <c r="J127">
        <v>0.44551959930867541</v>
      </c>
      <c r="K127">
        <v>-0.43866219589258071</v>
      </c>
      <c r="L127">
        <v>0.32333333333333336</v>
      </c>
      <c r="M127">
        <v>-2.5833333333333264E-2</v>
      </c>
      <c r="N127">
        <v>-0.31832448579568484</v>
      </c>
      <c r="O127">
        <v>-0.40783150619505715</v>
      </c>
      <c r="P127">
        <v>12.44</v>
      </c>
      <c r="Q127">
        <v>-5.1106025934401167</v>
      </c>
    </row>
    <row r="128" spans="1:17" x14ac:dyDescent="0.2">
      <c r="A128" s="9">
        <v>45474</v>
      </c>
      <c r="B128">
        <v>0.98384974618307341</v>
      </c>
      <c r="C128">
        <v>0.43333333333333302</v>
      </c>
      <c r="D128">
        <v>-1.0833333333333639E-2</v>
      </c>
      <c r="E128">
        <v>5.6666666666666643E-2</v>
      </c>
      <c r="F128">
        <v>1.4166666666666661E-2</v>
      </c>
      <c r="G128">
        <v>-3.6666666666666625E-2</v>
      </c>
      <c r="H128">
        <v>5.833333333333357E-3</v>
      </c>
      <c r="I128">
        <v>-8.4249076175103021E-3</v>
      </c>
      <c r="J128">
        <v>1.3614075313738643</v>
      </c>
      <c r="K128">
        <v>-0.34061598008511274</v>
      </c>
      <c r="L128">
        <v>0.315</v>
      </c>
      <c r="M128">
        <v>-8.3333333333333592E-3</v>
      </c>
      <c r="N128">
        <v>-1.3225929038760302</v>
      </c>
      <c r="O128">
        <v>-0.40842635652870263</v>
      </c>
      <c r="P128">
        <v>16.36</v>
      </c>
      <c r="Q128">
        <v>33.442088091354009</v>
      </c>
    </row>
    <row r="129" spans="1:17" x14ac:dyDescent="0.2">
      <c r="A129" s="9">
        <v>45505</v>
      </c>
      <c r="B129">
        <v>0.20128346879376346</v>
      </c>
      <c r="C129">
        <v>0.41249999999999998</v>
      </c>
      <c r="D129">
        <v>-3.1666666666666676E-2</v>
      </c>
      <c r="E129">
        <v>5.5000000000000049E-2</v>
      </c>
      <c r="F129">
        <v>-1.6666666666665941E-3</v>
      </c>
      <c r="G129">
        <v>-3.1666666666666621E-2</v>
      </c>
      <c r="H129">
        <v>5.0000000000000044E-3</v>
      </c>
      <c r="I129">
        <v>-3.4672041246850971E-3</v>
      </c>
      <c r="J129">
        <v>-7.7650136808625758E-3</v>
      </c>
      <c r="K129">
        <v>1.0895257890187415</v>
      </c>
      <c r="L129">
        <v>0.30333333333333334</v>
      </c>
      <c r="M129">
        <v>-1.1666666666666659E-2</v>
      </c>
      <c r="N129">
        <v>-1.4159902495028978</v>
      </c>
      <c r="O129">
        <v>-0.40782270854892555</v>
      </c>
      <c r="P129">
        <v>15</v>
      </c>
      <c r="Q129">
        <v>-61.109670728545495</v>
      </c>
    </row>
    <row r="130" spans="1:17" x14ac:dyDescent="0.2">
      <c r="A130" s="9">
        <v>45536</v>
      </c>
      <c r="B130">
        <v>6.2862567183433013E-2</v>
      </c>
      <c r="C130">
        <v>0.41249999999999998</v>
      </c>
      <c r="D130">
        <v>-1.5000000000000013E-2</v>
      </c>
      <c r="E130">
        <v>6.9166666666666654E-2</v>
      </c>
      <c r="F130">
        <v>1.4166666666666605E-2</v>
      </c>
      <c r="G130">
        <v>-2.7500000000000024E-2</v>
      </c>
      <c r="H130">
        <v>4.1666666666665964E-3</v>
      </c>
      <c r="I130">
        <v>3.4597004305157997E-3</v>
      </c>
      <c r="J130">
        <v>-0.12972116439056908</v>
      </c>
      <c r="K130">
        <v>1.2956541824557966</v>
      </c>
      <c r="L130">
        <v>0.30250000000000005</v>
      </c>
      <c r="M130">
        <v>-8.3333333333329707E-4</v>
      </c>
      <c r="N130">
        <v>-1.459106650799638</v>
      </c>
      <c r="O130">
        <v>-0.39187275945493005</v>
      </c>
      <c r="P130">
        <v>16.73</v>
      </c>
      <c r="Q130">
        <v>-19.256756756756754</v>
      </c>
    </row>
    <row r="131" spans="1:17" x14ac:dyDescent="0.2">
      <c r="A131" s="9">
        <v>45566</v>
      </c>
      <c r="B131">
        <v>1.5244628300109645E-2</v>
      </c>
      <c r="C131">
        <v>0.41249999999999998</v>
      </c>
      <c r="D131">
        <v>9.9999999999999534E-3</v>
      </c>
      <c r="E131">
        <v>5.7499999999999996E-2</v>
      </c>
      <c r="F131">
        <v>-1.1666666666666659E-2</v>
      </c>
      <c r="G131">
        <v>-1.9166666666666665E-2</v>
      </c>
      <c r="H131">
        <v>8.3333333333333592E-3</v>
      </c>
      <c r="I131">
        <v>5.8276068938111214E-3</v>
      </c>
      <c r="J131">
        <v>-1.6695833580904584</v>
      </c>
      <c r="K131">
        <v>0.77463217727008482</v>
      </c>
      <c r="L131">
        <v>0.32333333333333331</v>
      </c>
      <c r="M131">
        <v>2.0833333333333259E-2</v>
      </c>
      <c r="N131">
        <v>0.57003932831998982</v>
      </c>
      <c r="O131">
        <v>-0.36735518492066144</v>
      </c>
      <c r="P131">
        <v>23.16</v>
      </c>
      <c r="Q131">
        <v>20.562207183758453</v>
      </c>
    </row>
    <row r="132" spans="1:17" x14ac:dyDescent="0.2">
      <c r="A132" s="9">
        <v>45597</v>
      </c>
      <c r="B132">
        <v>2.5118747000438195</v>
      </c>
      <c r="C132">
        <v>0.395633333333333</v>
      </c>
      <c r="D132">
        <v>8.9666666666663453E-3</v>
      </c>
      <c r="E132">
        <v>6.25E-2</v>
      </c>
      <c r="F132">
        <v>5.0000000000000044E-3</v>
      </c>
      <c r="G132">
        <v>-2.4166666666666559E-2</v>
      </c>
      <c r="H132">
        <v>-4.9999999999998934E-3</v>
      </c>
      <c r="I132">
        <v>6.2725026573170473E-3</v>
      </c>
      <c r="J132">
        <v>1.4530967525660716</v>
      </c>
      <c r="K132">
        <v>-0.45798050439083138</v>
      </c>
      <c r="L132">
        <v>0.32916666666666666</v>
      </c>
      <c r="M132">
        <v>5.833333333333357E-3</v>
      </c>
      <c r="N132">
        <v>-1.3117038516195374</v>
      </c>
      <c r="O132">
        <v>-0.35178084366344031</v>
      </c>
      <c r="P132">
        <v>13.51</v>
      </c>
      <c r="Q132">
        <v>-38.535031847133759</v>
      </c>
    </row>
    <row r="133" spans="1:17" x14ac:dyDescent="0.2">
      <c r="A133" s="9">
        <v>45627</v>
      </c>
      <c r="B133">
        <v>-0.73047275946122014</v>
      </c>
      <c r="C133">
        <v>0.391666666666667</v>
      </c>
      <c r="D133">
        <v>1.8333333333333646E-2</v>
      </c>
      <c r="E133">
        <v>7.9166666666666663E-2</v>
      </c>
      <c r="F133">
        <v>1.6666666666666663E-2</v>
      </c>
      <c r="G133">
        <v>-1.4166666666666605E-2</v>
      </c>
      <c r="H133">
        <v>9.9999999999999534E-3</v>
      </c>
      <c r="I133">
        <v>6.1348104948186766E-3</v>
      </c>
      <c r="J133">
        <v>-0.78143310266141697</v>
      </c>
      <c r="K133">
        <v>0.50038983770136491</v>
      </c>
      <c r="L133">
        <v>0.32333333333333331</v>
      </c>
      <c r="M133">
        <v>-5.833333333333357E-3</v>
      </c>
      <c r="N133">
        <v>-6.5517018419526396E-2</v>
      </c>
      <c r="O133">
        <v>-0.33836856927104281</v>
      </c>
      <c r="P133">
        <v>17.350000000000001</v>
      </c>
      <c r="Q133">
        <v>30.451127819548883</v>
      </c>
    </row>
    <row r="134" spans="1:17" x14ac:dyDescent="0.2">
      <c r="A134" s="9">
        <v>45658</v>
      </c>
      <c r="B134">
        <v>2.664630651168546</v>
      </c>
      <c r="C134">
        <v>0.39168333333333299</v>
      </c>
      <c r="D134">
        <v>3.0849999999999655E-2</v>
      </c>
      <c r="E134">
        <v>8.9999999999999969E-2</v>
      </c>
      <c r="F134">
        <v>1.0833333333333306E-2</v>
      </c>
      <c r="G134">
        <v>-5.0000000000000044E-3</v>
      </c>
      <c r="H134">
        <v>9.1666666666666008E-3</v>
      </c>
      <c r="I134">
        <v>7.5023566163572308E-3</v>
      </c>
      <c r="J134">
        <v>0.34908255979636738</v>
      </c>
      <c r="K134">
        <v>0.53696774478695364</v>
      </c>
      <c r="L134">
        <v>0.34333333333333338</v>
      </c>
      <c r="M134">
        <v>2.0000000000000073E-2</v>
      </c>
      <c r="N134">
        <v>-1.2426485711525617</v>
      </c>
      <c r="O134">
        <v>-0.32532153754764914</v>
      </c>
      <c r="P134">
        <v>16.43</v>
      </c>
      <c r="Q134">
        <v>2.4314214463840411</v>
      </c>
    </row>
    <row r="135" spans="1:17" x14ac:dyDescent="0.2">
      <c r="A135" s="9">
        <v>45689</v>
      </c>
      <c r="B135">
        <v>-0.63980558944311527</v>
      </c>
      <c r="C135">
        <v>0.37432500000000002</v>
      </c>
      <c r="D135">
        <v>1.349166666666668E-2</v>
      </c>
      <c r="E135">
        <v>9.0833333333333266E-2</v>
      </c>
      <c r="F135">
        <v>8.3333333333329707E-4</v>
      </c>
      <c r="G135">
        <v>-5.8333333333333015E-3</v>
      </c>
      <c r="H135">
        <v>-8.3333333333329707E-4</v>
      </c>
      <c r="I135">
        <v>5.812688751138495E-3</v>
      </c>
      <c r="J135">
        <v>0.13535969057984193</v>
      </c>
      <c r="K135">
        <v>0.17313062833090864</v>
      </c>
      <c r="L135">
        <v>0.32250000000000001</v>
      </c>
      <c r="M135">
        <v>-2.083333333333337E-2</v>
      </c>
      <c r="N135">
        <v>-0.64496969911525204</v>
      </c>
      <c r="O135">
        <v>-0.32530962427281412</v>
      </c>
      <c r="P135">
        <v>19.63</v>
      </c>
      <c r="Q135">
        <v>5.4242749731471473</v>
      </c>
    </row>
    <row r="136" spans="1:17" x14ac:dyDescent="0.2">
      <c r="A136" s="9">
        <v>45717</v>
      </c>
      <c r="B136">
        <v>-2.5680570998352561</v>
      </c>
      <c r="C136">
        <v>0.37129166666666702</v>
      </c>
      <c r="D136">
        <v>1.045833333333368E-2</v>
      </c>
      <c r="E136">
        <v>0.10499999999999998</v>
      </c>
      <c r="F136">
        <v>1.4166666666666716E-2</v>
      </c>
      <c r="G136">
        <v>0</v>
      </c>
      <c r="H136">
        <v>5.8333333333333015E-3</v>
      </c>
      <c r="I136">
        <v>5.2519795993577478E-3</v>
      </c>
      <c r="J136">
        <v>-1.8716624465378884</v>
      </c>
      <c r="K136">
        <v>0.497376927955262</v>
      </c>
      <c r="L136">
        <v>0.33583333333333337</v>
      </c>
      <c r="M136">
        <v>1.3333333333333364E-2</v>
      </c>
      <c r="N136">
        <v>0.96051392618165299</v>
      </c>
      <c r="O136">
        <v>-0.3227104207045724</v>
      </c>
      <c r="P136">
        <v>22.28</v>
      </c>
      <c r="Q136">
        <v>-5.2318162484049306</v>
      </c>
    </row>
    <row r="137" spans="1:17" x14ac:dyDescent="0.2">
      <c r="A137" s="9">
        <v>45748</v>
      </c>
      <c r="B137">
        <v>-0.12574664360828455</v>
      </c>
      <c r="C137">
        <v>0.371475</v>
      </c>
      <c r="D137">
        <v>1.064166666666666E-2</v>
      </c>
      <c r="E137">
        <v>0.13166666666666671</v>
      </c>
      <c r="F137">
        <v>2.6666666666666727E-2</v>
      </c>
      <c r="G137">
        <v>1.6666666666667052E-3</v>
      </c>
      <c r="H137">
        <v>1.6666666666667052E-3</v>
      </c>
      <c r="I137">
        <v>1.1086802033456689E-2</v>
      </c>
      <c r="J137">
        <v>1.2656565827966442</v>
      </c>
      <c r="K137">
        <v>-0.86629945291814003</v>
      </c>
      <c r="L137">
        <v>0.30083333333333329</v>
      </c>
      <c r="M137">
        <v>-3.5000000000000087E-2</v>
      </c>
      <c r="N137">
        <v>-0.78323253356016631</v>
      </c>
      <c r="O137">
        <v>-0.32011504649589778</v>
      </c>
      <c r="P137">
        <v>24.7</v>
      </c>
      <c r="Q137">
        <v>14.830311483031133</v>
      </c>
    </row>
    <row r="138" spans="1:17" x14ac:dyDescent="0.2">
      <c r="A138" s="9">
        <v>45778</v>
      </c>
      <c r="B138">
        <v>2.3878145236429944</v>
      </c>
      <c r="C138">
        <v>0.35503333333333298</v>
      </c>
      <c r="D138">
        <v>-5.8000000000003604E-3</v>
      </c>
      <c r="E138">
        <v>0.12416666666666665</v>
      </c>
      <c r="F138">
        <v>-7.5000000000000622E-3</v>
      </c>
      <c r="G138">
        <v>2.4999999999999467E-3</v>
      </c>
      <c r="H138">
        <v>8.3333333333324155E-4</v>
      </c>
      <c r="I138">
        <v>1.2243566024527086E-2</v>
      </c>
      <c r="J138">
        <v>-0.42014204580768427</v>
      </c>
      <c r="K138">
        <v>1.3125126980642166</v>
      </c>
      <c r="L138">
        <v>0.30083333333333334</v>
      </c>
      <c r="M138">
        <v>0</v>
      </c>
      <c r="N138">
        <v>-1.1591554387325347</v>
      </c>
      <c r="O138">
        <v>-0.32287319080691901</v>
      </c>
      <c r="P138">
        <v>18.57</v>
      </c>
      <c r="Q138">
        <v>-21.446700507614214</v>
      </c>
    </row>
    <row r="139" spans="1:17" x14ac:dyDescent="0.2">
      <c r="A139" s="9">
        <v>45809</v>
      </c>
      <c r="B139">
        <v>1.3006576888791135</v>
      </c>
      <c r="C139">
        <v>0.35120000000000001</v>
      </c>
      <c r="D139">
        <v>-9.6333333333333271E-3</v>
      </c>
      <c r="E139">
        <v>0.1333333333333333</v>
      </c>
      <c r="F139">
        <v>9.1666666666666563E-3</v>
      </c>
      <c r="G139">
        <v>1.6666666666665941E-3</v>
      </c>
      <c r="H139">
        <v>-8.3333333333335258E-4</v>
      </c>
      <c r="I139">
        <v>1.1956498311978814E-2</v>
      </c>
      <c r="J139">
        <v>1.4055246320234833</v>
      </c>
      <c r="K139">
        <v>-0.8320338723343812</v>
      </c>
      <c r="L139">
        <v>0.26916666666666667</v>
      </c>
      <c r="M139">
        <v>-3.1666666666666676E-2</v>
      </c>
      <c r="N139">
        <v>-0.86881567324215925</v>
      </c>
      <c r="O139">
        <v>-0.32392922224719939</v>
      </c>
      <c r="P139">
        <v>16.73</v>
      </c>
      <c r="Q139">
        <v>-5.4267947993216552</v>
      </c>
    </row>
    <row r="140" spans="1:17" x14ac:dyDescent="0.2">
      <c r="A140" s="9">
        <v>45839</v>
      </c>
      <c r="B140">
        <v>2.3644571963769208</v>
      </c>
      <c r="C140">
        <v>0.35143333333333299</v>
      </c>
      <c r="D140">
        <v>-9.4000000000003525E-3</v>
      </c>
      <c r="E140">
        <v>0.14000000000000001</v>
      </c>
      <c r="F140">
        <v>6.6666666666667096E-3</v>
      </c>
      <c r="G140">
        <v>4.9999999999998934E-3</v>
      </c>
      <c r="H140">
        <v>3.3333333333332993E-3</v>
      </c>
      <c r="I140">
        <v>9.1125942228002521E-3</v>
      </c>
      <c r="J140">
        <v>-2.3798636141916241E-2</v>
      </c>
      <c r="K140">
        <v>0.73442244617774044</v>
      </c>
      <c r="L140">
        <v>0.27833333333333332</v>
      </c>
      <c r="M140">
        <v>9.1666666666666563E-3</v>
      </c>
      <c r="N140">
        <v>-1.0037666080123129</v>
      </c>
      <c r="O140">
        <v>-0.32481807636798987</v>
      </c>
      <c r="P140">
        <v>16.72</v>
      </c>
      <c r="Q140">
        <v>2.0757020757020683</v>
      </c>
    </row>
    <row r="141" spans="1:17" x14ac:dyDescent="0.2">
      <c r="A141" s="9">
        <v>45870</v>
      </c>
      <c r="B141">
        <v>-3.7635693365227305E-2</v>
      </c>
      <c r="C141">
        <v>0.33476666666666699</v>
      </c>
      <c r="D141">
        <v>-2.6066666666666349E-2</v>
      </c>
      <c r="E141">
        <v>0.14916666666666667</v>
      </c>
      <c r="F141">
        <v>9.1666666666666563E-3</v>
      </c>
      <c r="G141">
        <v>7.4999999999999512E-3</v>
      </c>
      <c r="H141">
        <v>2.5000000000000577E-3</v>
      </c>
      <c r="I141">
        <v>1.0808050818647996E-2</v>
      </c>
      <c r="J141">
        <v>-0.94564972218921284</v>
      </c>
      <c r="K141">
        <v>1.2071474299161555</v>
      </c>
      <c r="L141">
        <v>0.27</v>
      </c>
      <c r="M141">
        <v>-8.3333333333333037E-3</v>
      </c>
      <c r="N141">
        <v>-0.59145152801659373</v>
      </c>
      <c r="O141">
        <v>-0.32478842470333275</v>
      </c>
      <c r="P141">
        <v>15.36</v>
      </c>
      <c r="Q141">
        <v>-12.328767123287676</v>
      </c>
    </row>
    <row r="142" spans="1:17" x14ac:dyDescent="0.2">
      <c r="A142" s="9">
        <v>45901</v>
      </c>
      <c r="B142">
        <v>1.5120608050198472</v>
      </c>
      <c r="C142">
        <v>0.3306</v>
      </c>
      <c r="D142">
        <v>-2.1066666666666622E-2</v>
      </c>
      <c r="E142">
        <v>0.13750000000000001</v>
      </c>
      <c r="F142">
        <v>-1.1666666666666659E-2</v>
      </c>
      <c r="G142">
        <v>7.5000000000000067E-3</v>
      </c>
      <c r="H142">
        <v>5.5511151231257827E-17</v>
      </c>
      <c r="I142">
        <v>1.3243462872483069E-2</v>
      </c>
      <c r="J142">
        <v>0.73546966098117694</v>
      </c>
      <c r="K142">
        <v>-0.30729725242875094</v>
      </c>
      <c r="L142">
        <v>0.27166666666666667</v>
      </c>
      <c r="M142">
        <v>1.6666666666666496E-3</v>
      </c>
      <c r="N142">
        <v>-0.75153605899196996</v>
      </c>
      <c r="O142">
        <v>-0.31593620593628907</v>
      </c>
      <c r="P142">
        <v>16.28</v>
      </c>
      <c r="Q142">
        <v>-0.42813455657492172</v>
      </c>
    </row>
    <row r="143" spans="1:17" x14ac:dyDescent="0.2">
      <c r="A143" s="9">
        <v>45931</v>
      </c>
      <c r="B143">
        <v>2.6303236664701828</v>
      </c>
      <c r="C143">
        <v>0.330683333333333</v>
      </c>
      <c r="D143">
        <v>-1.0150000000000325E-2</v>
      </c>
      <c r="E143">
        <v>0.1283333333333333</v>
      </c>
      <c r="F143">
        <v>-9.1666666666667118E-3</v>
      </c>
      <c r="G143">
        <v>6.6666666666667096E-3</v>
      </c>
      <c r="H143">
        <v>-8.3333333333329707E-4</v>
      </c>
      <c r="I143">
        <v>1.5332327536578316E-2</v>
      </c>
      <c r="J143">
        <v>1.7116922764778253</v>
      </c>
      <c r="K143">
        <v>-1.4858299645569617</v>
      </c>
      <c r="L143">
        <v>0.25166666666666671</v>
      </c>
      <c r="M143">
        <v>-1.9999999999999962E-2</v>
      </c>
      <c r="N143">
        <v>-0.53334375688255586</v>
      </c>
      <c r="O143">
        <v>-0.30502359876188867</v>
      </c>
      <c r="P143">
        <v>17.440000000000001</v>
      </c>
      <c r="Q143">
        <v>6.536346976175933</v>
      </c>
    </row>
    <row r="144" spans="1:17" x14ac:dyDescent="0.2">
      <c r="A144" s="9">
        <v>45962</v>
      </c>
      <c r="B144">
        <v>6.4450144874432388E-2</v>
      </c>
      <c r="C144">
        <v>0.33077499999999999</v>
      </c>
      <c r="D144">
        <v>7.4416666666666798E-3</v>
      </c>
      <c r="E144">
        <v>0.13</v>
      </c>
      <c r="F144">
        <v>1.6666666666667052E-3</v>
      </c>
      <c r="G144">
        <v>1.3333333333333308E-2</v>
      </c>
      <c r="H144">
        <v>6.6666666666665986E-3</v>
      </c>
      <c r="I144">
        <v>1.5146630020282603E-2</v>
      </c>
      <c r="J144">
        <v>-0.26362362275971585</v>
      </c>
      <c r="K144">
        <v>-1.8586546149768068E-2</v>
      </c>
      <c r="L144">
        <v>0.25916666666666666</v>
      </c>
      <c r="M144">
        <v>7.4999999999999512E-3</v>
      </c>
      <c r="N144">
        <v>-4.9060540900919491E-2</v>
      </c>
      <c r="O144">
        <v>-0.28666802340438935</v>
      </c>
      <c r="P144">
        <v>16.350000000000001</v>
      </c>
      <c r="Q144">
        <v>-6.25</v>
      </c>
    </row>
    <row r="145" spans="1:17" x14ac:dyDescent="0.2">
      <c r="A145" s="9">
        <v>45992</v>
      </c>
      <c r="B145">
        <v>0.64991632276644051</v>
      </c>
      <c r="C145">
        <v>0.32324166666666698</v>
      </c>
      <c r="D145">
        <v>1.3241666666666985E-2</v>
      </c>
      <c r="E145">
        <v>0.12750000000000006</v>
      </c>
      <c r="F145">
        <v>-2.4999999999999467E-3</v>
      </c>
      <c r="G145">
        <v>1.5833333333333366E-2</v>
      </c>
      <c r="H145">
        <v>2.5000000000000577E-3</v>
      </c>
      <c r="I145">
        <v>1.7714205996095245E-2</v>
      </c>
      <c r="J145">
        <v>0.22777557059858333</v>
      </c>
      <c r="K145">
        <v>4.5576251216561392E-2</v>
      </c>
      <c r="L145">
        <v>0.24999999999999997</v>
      </c>
      <c r="M145">
        <v>-9.1666666666666841E-3</v>
      </c>
      <c r="N145">
        <v>-0.59209124229443622</v>
      </c>
      <c r="O145">
        <v>-0.27306594778046273</v>
      </c>
      <c r="P145">
        <v>14.95</v>
      </c>
      <c r="Q145">
        <v>-7.0273631840795936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DFE47-FD52-DD40-94AF-019B54770BE7}">
  <dimension ref="A1"/>
  <sheetViews>
    <sheetView topLeftCell="A30" workbookViewId="0">
      <selection activeCell="T44" sqref="T44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4541A-27F8-8A43-B3DD-59B528F9FE99}">
  <dimension ref="A1:P16"/>
  <sheetViews>
    <sheetView tabSelected="1" workbookViewId="0">
      <selection activeCell="R10" sqref="R10"/>
    </sheetView>
  </sheetViews>
  <sheetFormatPr baseColWidth="10" defaultRowHeight="16" x14ac:dyDescent="0.2"/>
  <cols>
    <col min="1" max="1" width="15" bestFit="1" customWidth="1"/>
    <col min="2" max="2" width="7.33203125" bestFit="1" customWidth="1"/>
    <col min="3" max="3" width="8.83203125" bestFit="1" customWidth="1"/>
    <col min="4" max="4" width="7.33203125" bestFit="1" customWidth="1"/>
    <col min="5" max="5" width="12.1640625" bestFit="1" customWidth="1"/>
    <col min="6" max="6" width="12.6640625" bestFit="1" customWidth="1"/>
    <col min="7" max="7" width="13" bestFit="1" customWidth="1"/>
    <col min="8" max="8" width="15.6640625" bestFit="1" customWidth="1"/>
    <col min="9" max="10" width="7.33203125" bestFit="1" customWidth="1"/>
    <col min="11" max="11" width="12.1640625" bestFit="1" customWidth="1"/>
    <col min="12" max="12" width="8.6640625" bestFit="1" customWidth="1"/>
    <col min="13" max="13" width="15.5" bestFit="1" customWidth="1"/>
    <col min="14" max="14" width="8.83203125" customWidth="1"/>
    <col min="15" max="15" width="11.33203125" bestFit="1" customWidth="1"/>
    <col min="16" max="16" width="13.1640625" bestFit="1" customWidth="1"/>
  </cols>
  <sheetData>
    <row r="1" spans="1:16" x14ac:dyDescent="0.2">
      <c r="A1" s="43"/>
      <c r="B1" s="39" t="s">
        <v>66</v>
      </c>
      <c r="C1" s="39" t="s">
        <v>67</v>
      </c>
      <c r="D1" s="39" t="s">
        <v>71</v>
      </c>
      <c r="E1" s="39" t="s">
        <v>81</v>
      </c>
      <c r="F1" s="39" t="s">
        <v>68</v>
      </c>
      <c r="G1" s="39" t="s">
        <v>69</v>
      </c>
      <c r="H1" s="39" t="s">
        <v>70</v>
      </c>
      <c r="I1" s="39" t="s">
        <v>82</v>
      </c>
      <c r="J1" s="39" t="s">
        <v>83</v>
      </c>
      <c r="K1" s="39" t="s">
        <v>84</v>
      </c>
      <c r="L1" s="39" t="s">
        <v>77</v>
      </c>
      <c r="M1" s="39" t="s">
        <v>74</v>
      </c>
      <c r="N1" s="39" t="s">
        <v>56</v>
      </c>
      <c r="O1" s="39" t="s">
        <v>75</v>
      </c>
      <c r="P1" s="40" t="s">
        <v>76</v>
      </c>
    </row>
    <row r="2" spans="1:16" x14ac:dyDescent="0.2">
      <c r="A2" s="44" t="s">
        <v>66</v>
      </c>
      <c r="B2" s="37">
        <v>1</v>
      </c>
      <c r="C2" s="37" cm="1">
        <f t="array" ref="C2:P2">TRANSPOSE(B3:B16)</f>
        <v>0.88765443742992101</v>
      </c>
      <c r="D2" s="37">
        <v>-0.42088749494344413</v>
      </c>
      <c r="E2" s="37">
        <v>0.39648998001463759</v>
      </c>
      <c r="F2" s="37">
        <v>0.59008431198389433</v>
      </c>
      <c r="G2" s="37">
        <v>7.6139491906513437E-2</v>
      </c>
      <c r="H2" s="37">
        <v>6.7948387650022014E-3</v>
      </c>
      <c r="I2" s="37">
        <v>0.11856944192099206</v>
      </c>
      <c r="J2" s="37">
        <v>-4.3149023910808784E-2</v>
      </c>
      <c r="K2" s="37">
        <v>-8.4023864173610754E-2</v>
      </c>
      <c r="L2" s="37">
        <v>-0.5744625771661046</v>
      </c>
      <c r="M2" s="37">
        <v>1.1856250336804942E-2</v>
      </c>
      <c r="N2" s="37">
        <v>-0.32924267138331181</v>
      </c>
      <c r="O2" s="37">
        <v>-2.8365185152894778E-4</v>
      </c>
      <c r="P2" s="41">
        <v>0.52629534258378974</v>
      </c>
    </row>
    <row r="3" spans="1:16" x14ac:dyDescent="0.2">
      <c r="A3" s="44" t="s">
        <v>67</v>
      </c>
      <c r="B3" s="37">
        <v>0.88765443742992101</v>
      </c>
      <c r="C3" s="37">
        <v>1</v>
      </c>
      <c r="D3" s="37" cm="1">
        <f t="array" ref="D3:P3">TRANSPOSE(C4:C16)</f>
        <v>-0.5897773778032821</v>
      </c>
      <c r="E3" s="37">
        <v>0.38219940229789862</v>
      </c>
      <c r="F3" s="37">
        <v>0.36547352361965724</v>
      </c>
      <c r="G3" s="37">
        <v>-2.1590023627233466E-2</v>
      </c>
      <c r="H3" s="37">
        <v>8.9079202110267153E-2</v>
      </c>
      <c r="I3" s="37">
        <v>-7.7315376965466087E-3</v>
      </c>
      <c r="J3" s="37">
        <v>2.7908516611869695E-2</v>
      </c>
      <c r="K3" s="37">
        <v>5.562616755894755E-3</v>
      </c>
      <c r="L3" s="37">
        <v>-0.40386372626031203</v>
      </c>
      <c r="M3" s="37">
        <v>4.7999558910583945E-3</v>
      </c>
      <c r="N3" s="37">
        <v>-0.22136101145890802</v>
      </c>
      <c r="O3" s="37">
        <v>5.7750646320342693E-2</v>
      </c>
      <c r="P3" s="41">
        <v>0.68689314480165731</v>
      </c>
    </row>
    <row r="4" spans="1:16" x14ac:dyDescent="0.2">
      <c r="A4" s="44" t="s">
        <v>71</v>
      </c>
      <c r="B4" s="37">
        <v>-0.42088749494344413</v>
      </c>
      <c r="C4" s="37">
        <v>-0.5897773778032821</v>
      </c>
      <c r="D4" s="37">
        <v>1</v>
      </c>
      <c r="E4" s="37" cm="1">
        <f t="array" ref="E4:P4">TRANSPOSE(D5:D16)</f>
        <v>3.0457153746199666E-3</v>
      </c>
      <c r="F4" s="37">
        <v>-4.1698490510545708E-2</v>
      </c>
      <c r="G4" s="37">
        <v>0.12824121228259078</v>
      </c>
      <c r="H4" s="37">
        <v>7.4361543284989728E-2</v>
      </c>
      <c r="I4" s="37">
        <v>-4.5154312506107683E-4</v>
      </c>
      <c r="J4" s="37">
        <v>3.3634180119813305E-2</v>
      </c>
      <c r="K4" s="37">
        <v>-9.2001155612881011E-2</v>
      </c>
      <c r="L4" s="37">
        <v>0.34826078938498056</v>
      </c>
      <c r="M4" s="37">
        <v>-6.6594349211559531E-2</v>
      </c>
      <c r="N4" s="37">
        <v>-0.1222912883360243</v>
      </c>
      <c r="O4" s="37">
        <v>-0.13237293981547821</v>
      </c>
      <c r="P4" s="41">
        <v>-0.9619047373895655</v>
      </c>
    </row>
    <row r="5" spans="1:16" x14ac:dyDescent="0.2">
      <c r="A5" s="44" t="s">
        <v>81</v>
      </c>
      <c r="B5" s="37">
        <v>0.39648998001463759</v>
      </c>
      <c r="C5" s="37">
        <v>0.38219940229789862</v>
      </c>
      <c r="D5" s="37">
        <v>3.0457153746199666E-3</v>
      </c>
      <c r="E5" s="37">
        <v>1</v>
      </c>
      <c r="F5" s="37" cm="1">
        <f t="array" ref="F5:P5">TRANSPOSE(E6:E16)</f>
        <v>0.33867399859424829</v>
      </c>
      <c r="G5" s="37">
        <v>7.0058822865171344E-2</v>
      </c>
      <c r="H5" s="37">
        <v>0.1033593775866035</v>
      </c>
      <c r="I5" s="37">
        <v>4.505006467537169E-2</v>
      </c>
      <c r="J5" s="37">
        <v>-7.3004133443775338E-3</v>
      </c>
      <c r="K5" s="37">
        <v>-5.4346173345886116E-2</v>
      </c>
      <c r="L5" s="37">
        <v>-9.3086023652914712E-2</v>
      </c>
      <c r="M5" s="37">
        <v>6.8835110973915828E-2</v>
      </c>
      <c r="N5" s="37">
        <v>6.2283553761137235E-2</v>
      </c>
      <c r="O5" s="37">
        <v>-1.67401232007918E-4</v>
      </c>
      <c r="P5" s="41">
        <v>0.26771106844693493</v>
      </c>
    </row>
    <row r="6" spans="1:16" x14ac:dyDescent="0.2">
      <c r="A6" s="44" t="s">
        <v>68</v>
      </c>
      <c r="B6" s="37">
        <v>0.59008431198389433</v>
      </c>
      <c r="C6" s="37">
        <v>0.36547352361965724</v>
      </c>
      <c r="D6" s="37">
        <v>-4.1698490510545708E-2</v>
      </c>
      <c r="E6" s="37">
        <v>0.33867399859424829</v>
      </c>
      <c r="F6" s="37">
        <v>1</v>
      </c>
      <c r="G6" s="37" cm="1">
        <f t="array" ref="G6:P6">TRANSPOSE(F7:F16)</f>
        <v>3.6360160366488072E-2</v>
      </c>
      <c r="H6" s="37">
        <v>0.10724010525112158</v>
      </c>
      <c r="I6" s="37">
        <v>0.16740175466078114</v>
      </c>
      <c r="J6" s="37">
        <v>-7.6251268354006169E-2</v>
      </c>
      <c r="K6" s="37">
        <v>-0.11979230389480539</v>
      </c>
      <c r="L6" s="37">
        <v>-0.51382890134289871</v>
      </c>
      <c r="M6" s="37">
        <v>8.9093566890646514E-2</v>
      </c>
      <c r="N6" s="37">
        <v>-0.20565518481664119</v>
      </c>
      <c r="O6" s="37">
        <v>-2.5666770235701124E-2</v>
      </c>
      <c r="P6" s="41">
        <v>0.12454070187937653</v>
      </c>
    </row>
    <row r="7" spans="1:16" x14ac:dyDescent="0.2">
      <c r="A7" s="44" t="s">
        <v>69</v>
      </c>
      <c r="B7" s="37">
        <v>7.6139491906513437E-2</v>
      </c>
      <c r="C7" s="37">
        <v>-2.1590023627233466E-2</v>
      </c>
      <c r="D7" s="37">
        <v>0.12824121228259078</v>
      </c>
      <c r="E7" s="37">
        <v>7.0058822865171344E-2</v>
      </c>
      <c r="F7" s="37">
        <v>3.6360160366488072E-2</v>
      </c>
      <c r="G7" s="37">
        <v>1</v>
      </c>
      <c r="H7" s="37" cm="1">
        <f t="array" ref="H7:P7">TRANSPOSE(G8:G16)</f>
        <v>0.35213338225286872</v>
      </c>
      <c r="I7" s="37">
        <v>8.3767808424531104E-2</v>
      </c>
      <c r="J7" s="37">
        <v>-1.7240978330787034E-2</v>
      </c>
      <c r="K7" s="37">
        <v>-9.3594290342185013E-2</v>
      </c>
      <c r="L7" s="37">
        <v>1.7634481143038838E-3</v>
      </c>
      <c r="M7" s="37">
        <v>-0.12403777488629597</v>
      </c>
      <c r="N7" s="37">
        <v>7.1774903059801512E-2</v>
      </c>
      <c r="O7" s="37">
        <v>-7.873940640737008E-3</v>
      </c>
      <c r="P7" s="41">
        <v>-0.10790788632492494</v>
      </c>
    </row>
    <row r="8" spans="1:16" x14ac:dyDescent="0.2">
      <c r="A8" s="44" t="s">
        <v>70</v>
      </c>
      <c r="B8" s="37">
        <v>6.7948387650022014E-3</v>
      </c>
      <c r="C8" s="37">
        <v>8.9079202110267153E-2</v>
      </c>
      <c r="D8" s="37">
        <v>7.4361543284989728E-2</v>
      </c>
      <c r="E8" s="37">
        <v>0.1033593775866035</v>
      </c>
      <c r="F8" s="37">
        <v>0.10724010525112158</v>
      </c>
      <c r="G8" s="37">
        <v>0.35213338225286872</v>
      </c>
      <c r="H8" s="37">
        <v>1</v>
      </c>
      <c r="I8" s="37" cm="1">
        <f t="array" ref="I8:P8">TRANSPOSE(H9:H16)</f>
        <v>-0.38753106652435954</v>
      </c>
      <c r="J8" s="37">
        <v>0.39119362427135218</v>
      </c>
      <c r="K8" s="37">
        <v>8.0504393767965643E-2</v>
      </c>
      <c r="L8" s="37">
        <v>7.5107541625966237E-2</v>
      </c>
      <c r="M8" s="37">
        <v>5.6238698188068467E-2</v>
      </c>
      <c r="N8" s="37">
        <v>0.10334057036404981</v>
      </c>
      <c r="O8" s="37">
        <v>8.0750579514086845E-2</v>
      </c>
      <c r="P8" s="41">
        <v>-5.0038537288345619E-2</v>
      </c>
    </row>
    <row r="9" spans="1:16" x14ac:dyDescent="0.2">
      <c r="A9" s="44" t="s">
        <v>82</v>
      </c>
      <c r="B9" s="37">
        <v>0.11856944192099206</v>
      </c>
      <c r="C9" s="37">
        <v>-7.7315376965466087E-3</v>
      </c>
      <c r="D9" s="37">
        <v>-4.5154312506107683E-4</v>
      </c>
      <c r="E9" s="37">
        <v>4.505006467537169E-2</v>
      </c>
      <c r="F9" s="37">
        <v>0.16740175466078114</v>
      </c>
      <c r="G9" s="37">
        <v>8.3767808424531104E-2</v>
      </c>
      <c r="H9" s="37">
        <v>-0.38753106652435954</v>
      </c>
      <c r="I9" s="37">
        <v>1</v>
      </c>
      <c r="J9" s="37" cm="1">
        <f t="array" ref="J9:P9">TRANSPOSE(I10:I16)</f>
        <v>-0.60714343112928792</v>
      </c>
      <c r="K9" s="37">
        <v>-0.61796774591831027</v>
      </c>
      <c r="L9" s="37">
        <v>-0.27183891721746645</v>
      </c>
      <c r="M9" s="37">
        <v>-0.12229890615733296</v>
      </c>
      <c r="N9" s="37">
        <v>-0.28397381816468609</v>
      </c>
      <c r="O9" s="37">
        <v>-0.29446413923940923</v>
      </c>
      <c r="P9" s="41">
        <v>1.111106783399367E-2</v>
      </c>
    </row>
    <row r="10" spans="1:16" x14ac:dyDescent="0.2">
      <c r="A10" s="44" t="s">
        <v>83</v>
      </c>
      <c r="B10" s="37">
        <v>-4.3149023910808784E-2</v>
      </c>
      <c r="C10" s="37">
        <v>2.7908516611869695E-2</v>
      </c>
      <c r="D10" s="37">
        <v>3.3634180119813305E-2</v>
      </c>
      <c r="E10" s="37">
        <v>-7.3004133443775338E-3</v>
      </c>
      <c r="F10" s="37">
        <v>-7.6251268354006169E-2</v>
      </c>
      <c r="G10" s="37">
        <v>-1.7240978330787034E-2</v>
      </c>
      <c r="H10" s="37">
        <v>0.39119362427135218</v>
      </c>
      <c r="I10" s="37">
        <v>-0.60714343112928792</v>
      </c>
      <c r="J10" s="37">
        <v>1</v>
      </c>
      <c r="K10" s="37" cm="1">
        <f t="array" ref="K10:P10">TRANSPOSE(J11:J16)</f>
        <v>-0.24735776391427991</v>
      </c>
      <c r="L10" s="37">
        <v>0.19477553572828182</v>
      </c>
      <c r="M10" s="37">
        <v>0.2432570431576862</v>
      </c>
      <c r="N10" s="37">
        <v>-8.251984251808446E-2</v>
      </c>
      <c r="O10" s="37">
        <v>-0.17278794158075408</v>
      </c>
      <c r="P10" s="41">
        <v>-3.6659792295982499E-2</v>
      </c>
    </row>
    <row r="11" spans="1:16" x14ac:dyDescent="0.2">
      <c r="A11" s="44" t="s">
        <v>84</v>
      </c>
      <c r="B11" s="37">
        <v>-8.4023864173610754E-2</v>
      </c>
      <c r="C11" s="37">
        <v>5.562616755894755E-3</v>
      </c>
      <c r="D11" s="37">
        <v>-9.2001155612881011E-2</v>
      </c>
      <c r="E11" s="37">
        <v>-5.4346173345886116E-2</v>
      </c>
      <c r="F11" s="37">
        <v>-0.11979230389480539</v>
      </c>
      <c r="G11" s="37">
        <v>-9.3594290342185013E-2</v>
      </c>
      <c r="H11" s="37">
        <v>8.0504393767965643E-2</v>
      </c>
      <c r="I11" s="37">
        <v>-0.61796774591831027</v>
      </c>
      <c r="J11" s="37">
        <v>-0.24735776391427991</v>
      </c>
      <c r="K11" s="37">
        <v>1</v>
      </c>
      <c r="L11" s="37" cm="1">
        <f t="array" ref="L11:P11">TRANSPOSE(K12:K16)</f>
        <v>0.1180715532483952</v>
      </c>
      <c r="M11" s="37">
        <v>-7.9919181209214096E-2</v>
      </c>
      <c r="N11" s="37">
        <v>0.4338612550806149</v>
      </c>
      <c r="O11" s="37">
        <v>0.53701280458162404</v>
      </c>
      <c r="P11" s="41">
        <v>7.7368665883001564E-2</v>
      </c>
    </row>
    <row r="12" spans="1:16" x14ac:dyDescent="0.2">
      <c r="A12" s="44" t="s">
        <v>77</v>
      </c>
      <c r="B12" s="37">
        <v>-0.5744625771661046</v>
      </c>
      <c r="C12" s="37">
        <v>-0.40386372626031203</v>
      </c>
      <c r="D12" s="37">
        <v>0.34826078938498056</v>
      </c>
      <c r="E12" s="37">
        <v>-9.3086023652914712E-2</v>
      </c>
      <c r="F12" s="37">
        <v>-0.51382890134289871</v>
      </c>
      <c r="G12" s="37">
        <v>1.7634481143038838E-3</v>
      </c>
      <c r="H12" s="37">
        <v>7.5107541625966237E-2</v>
      </c>
      <c r="I12" s="37">
        <v>-0.27183891721746645</v>
      </c>
      <c r="J12" s="37">
        <v>0.19477553572828182</v>
      </c>
      <c r="K12" s="37">
        <v>0.1180715532483952</v>
      </c>
      <c r="L12" s="37">
        <v>1</v>
      </c>
      <c r="M12" s="37" cm="1">
        <f t="array" ref="M12:P12">TRANSPOSE(L13:L16)</f>
        <v>0.18640677197582017</v>
      </c>
      <c r="N12" s="37">
        <v>0.20575497686051394</v>
      </c>
      <c r="O12" s="37">
        <v>-8.4060680175354324E-3</v>
      </c>
      <c r="P12" s="41">
        <v>-0.36589067292343347</v>
      </c>
    </row>
    <row r="13" spans="1:16" x14ac:dyDescent="0.2">
      <c r="A13" s="44" t="s">
        <v>74</v>
      </c>
      <c r="B13" s="37">
        <v>1.1856250336804942E-2</v>
      </c>
      <c r="C13" s="37">
        <v>4.7999558910583945E-3</v>
      </c>
      <c r="D13" s="37">
        <v>-6.6594349211559531E-2</v>
      </c>
      <c r="E13" s="37">
        <v>6.8835110973915828E-2</v>
      </c>
      <c r="F13" s="37">
        <v>8.9093566890646514E-2</v>
      </c>
      <c r="G13" s="37">
        <v>-0.12403777488629597</v>
      </c>
      <c r="H13" s="37">
        <v>5.6238698188068467E-2</v>
      </c>
      <c r="I13" s="37">
        <v>-0.12229890615733296</v>
      </c>
      <c r="J13" s="37">
        <v>0.2432570431576862</v>
      </c>
      <c r="K13" s="37">
        <v>-7.9919181209214096E-2</v>
      </c>
      <c r="L13" s="37">
        <v>0.18640677197582017</v>
      </c>
      <c r="M13" s="37">
        <v>1</v>
      </c>
      <c r="N13" s="37" cm="1">
        <f t="array" ref="N13:P13">TRANSPOSE(M14:M16)</f>
        <v>-5.5902789338293082E-2</v>
      </c>
      <c r="O13" s="37">
        <v>1.5662512708924919E-2</v>
      </c>
      <c r="P13" s="41">
        <v>7.8080710798672626E-2</v>
      </c>
    </row>
    <row r="14" spans="1:16" x14ac:dyDescent="0.2">
      <c r="A14" s="44" t="s">
        <v>56</v>
      </c>
      <c r="B14" s="37">
        <v>-0.32924267138331181</v>
      </c>
      <c r="C14" s="37">
        <v>-0.22136101145890802</v>
      </c>
      <c r="D14" s="37">
        <v>-0.1222912883360243</v>
      </c>
      <c r="E14" s="37">
        <v>6.2283553761137235E-2</v>
      </c>
      <c r="F14" s="37">
        <v>-0.20565518481664119</v>
      </c>
      <c r="G14" s="37">
        <v>7.1774903059801512E-2</v>
      </c>
      <c r="H14" s="37">
        <v>0.10334057036404981</v>
      </c>
      <c r="I14" s="37">
        <v>-0.28397381816468609</v>
      </c>
      <c r="J14" s="37">
        <v>-8.251984251808446E-2</v>
      </c>
      <c r="K14" s="37">
        <v>0.4338612550806149</v>
      </c>
      <c r="L14" s="37">
        <v>0.20575497686051394</v>
      </c>
      <c r="M14" s="37">
        <v>-5.5902789338293082E-2</v>
      </c>
      <c r="N14" s="37">
        <v>1</v>
      </c>
      <c r="O14" s="37" cm="1">
        <f t="array" ref="O14:P14">TRANSPOSE(N15:N16)</f>
        <v>0.47112812685764555</v>
      </c>
      <c r="P14" s="41">
        <v>0.1238070617827179</v>
      </c>
    </row>
    <row r="15" spans="1:16" x14ac:dyDescent="0.2">
      <c r="A15" s="44" t="s">
        <v>75</v>
      </c>
      <c r="B15" s="37">
        <v>-2.8365185152894778E-4</v>
      </c>
      <c r="C15" s="37">
        <v>5.7750646320342693E-2</v>
      </c>
      <c r="D15" s="37">
        <v>-0.13237293981547821</v>
      </c>
      <c r="E15" s="37">
        <v>-1.67401232007918E-4</v>
      </c>
      <c r="F15" s="37">
        <v>-2.5666770235701124E-2</v>
      </c>
      <c r="G15" s="37">
        <v>-7.873940640737008E-3</v>
      </c>
      <c r="H15" s="37">
        <v>8.0750579514086845E-2</v>
      </c>
      <c r="I15" s="37">
        <v>-0.29446413923940923</v>
      </c>
      <c r="J15" s="37">
        <v>-0.17278794158075408</v>
      </c>
      <c r="K15" s="37">
        <v>0.53701280458162404</v>
      </c>
      <c r="L15" s="37">
        <v>-8.4060680175354324E-3</v>
      </c>
      <c r="M15" s="37">
        <v>1.5662512708924919E-2</v>
      </c>
      <c r="N15" s="37">
        <v>0.47112812685764555</v>
      </c>
      <c r="O15" s="37">
        <v>1</v>
      </c>
      <c r="P15" s="41">
        <f>O16</f>
        <v>0.12804606325235812</v>
      </c>
    </row>
    <row r="16" spans="1:16" ht="17" thickBot="1" x14ac:dyDescent="0.25">
      <c r="A16" s="45" t="s">
        <v>76</v>
      </c>
      <c r="B16" s="38">
        <v>0.52629534258378974</v>
      </c>
      <c r="C16" s="38">
        <v>0.68689314480165731</v>
      </c>
      <c r="D16" s="38">
        <v>-0.9619047373895655</v>
      </c>
      <c r="E16" s="38">
        <v>0.26771106844693493</v>
      </c>
      <c r="F16" s="38">
        <v>0.12454070187937653</v>
      </c>
      <c r="G16" s="38">
        <v>-0.10790788632492494</v>
      </c>
      <c r="H16" s="38">
        <v>-5.0038537288345619E-2</v>
      </c>
      <c r="I16" s="38">
        <v>1.111106783399367E-2</v>
      </c>
      <c r="J16" s="38">
        <v>-3.6659792295982499E-2</v>
      </c>
      <c r="K16" s="38">
        <v>7.7368665883001564E-2</v>
      </c>
      <c r="L16" s="38">
        <v>-0.36589067292343347</v>
      </c>
      <c r="M16" s="38">
        <v>7.8080710798672626E-2</v>
      </c>
      <c r="N16" s="38">
        <v>0.1238070617827179</v>
      </c>
      <c r="O16" s="38">
        <v>0.12804606325235812</v>
      </c>
      <c r="P16" s="42">
        <v>1</v>
      </c>
    </row>
  </sheetData>
  <conditionalFormatting sqref="B2:P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:P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52FC5-394D-E441-A402-DC0C52664AB4}">
  <dimension ref="A1:I174"/>
  <sheetViews>
    <sheetView topLeftCell="A2" workbookViewId="0">
      <selection activeCell="H28" sqref="H28"/>
    </sheetView>
  </sheetViews>
  <sheetFormatPr baseColWidth="10" defaultRowHeight="16" x14ac:dyDescent="0.2"/>
  <cols>
    <col min="1" max="1" width="26" bestFit="1" customWidth="1"/>
    <col min="2" max="2" width="25" bestFit="1" customWidth="1"/>
    <col min="3" max="3" width="13.5" bestFit="1" customWidth="1"/>
    <col min="4" max="4" width="12.83203125" bestFit="1" customWidth="1"/>
    <col min="5" max="5" width="19.6640625" bestFit="1" customWidth="1"/>
    <col min="6" max="6" width="16.6640625" bestFit="1" customWidth="1"/>
    <col min="7" max="7" width="12.1640625" bestFit="1" customWidth="1"/>
    <col min="8" max="8" width="12.83203125" bestFit="1" customWidth="1"/>
    <col min="9" max="9" width="12.33203125" bestFit="1" customWidth="1"/>
  </cols>
  <sheetData>
    <row r="1" spans="1:9" x14ac:dyDescent="0.2">
      <c r="A1" t="s">
        <v>21</v>
      </c>
    </row>
    <row r="2" spans="1:9" ht="17" thickBot="1" x14ac:dyDescent="0.25"/>
    <row r="3" spans="1:9" x14ac:dyDescent="0.2">
      <c r="A3" s="4" t="s">
        <v>22</v>
      </c>
      <c r="B3" s="4"/>
    </row>
    <row r="4" spans="1:9" x14ac:dyDescent="0.2">
      <c r="A4" t="s">
        <v>23</v>
      </c>
      <c r="B4">
        <v>0.8252772969479929</v>
      </c>
    </row>
    <row r="5" spans="1:9" x14ac:dyDescent="0.2">
      <c r="A5" t="s">
        <v>24</v>
      </c>
      <c r="B5">
        <v>0.68108261685778571</v>
      </c>
    </row>
    <row r="6" spans="1:9" x14ac:dyDescent="0.2">
      <c r="A6" t="s">
        <v>25</v>
      </c>
      <c r="B6">
        <v>0.66466775154899527</v>
      </c>
    </row>
    <row r="7" spans="1:9" x14ac:dyDescent="0.2">
      <c r="A7" t="s">
        <v>26</v>
      </c>
      <c r="B7">
        <v>1.0820805920280308</v>
      </c>
    </row>
    <row r="8" spans="1:9" ht="17" thickBot="1" x14ac:dyDescent="0.25">
      <c r="A8" s="2" t="s">
        <v>27</v>
      </c>
      <c r="B8" s="2">
        <v>144</v>
      </c>
    </row>
    <row r="10" spans="1:9" ht="17" thickBot="1" x14ac:dyDescent="0.25">
      <c r="A10" t="s">
        <v>28</v>
      </c>
    </row>
    <row r="11" spans="1:9" x14ac:dyDescent="0.2">
      <c r="A11" s="3"/>
      <c r="B11" s="3" t="s">
        <v>33</v>
      </c>
      <c r="C11" s="3" t="s">
        <v>34</v>
      </c>
      <c r="D11" s="3" t="s">
        <v>35</v>
      </c>
      <c r="E11" s="3" t="s">
        <v>36</v>
      </c>
      <c r="F11" s="3" t="s">
        <v>37</v>
      </c>
    </row>
    <row r="12" spans="1:9" x14ac:dyDescent="0.2">
      <c r="A12" t="s">
        <v>29</v>
      </c>
      <c r="B12">
        <v>7</v>
      </c>
      <c r="C12">
        <v>340.07893186176875</v>
      </c>
      <c r="D12">
        <v>48.582704551681253</v>
      </c>
      <c r="E12">
        <v>41.49181879019465</v>
      </c>
      <c r="F12">
        <v>8.4670325795998062E-31</v>
      </c>
    </row>
    <row r="13" spans="1:9" x14ac:dyDescent="0.2">
      <c r="A13" t="s">
        <v>30</v>
      </c>
      <c r="B13">
        <v>136</v>
      </c>
      <c r="C13">
        <v>159.24218343954774</v>
      </c>
      <c r="D13">
        <v>1.1708984076437334</v>
      </c>
    </row>
    <row r="14" spans="1:9" ht="17" thickBot="1" x14ac:dyDescent="0.25">
      <c r="A14" s="2" t="s">
        <v>31</v>
      </c>
      <c r="B14" s="2">
        <v>143</v>
      </c>
      <c r="C14" s="2">
        <v>499.32111530131647</v>
      </c>
      <c r="D14" s="2"/>
      <c r="E14" s="2"/>
      <c r="F14" s="2"/>
    </row>
    <row r="15" spans="1:9" ht="17" thickBot="1" x14ac:dyDescent="0.25"/>
    <row r="16" spans="1:9" x14ac:dyDescent="0.2">
      <c r="A16" s="3"/>
      <c r="B16" s="3" t="s">
        <v>38</v>
      </c>
      <c r="C16" s="3" t="s">
        <v>26</v>
      </c>
      <c r="D16" s="3" t="s">
        <v>39</v>
      </c>
      <c r="E16" s="3" t="s">
        <v>40</v>
      </c>
      <c r="F16" s="3" t="s">
        <v>41</v>
      </c>
      <c r="G16" s="3" t="s">
        <v>42</v>
      </c>
      <c r="H16" s="3" t="s">
        <v>43</v>
      </c>
      <c r="I16" s="3" t="s">
        <v>44</v>
      </c>
    </row>
    <row r="17" spans="1:9" x14ac:dyDescent="0.2">
      <c r="A17" t="s">
        <v>32</v>
      </c>
      <c r="B17">
        <v>0.55203172234385411</v>
      </c>
      <c r="C17">
        <v>0.47502652467901074</v>
      </c>
      <c r="D17">
        <v>1.1621071533150238</v>
      </c>
      <c r="E17">
        <v>0.24722726141913359</v>
      </c>
      <c r="F17">
        <v>-0.38736210068646193</v>
      </c>
      <c r="G17">
        <v>1.4914255453741703</v>
      </c>
      <c r="H17">
        <v>-0.38736210068646193</v>
      </c>
      <c r="I17">
        <v>1.4914255453741703</v>
      </c>
    </row>
    <row r="18" spans="1:9" x14ac:dyDescent="0.2">
      <c r="A18" t="s">
        <v>1</v>
      </c>
      <c r="B18">
        <v>4.4063375500862305</v>
      </c>
      <c r="C18">
        <v>2.3066897659864227</v>
      </c>
      <c r="D18">
        <v>1.9102428142095318</v>
      </c>
      <c r="E18">
        <v>5.8207098677468233E-2</v>
      </c>
      <c r="F18">
        <v>-0.15528165481842482</v>
      </c>
      <c r="G18">
        <v>8.9679567549908867</v>
      </c>
      <c r="H18">
        <v>-0.15528165481842482</v>
      </c>
      <c r="I18">
        <v>8.9679567549908867</v>
      </c>
    </row>
    <row r="19" spans="1:9" x14ac:dyDescent="0.2">
      <c r="A19" t="s">
        <v>15</v>
      </c>
      <c r="B19">
        <v>0.59779690821377363</v>
      </c>
      <c r="C19">
        <v>6.5626441893767202</v>
      </c>
      <c r="D19">
        <v>9.109086078161259E-2</v>
      </c>
      <c r="E19">
        <v>0.9275544231415449</v>
      </c>
      <c r="F19">
        <v>-12.380230831210028</v>
      </c>
      <c r="G19">
        <v>13.575824647637575</v>
      </c>
      <c r="H19">
        <v>-12.380230831210028</v>
      </c>
      <c r="I19">
        <v>13.575824647637575</v>
      </c>
    </row>
    <row r="20" spans="1:9" x14ac:dyDescent="0.2">
      <c r="A20" t="s">
        <v>13</v>
      </c>
      <c r="B20">
        <v>-3.5214093432492692</v>
      </c>
      <c r="C20">
        <v>4.6306672016629857</v>
      </c>
      <c r="D20">
        <v>-0.76045398857094393</v>
      </c>
      <c r="E20">
        <v>0.44829963613605206</v>
      </c>
      <c r="F20">
        <v>-12.678835170555908</v>
      </c>
      <c r="G20">
        <v>5.6360164840573699</v>
      </c>
      <c r="H20">
        <v>-12.678835170555908</v>
      </c>
      <c r="I20">
        <v>5.6360164840573699</v>
      </c>
    </row>
    <row r="21" spans="1:9" x14ac:dyDescent="0.2">
      <c r="A21" t="s">
        <v>14</v>
      </c>
      <c r="B21">
        <v>1.8813566491832554</v>
      </c>
      <c r="C21">
        <v>7.054118009326535</v>
      </c>
      <c r="D21">
        <v>0.26670331382262641</v>
      </c>
      <c r="E21">
        <v>0.79010156510083407</v>
      </c>
      <c r="F21">
        <v>-12.068590439278887</v>
      </c>
      <c r="G21">
        <v>15.831303737645397</v>
      </c>
      <c r="H21">
        <v>-12.068590439278887</v>
      </c>
      <c r="I21">
        <v>15.831303737645397</v>
      </c>
    </row>
    <row r="22" spans="1:9" x14ac:dyDescent="0.2">
      <c r="A22" t="s">
        <v>17</v>
      </c>
      <c r="B22">
        <v>0.803084120424987</v>
      </c>
      <c r="C22">
        <v>4.9115370281505699E-2</v>
      </c>
      <c r="D22">
        <v>16.350973551091943</v>
      </c>
      <c r="E22">
        <v>6.5468672662357913E-34</v>
      </c>
      <c r="F22">
        <v>0.70595549063011298</v>
      </c>
      <c r="G22">
        <v>0.90021275021986102</v>
      </c>
      <c r="H22">
        <v>0.70595549063011298</v>
      </c>
      <c r="I22">
        <v>0.90021275021986102</v>
      </c>
    </row>
    <row r="23" spans="1:9" x14ac:dyDescent="0.2">
      <c r="A23" t="s">
        <v>18</v>
      </c>
      <c r="B23">
        <v>0.47337405528220833</v>
      </c>
      <c r="C23">
        <v>5.9477259265676007E-2</v>
      </c>
      <c r="D23">
        <v>7.9589083479404685</v>
      </c>
      <c r="E23">
        <v>6.0869840930912788E-13</v>
      </c>
      <c r="F23">
        <v>0.35575416026118106</v>
      </c>
      <c r="G23">
        <v>0.59099395030323565</v>
      </c>
      <c r="H23">
        <v>0.35575416026118106</v>
      </c>
      <c r="I23">
        <v>0.59099395030323565</v>
      </c>
    </row>
    <row r="24" spans="1:9" ht="17" thickBot="1" x14ac:dyDescent="0.25">
      <c r="A24" s="2" t="s">
        <v>20</v>
      </c>
      <c r="B24" s="2">
        <v>4.0352190863844779</v>
      </c>
      <c r="C24" s="2">
        <v>2.4181279141946663</v>
      </c>
      <c r="D24" s="2">
        <v>1.66873682020596</v>
      </c>
      <c r="E24" s="2">
        <v>9.7470119888554849E-2</v>
      </c>
      <c r="F24" s="2">
        <v>-0.74677582942916132</v>
      </c>
      <c r="G24" s="2">
        <v>8.8172140021981171</v>
      </c>
      <c r="H24" s="2">
        <v>-0.74677582942916132</v>
      </c>
      <c r="I24" s="2">
        <v>8.8172140021981171</v>
      </c>
    </row>
    <row r="28" spans="1:9" x14ac:dyDescent="0.2">
      <c r="A28" t="s">
        <v>45</v>
      </c>
      <c r="E28" t="s">
        <v>48</v>
      </c>
    </row>
    <row r="29" spans="1:9" ht="17" thickBot="1" x14ac:dyDescent="0.25"/>
    <row r="30" spans="1:9" x14ac:dyDescent="0.2">
      <c r="A30" s="3" t="s">
        <v>46</v>
      </c>
      <c r="B30" s="3" t="s">
        <v>50</v>
      </c>
      <c r="C30" s="3" t="s">
        <v>47</v>
      </c>
      <c r="E30" s="3" t="s">
        <v>49</v>
      </c>
      <c r="F30" s="3" t="s">
        <v>2</v>
      </c>
    </row>
    <row r="31" spans="1:9" x14ac:dyDescent="0.2">
      <c r="A31">
        <v>1</v>
      </c>
      <c r="B31">
        <v>-1.0725037257001917</v>
      </c>
      <c r="C31">
        <v>-2.0506474953137226</v>
      </c>
      <c r="E31">
        <v>0.34722222222222221</v>
      </c>
      <c r="F31">
        <v>-7.0047284893671877</v>
      </c>
    </row>
    <row r="32" spans="1:9" x14ac:dyDescent="0.2">
      <c r="A32">
        <v>2</v>
      </c>
      <c r="B32">
        <v>2.068497424989324</v>
      </c>
      <c r="C32">
        <v>1.3703167302411998</v>
      </c>
      <c r="E32">
        <v>1.0416666666666665</v>
      </c>
      <c r="F32">
        <v>-4.6868598995851904</v>
      </c>
    </row>
    <row r="33" spans="1:6" x14ac:dyDescent="0.2">
      <c r="A33">
        <v>3</v>
      </c>
      <c r="B33">
        <v>-0.44858435040836775</v>
      </c>
      <c r="C33">
        <v>-1.3937333421305267</v>
      </c>
      <c r="E33">
        <v>1.7361111111111112</v>
      </c>
      <c r="F33">
        <v>-4.1526948243374111</v>
      </c>
    </row>
    <row r="34" spans="1:6" x14ac:dyDescent="0.2">
      <c r="A34">
        <v>4</v>
      </c>
      <c r="B34">
        <v>1.1009437141039728</v>
      </c>
      <c r="C34">
        <v>-0.33617845237697486</v>
      </c>
      <c r="E34">
        <v>2.4305555555555554</v>
      </c>
      <c r="F34">
        <v>-3.6875242113072275</v>
      </c>
    </row>
    <row r="35" spans="1:6" x14ac:dyDescent="0.2">
      <c r="A35">
        <v>5</v>
      </c>
      <c r="B35">
        <v>2.0870932997156051</v>
      </c>
      <c r="C35">
        <v>0.75676132383811234</v>
      </c>
      <c r="E35">
        <v>3.125</v>
      </c>
      <c r="F35">
        <v>-3.3442885744124804</v>
      </c>
    </row>
    <row r="36" spans="1:6" x14ac:dyDescent="0.2">
      <c r="A36">
        <v>6</v>
      </c>
      <c r="B36">
        <v>-0.21742260727014553</v>
      </c>
      <c r="C36">
        <v>-0.18845143072477413</v>
      </c>
      <c r="E36">
        <v>3.8194444444444446</v>
      </c>
      <c r="F36">
        <v>-3.1231512210139143</v>
      </c>
    </row>
    <row r="37" spans="1:6" x14ac:dyDescent="0.2">
      <c r="A37">
        <v>7</v>
      </c>
      <c r="B37">
        <v>0.35562979875342293</v>
      </c>
      <c r="C37">
        <v>3.9008104698967594E-2</v>
      </c>
      <c r="E37">
        <v>4.5138888888888884</v>
      </c>
      <c r="F37">
        <v>-2.9682787226250409</v>
      </c>
    </row>
    <row r="38" spans="1:6" x14ac:dyDescent="0.2">
      <c r="A38">
        <v>8</v>
      </c>
      <c r="B38">
        <v>1.2121347739555386</v>
      </c>
      <c r="C38">
        <v>-2.057002255871466</v>
      </c>
      <c r="E38">
        <v>5.208333333333333</v>
      </c>
      <c r="F38">
        <v>-2.5680570998352561</v>
      </c>
    </row>
    <row r="39" spans="1:6" x14ac:dyDescent="0.2">
      <c r="A39">
        <v>9</v>
      </c>
      <c r="B39">
        <v>1.2552576643343756</v>
      </c>
      <c r="C39">
        <v>0.87680397584597514</v>
      </c>
      <c r="E39">
        <v>5.9027777777777777</v>
      </c>
      <c r="F39">
        <v>-2.5280472836281653</v>
      </c>
    </row>
    <row r="40" spans="1:6" x14ac:dyDescent="0.2">
      <c r="A40">
        <v>10</v>
      </c>
      <c r="B40">
        <v>0.19844007285337459</v>
      </c>
      <c r="C40">
        <v>-0.62258017539987165</v>
      </c>
      <c r="E40">
        <v>6.5972222222222223</v>
      </c>
      <c r="F40">
        <v>-2.5046976641667626</v>
      </c>
    </row>
    <row r="41" spans="1:6" x14ac:dyDescent="0.2">
      <c r="A41">
        <v>11</v>
      </c>
      <c r="B41">
        <v>1.0063523863877077</v>
      </c>
      <c r="C41">
        <v>-0.26115203245362506</v>
      </c>
      <c r="E41">
        <v>7.291666666666667</v>
      </c>
      <c r="F41">
        <v>-2.2568118607420633</v>
      </c>
    </row>
    <row r="42" spans="1:6" x14ac:dyDescent="0.2">
      <c r="A42">
        <v>12</v>
      </c>
      <c r="B42">
        <v>0.91779139894812467</v>
      </c>
      <c r="C42">
        <v>0.47159223818198004</v>
      </c>
      <c r="E42">
        <v>7.9861111111111107</v>
      </c>
      <c r="F42">
        <v>-1.9001782009329338</v>
      </c>
    </row>
    <row r="43" spans="1:6" x14ac:dyDescent="0.2">
      <c r="A43">
        <v>13</v>
      </c>
      <c r="B43">
        <v>0.61937710496414644</v>
      </c>
      <c r="C43">
        <v>-0.77898131863406483</v>
      </c>
      <c r="E43">
        <v>8.6805555555555536</v>
      </c>
      <c r="F43">
        <v>-1.8423176925388944</v>
      </c>
    </row>
    <row r="44" spans="1:6" x14ac:dyDescent="0.2">
      <c r="A44">
        <v>14</v>
      </c>
      <c r="B44">
        <v>-0.16465749456367926</v>
      </c>
      <c r="C44">
        <v>0.16683193440335195</v>
      </c>
      <c r="E44">
        <v>9.3749999999999982</v>
      </c>
      <c r="F44">
        <v>-1.8267949190726551</v>
      </c>
    </row>
    <row r="45" spans="1:6" x14ac:dyDescent="0.2">
      <c r="A45">
        <v>15</v>
      </c>
      <c r="B45">
        <v>2.0535724408081171</v>
      </c>
      <c r="C45">
        <v>9.9238630006740269E-2</v>
      </c>
      <c r="E45">
        <v>10.069444444444443</v>
      </c>
      <c r="F45">
        <v>-1.7163787658669345</v>
      </c>
    </row>
    <row r="46" spans="1:6" x14ac:dyDescent="0.2">
      <c r="A46">
        <v>16</v>
      </c>
      <c r="B46">
        <v>-0.5996854479621756</v>
      </c>
      <c r="C46">
        <v>-3.3533773825924484E-2</v>
      </c>
      <c r="E46">
        <v>10.763888888888888</v>
      </c>
      <c r="F46">
        <v>-1.7024670003016547</v>
      </c>
    </row>
    <row r="47" spans="1:6" x14ac:dyDescent="0.2">
      <c r="A47">
        <v>17</v>
      </c>
      <c r="B47">
        <v>1.241281667809859</v>
      </c>
      <c r="C47">
        <v>-0.69816886949696588</v>
      </c>
      <c r="E47">
        <v>11.458333333333332</v>
      </c>
      <c r="F47">
        <v>-1.4912303020014905</v>
      </c>
    </row>
    <row r="48" spans="1:6" x14ac:dyDescent="0.2">
      <c r="A48">
        <v>18</v>
      </c>
      <c r="B48">
        <v>0.97646221067589289</v>
      </c>
      <c r="C48">
        <v>1.6771270220716459</v>
      </c>
      <c r="E48">
        <v>12.152777777777777</v>
      </c>
      <c r="F48">
        <v>-1.4816122688402813</v>
      </c>
    </row>
    <row r="49" spans="1:6" x14ac:dyDescent="0.2">
      <c r="A49">
        <v>19</v>
      </c>
      <c r="B49">
        <v>0.23026200931529001</v>
      </c>
      <c r="C49">
        <v>-0.41678140906845806</v>
      </c>
      <c r="E49">
        <v>12.847222222222221</v>
      </c>
      <c r="F49">
        <v>-1.3850399013585131</v>
      </c>
    </row>
    <row r="50" spans="1:6" x14ac:dyDescent="0.2">
      <c r="A50">
        <v>20</v>
      </c>
      <c r="B50">
        <v>2.9668860240878088</v>
      </c>
      <c r="C50">
        <v>-0.56218425341347622</v>
      </c>
      <c r="E50">
        <v>13.541666666666666</v>
      </c>
      <c r="F50">
        <v>-1.3845334693391671</v>
      </c>
    </row>
    <row r="51" spans="1:6" x14ac:dyDescent="0.2">
      <c r="A51">
        <v>21</v>
      </c>
      <c r="B51">
        <v>0.17370237511389972</v>
      </c>
      <c r="C51">
        <v>0.64836515055554655</v>
      </c>
      <c r="E51">
        <v>14.236111111111111</v>
      </c>
      <c r="F51">
        <v>-1.3312319193447704</v>
      </c>
    </row>
    <row r="52" spans="1:6" x14ac:dyDescent="0.2">
      <c r="A52">
        <v>22</v>
      </c>
      <c r="B52">
        <v>0.40558365659946766</v>
      </c>
      <c r="C52">
        <v>0.3923239502115457</v>
      </c>
      <c r="E52">
        <v>14.930555555555554</v>
      </c>
      <c r="F52">
        <v>-1.2793531068196276</v>
      </c>
    </row>
    <row r="53" spans="1:6" x14ac:dyDescent="0.2">
      <c r="A53">
        <v>23</v>
      </c>
      <c r="B53">
        <v>-5.9026621679715646E-2</v>
      </c>
      <c r="C53">
        <v>-0.17514843941129507</v>
      </c>
      <c r="E53">
        <v>15.624999999999998</v>
      </c>
      <c r="F53">
        <v>-1.1425691586862545</v>
      </c>
    </row>
    <row r="54" spans="1:6" x14ac:dyDescent="0.2">
      <c r="A54">
        <v>24</v>
      </c>
      <c r="B54">
        <v>0.41600356157612051</v>
      </c>
      <c r="C54">
        <v>3.305973432361925E-2</v>
      </c>
      <c r="E54">
        <v>16.319444444444443</v>
      </c>
      <c r="F54">
        <v>-1.1072210028407516</v>
      </c>
    </row>
    <row r="55" spans="1:6" x14ac:dyDescent="0.2">
      <c r="A55">
        <v>25</v>
      </c>
      <c r="B55">
        <v>-1.7426001541617091</v>
      </c>
      <c r="C55">
        <v>-1.6016884202507713</v>
      </c>
      <c r="E55">
        <v>17.013888888888886</v>
      </c>
      <c r="F55">
        <v>-1.0801430002995103</v>
      </c>
    </row>
    <row r="56" spans="1:6" x14ac:dyDescent="0.2">
      <c r="A56">
        <v>26</v>
      </c>
      <c r="B56">
        <v>1.2850123600012051</v>
      </c>
      <c r="C56">
        <v>0.67014776072629934</v>
      </c>
      <c r="E56">
        <v>17.708333333333332</v>
      </c>
      <c r="F56">
        <v>-0.94912629185626851</v>
      </c>
    </row>
    <row r="57" spans="1:6" x14ac:dyDescent="0.2">
      <c r="A57">
        <v>27</v>
      </c>
      <c r="B57">
        <v>-1.0867207368199856</v>
      </c>
      <c r="C57">
        <v>-1.8815579858050553</v>
      </c>
      <c r="E57">
        <v>18.402777777777775</v>
      </c>
      <c r="F57">
        <v>-0.93339874585644023</v>
      </c>
    </row>
    <row r="58" spans="1:6" x14ac:dyDescent="0.2">
      <c r="A58">
        <v>28</v>
      </c>
      <c r="B58">
        <v>-0.85168883774336668</v>
      </c>
      <c r="C58">
        <v>-9.7437454112901833E-2</v>
      </c>
      <c r="E58">
        <v>19.097222222222221</v>
      </c>
      <c r="F58">
        <v>-0.8739297602339734</v>
      </c>
    </row>
    <row r="59" spans="1:6" x14ac:dyDescent="0.2">
      <c r="A59">
        <v>29</v>
      </c>
      <c r="B59">
        <v>1.9987369776295532</v>
      </c>
      <c r="C59">
        <v>0.68465430288265083</v>
      </c>
      <c r="E59">
        <v>19.791666666666664</v>
      </c>
      <c r="F59">
        <v>-0.85098504001589137</v>
      </c>
    </row>
    <row r="60" spans="1:6" x14ac:dyDescent="0.2">
      <c r="A60">
        <v>30</v>
      </c>
      <c r="B60">
        <v>0.13344416734534909</v>
      </c>
      <c r="C60">
        <v>0.95146601442371193</v>
      </c>
      <c r="E60">
        <v>20.486111111111111</v>
      </c>
      <c r="F60">
        <v>-0.84486748191592764</v>
      </c>
    </row>
    <row r="61" spans="1:6" x14ac:dyDescent="0.2">
      <c r="A61">
        <v>31</v>
      </c>
      <c r="B61">
        <v>-1.2395290763968418</v>
      </c>
      <c r="C61">
        <v>0.63746971516977657</v>
      </c>
      <c r="E61">
        <v>21.180555555555554</v>
      </c>
      <c r="F61">
        <v>-0.83998798555617005</v>
      </c>
    </row>
    <row r="62" spans="1:6" x14ac:dyDescent="0.2">
      <c r="A62">
        <v>32</v>
      </c>
      <c r="B62">
        <v>-0.31676113299729075</v>
      </c>
      <c r="C62">
        <v>-1.0677723363418763</v>
      </c>
      <c r="E62">
        <v>21.875</v>
      </c>
      <c r="F62">
        <v>-0.82038765576752415</v>
      </c>
    </row>
    <row r="63" spans="1:6" x14ac:dyDescent="0.2">
      <c r="A63">
        <v>33</v>
      </c>
      <c r="B63">
        <v>0.31393701117767459</v>
      </c>
      <c r="C63">
        <v>0.19875513818620627</v>
      </c>
      <c r="E63">
        <v>22.569444444444443</v>
      </c>
      <c r="F63">
        <v>-0.73047275946122014</v>
      </c>
    </row>
    <row r="64" spans="1:6" x14ac:dyDescent="0.2">
      <c r="A64">
        <v>34</v>
      </c>
      <c r="B64">
        <v>3.1639816850979838</v>
      </c>
      <c r="C64">
        <v>-1.0512491711259275</v>
      </c>
      <c r="E64">
        <v>23.263888888888886</v>
      </c>
      <c r="F64">
        <v>-0.72114034769675106</v>
      </c>
    </row>
    <row r="65" spans="1:6" x14ac:dyDescent="0.2">
      <c r="A65">
        <v>35</v>
      </c>
      <c r="B65">
        <v>1.6537511103558982</v>
      </c>
      <c r="C65">
        <v>-1.2071086141209055</v>
      </c>
      <c r="E65">
        <v>23.958333333333332</v>
      </c>
      <c r="F65">
        <v>-0.70844610563042631</v>
      </c>
    </row>
    <row r="66" spans="1:6" x14ac:dyDescent="0.2">
      <c r="A66">
        <v>36</v>
      </c>
      <c r="B66">
        <v>0.70327338564070674</v>
      </c>
      <c r="C66">
        <v>0.1058223245808726</v>
      </c>
      <c r="E66">
        <v>24.652777777777775</v>
      </c>
      <c r="F66">
        <v>-0.63980558944311527</v>
      </c>
    </row>
    <row r="67" spans="1:6" x14ac:dyDescent="0.2">
      <c r="A67">
        <v>37</v>
      </c>
      <c r="B67">
        <v>1.822631503168672</v>
      </c>
      <c r="C67">
        <v>1.5724504391192915</v>
      </c>
      <c r="E67">
        <v>25.347222222222221</v>
      </c>
      <c r="F67">
        <v>-0.63321922178810008</v>
      </c>
    </row>
    <row r="68" spans="1:6" x14ac:dyDescent="0.2">
      <c r="A68">
        <v>38</v>
      </c>
      <c r="B68">
        <v>3.0930103840415657</v>
      </c>
      <c r="C68">
        <v>1.6500514324623516E-2</v>
      </c>
      <c r="E68">
        <v>26.041666666666664</v>
      </c>
      <c r="F68">
        <v>-0.62523746935851443</v>
      </c>
    </row>
    <row r="69" spans="1:6" x14ac:dyDescent="0.2">
      <c r="A69">
        <v>39</v>
      </c>
      <c r="B69">
        <v>2.3997205360424303</v>
      </c>
      <c r="C69">
        <v>-0.82447290675833274</v>
      </c>
      <c r="E69">
        <v>26.736111111111111</v>
      </c>
      <c r="F69">
        <v>-0.60205936122706527</v>
      </c>
    </row>
    <row r="70" spans="1:6" x14ac:dyDescent="0.2">
      <c r="A70">
        <v>40</v>
      </c>
      <c r="B70">
        <v>-0.40326246840734825</v>
      </c>
      <c r="C70">
        <v>0.79740651941556595</v>
      </c>
      <c r="E70">
        <v>27.430555555555554</v>
      </c>
      <c r="F70">
        <v>-0.49649597275839152</v>
      </c>
    </row>
    <row r="71" spans="1:6" x14ac:dyDescent="0.2">
      <c r="A71">
        <v>41</v>
      </c>
      <c r="B71">
        <v>-1.1084826660925131</v>
      </c>
      <c r="C71">
        <v>1.4009700593555841</v>
      </c>
      <c r="E71">
        <v>28.125</v>
      </c>
      <c r="F71">
        <v>-0.45287219230992509</v>
      </c>
    </row>
    <row r="72" spans="1:6" x14ac:dyDescent="0.2">
      <c r="A72">
        <v>42</v>
      </c>
      <c r="B72">
        <v>-0.6956047393462077</v>
      </c>
      <c r="C72">
        <v>-0.23779400651023253</v>
      </c>
      <c r="E72">
        <v>28.819444444444443</v>
      </c>
      <c r="F72">
        <v>-0.44945692130845749</v>
      </c>
    </row>
    <row r="73" spans="1:6" x14ac:dyDescent="0.2">
      <c r="A73">
        <v>43</v>
      </c>
      <c r="B73">
        <v>2.1236725011249065</v>
      </c>
      <c r="C73">
        <v>0.73726357279742327</v>
      </c>
      <c r="E73">
        <v>29.513888888888886</v>
      </c>
      <c r="F73">
        <v>-0.42414010254649709</v>
      </c>
    </row>
    <row r="74" spans="1:6" x14ac:dyDescent="0.2">
      <c r="A74">
        <v>44</v>
      </c>
      <c r="B74">
        <v>-8.5574814222591972E-2</v>
      </c>
      <c r="C74">
        <v>-0.36388210708586555</v>
      </c>
      <c r="E74">
        <v>30.208333333333332</v>
      </c>
      <c r="F74">
        <v>-0.40587403799491967</v>
      </c>
    </row>
    <row r="75" spans="1:6" x14ac:dyDescent="0.2">
      <c r="A75">
        <v>45</v>
      </c>
      <c r="B75">
        <v>1.5208382639948612</v>
      </c>
      <c r="C75">
        <v>1.0048660230609172</v>
      </c>
      <c r="E75">
        <v>30.902777777777775</v>
      </c>
      <c r="F75">
        <v>-0.38364685529762182</v>
      </c>
    </row>
    <row r="76" spans="1:6" x14ac:dyDescent="0.2">
      <c r="A76">
        <v>46</v>
      </c>
      <c r="B76">
        <v>-0.14997028420058789</v>
      </c>
      <c r="C76">
        <v>0.47192138253191335</v>
      </c>
      <c r="E76">
        <v>31.597222222222221</v>
      </c>
      <c r="F76">
        <v>-0.34952011853591453</v>
      </c>
    </row>
    <row r="77" spans="1:6" x14ac:dyDescent="0.2">
      <c r="A77">
        <v>47</v>
      </c>
      <c r="B77">
        <v>0.74887287641879341</v>
      </c>
      <c r="C77">
        <v>-1.1325197317164153</v>
      </c>
      <c r="E77">
        <v>32.291666666666664</v>
      </c>
      <c r="F77">
        <v>-0.32059917407416511</v>
      </c>
    </row>
    <row r="78" spans="1:6" x14ac:dyDescent="0.2">
      <c r="A78">
        <v>48</v>
      </c>
      <c r="B78">
        <v>0.87161798061332663</v>
      </c>
      <c r="C78">
        <v>0.93857079847300362</v>
      </c>
      <c r="E78">
        <v>32.986111111111107</v>
      </c>
      <c r="F78">
        <v>-0.25809067214290327</v>
      </c>
    </row>
    <row r="79" spans="1:6" x14ac:dyDescent="0.2">
      <c r="A79">
        <v>49</v>
      </c>
      <c r="B79">
        <v>-0.37420745687582357</v>
      </c>
      <c r="C79">
        <v>-0.49972230335814982</v>
      </c>
      <c r="E79">
        <v>33.68055555555555</v>
      </c>
      <c r="F79">
        <v>-0.23417506109101072</v>
      </c>
    </row>
    <row r="80" spans="1:6" x14ac:dyDescent="0.2">
      <c r="A80">
        <v>50</v>
      </c>
      <c r="B80">
        <v>0.66044301942686989</v>
      </c>
      <c r="C80">
        <v>0.11869240943700476</v>
      </c>
      <c r="E80">
        <v>34.375</v>
      </c>
      <c r="F80">
        <v>-0.18651939975316809</v>
      </c>
    </row>
    <row r="81" spans="1:6" x14ac:dyDescent="0.2">
      <c r="A81">
        <v>51</v>
      </c>
      <c r="B81">
        <v>0.21176263685679003</v>
      </c>
      <c r="C81">
        <v>0.91347824810839828</v>
      </c>
      <c r="E81">
        <v>35.069444444444443</v>
      </c>
      <c r="F81">
        <v>-0.16023377056929605</v>
      </c>
    </row>
    <row r="82" spans="1:6" x14ac:dyDescent="0.2">
      <c r="A82">
        <v>52</v>
      </c>
      <c r="B82">
        <v>-0.45004876572843122</v>
      </c>
      <c r="C82">
        <v>-0.63009423457107905</v>
      </c>
      <c r="E82">
        <v>35.763888888888886</v>
      </c>
      <c r="F82">
        <v>-0.15960421366991845</v>
      </c>
    </row>
    <row r="83" spans="1:6" x14ac:dyDescent="0.2">
      <c r="A83">
        <v>53</v>
      </c>
      <c r="B83">
        <v>0.19209874031289975</v>
      </c>
      <c r="C83">
        <v>1.1012092680468006</v>
      </c>
      <c r="E83">
        <v>36.458333333333329</v>
      </c>
      <c r="F83">
        <v>-0.12574664360828455</v>
      </c>
    </row>
    <row r="84" spans="1:6" x14ac:dyDescent="0.2">
      <c r="A84">
        <v>54</v>
      </c>
      <c r="B84">
        <v>-0.16366779365216963</v>
      </c>
      <c r="C84">
        <v>-0.1858523248837449</v>
      </c>
      <c r="E84">
        <v>37.152777777777779</v>
      </c>
      <c r="F84">
        <v>-3.7635693365227305E-2</v>
      </c>
    </row>
    <row r="85" spans="1:6" x14ac:dyDescent="0.2">
      <c r="A85">
        <v>55</v>
      </c>
      <c r="B85">
        <v>0.60718293447419525</v>
      </c>
      <c r="C85">
        <v>1.5865840038383339</v>
      </c>
      <c r="E85">
        <v>37.847222222222221</v>
      </c>
      <c r="F85">
        <v>-2.8872892422191813E-2</v>
      </c>
    </row>
    <row r="86" spans="1:6" x14ac:dyDescent="0.2">
      <c r="A86">
        <v>56</v>
      </c>
      <c r="B86">
        <v>-0.15978157632922702</v>
      </c>
      <c r="C86">
        <v>-0.54866452930119936</v>
      </c>
      <c r="E86">
        <v>38.541666666666664</v>
      </c>
      <c r="F86">
        <v>-2.1093949631446327E-2</v>
      </c>
    </row>
    <row r="87" spans="1:6" x14ac:dyDescent="0.2">
      <c r="A87">
        <v>57</v>
      </c>
      <c r="B87">
        <v>-0.7055642482628719</v>
      </c>
      <c r="C87">
        <v>-0.43700491042338263</v>
      </c>
      <c r="E87">
        <v>39.236111111111107</v>
      </c>
      <c r="F87">
        <v>2.1744398396726858E-3</v>
      </c>
    </row>
    <row r="88" spans="1:6" x14ac:dyDescent="0.2">
      <c r="A88">
        <v>58</v>
      </c>
      <c r="B88">
        <v>-4.4320875344467658E-2</v>
      </c>
      <c r="C88">
        <v>-1.4469094266570228</v>
      </c>
      <c r="E88">
        <v>39.93055555555555</v>
      </c>
      <c r="F88">
        <v>1.3361896540353232E-2</v>
      </c>
    </row>
    <row r="89" spans="1:6" x14ac:dyDescent="0.2">
      <c r="A89">
        <v>59</v>
      </c>
      <c r="B89">
        <v>0.34430008675164703</v>
      </c>
      <c r="C89">
        <v>2.1268222004393182</v>
      </c>
      <c r="E89">
        <v>40.625</v>
      </c>
      <c r="F89">
        <v>1.5244628300109645E-2</v>
      </c>
    </row>
    <row r="90" spans="1:6" x14ac:dyDescent="0.2">
      <c r="A90">
        <v>60</v>
      </c>
      <c r="B90">
        <v>-0.2084094906235259</v>
      </c>
      <c r="C90">
        <v>1.7716473454360746</v>
      </c>
      <c r="E90">
        <v>41.319444444444443</v>
      </c>
      <c r="F90">
        <v>4.5162099813618559E-2</v>
      </c>
    </row>
    <row r="91" spans="1:6" x14ac:dyDescent="0.2">
      <c r="A91">
        <v>61</v>
      </c>
      <c r="B91">
        <v>-0.3682165438513198</v>
      </c>
      <c r="C91">
        <v>0.53872238574261755</v>
      </c>
      <c r="E91">
        <v>42.013888888888886</v>
      </c>
      <c r="F91">
        <v>5.5182858323510636E-2</v>
      </c>
    </row>
    <row r="92" spans="1:6" x14ac:dyDescent="0.2">
      <c r="A92">
        <v>62</v>
      </c>
      <c r="B92">
        <v>0.77242442790376353</v>
      </c>
      <c r="C92">
        <v>0.55585071924999196</v>
      </c>
      <c r="E92">
        <v>42.708333333333329</v>
      </c>
      <c r="F92">
        <v>6.2862567183433013E-2</v>
      </c>
    </row>
    <row r="93" spans="1:6" x14ac:dyDescent="0.2">
      <c r="A93">
        <v>63</v>
      </c>
      <c r="B93">
        <v>0.2993487012010746</v>
      </c>
      <c r="C93">
        <v>-0.28598680466072135</v>
      </c>
      <c r="E93">
        <v>43.402777777777779</v>
      </c>
      <c r="F93">
        <v>6.4450144874432388E-2</v>
      </c>
    </row>
    <row r="94" spans="1:6" x14ac:dyDescent="0.2">
      <c r="A94">
        <v>64</v>
      </c>
      <c r="B94">
        <v>-0.25033237197332642</v>
      </c>
      <c r="C94">
        <v>0.29549447178694499</v>
      </c>
      <c r="E94">
        <v>44.097222222222221</v>
      </c>
      <c r="F94">
        <v>0.17050584189129772</v>
      </c>
    </row>
    <row r="95" spans="1:6" x14ac:dyDescent="0.2">
      <c r="A95">
        <v>65</v>
      </c>
      <c r="B95">
        <v>-0.8210636792111039</v>
      </c>
      <c r="C95">
        <v>-1.7069836044170614</v>
      </c>
      <c r="E95">
        <v>44.791666666666664</v>
      </c>
      <c r="F95">
        <v>0.20128346879376346</v>
      </c>
    </row>
    <row r="96" spans="1:6" x14ac:dyDescent="0.2">
      <c r="A96">
        <v>66</v>
      </c>
      <c r="B96">
        <v>-1.4158089714896418</v>
      </c>
      <c r="C96">
        <v>0.56482393147375043</v>
      </c>
      <c r="E96">
        <v>45.486111111111107</v>
      </c>
      <c r="F96">
        <v>0.25176219913533959</v>
      </c>
    </row>
    <row r="97" spans="1:6" x14ac:dyDescent="0.2">
      <c r="A97">
        <v>67</v>
      </c>
      <c r="B97">
        <v>-0.33439753789831417</v>
      </c>
      <c r="C97">
        <v>-2.1703001262684483</v>
      </c>
      <c r="E97">
        <v>46.18055555555555</v>
      </c>
      <c r="F97">
        <v>0.27937046819359035</v>
      </c>
    </row>
    <row r="98" spans="1:6" x14ac:dyDescent="0.2">
      <c r="A98">
        <v>68</v>
      </c>
      <c r="B98">
        <v>0.60010698275341767</v>
      </c>
      <c r="C98">
        <v>-1.8794600895730453</v>
      </c>
      <c r="E98">
        <v>46.875</v>
      </c>
      <c r="F98">
        <v>0.29248739326307094</v>
      </c>
    </row>
    <row r="99" spans="1:6" x14ac:dyDescent="0.2">
      <c r="A99">
        <v>69</v>
      </c>
      <c r="B99">
        <v>-6.422634289770468E-3</v>
      </c>
      <c r="C99">
        <v>1.3265955268941545</v>
      </c>
      <c r="E99">
        <v>47.569444444444443</v>
      </c>
      <c r="F99">
        <v>0.32195109833132546</v>
      </c>
    </row>
    <row r="100" spans="1:6" x14ac:dyDescent="0.2">
      <c r="A100">
        <v>70</v>
      </c>
      <c r="B100">
        <v>5.4267557890697926E-2</v>
      </c>
      <c r="C100">
        <v>-0.89425554344686797</v>
      </c>
      <c r="E100">
        <v>48.263888888888886</v>
      </c>
      <c r="F100">
        <v>0.3416951439283733</v>
      </c>
    </row>
    <row r="101" spans="1:6" x14ac:dyDescent="0.2">
      <c r="A101">
        <v>71</v>
      </c>
      <c r="B101">
        <v>0.44495659301311813</v>
      </c>
      <c r="C101">
        <v>0.86234318146930211</v>
      </c>
      <c r="E101">
        <v>48.958333333333329</v>
      </c>
      <c r="F101">
        <v>0.3941440510082177</v>
      </c>
    </row>
    <row r="102" spans="1:6" x14ac:dyDescent="0.2">
      <c r="A102">
        <v>72</v>
      </c>
      <c r="B102">
        <v>0.77736100584119017</v>
      </c>
      <c r="C102">
        <v>2.1939426717158539E-2</v>
      </c>
      <c r="E102">
        <v>49.652777777777779</v>
      </c>
      <c r="F102">
        <v>0.39463790345239053</v>
      </c>
    </row>
    <row r="103" spans="1:6" x14ac:dyDescent="0.2">
      <c r="A103">
        <v>73</v>
      </c>
      <c r="B103">
        <v>1.0236544840572781</v>
      </c>
      <c r="C103">
        <v>-1.0447484336887245</v>
      </c>
      <c r="E103">
        <v>50.347222222222221</v>
      </c>
      <c r="F103">
        <v>0.44664249623499269</v>
      </c>
    </row>
    <row r="104" spans="1:6" x14ac:dyDescent="0.2">
      <c r="A104">
        <v>74</v>
      </c>
      <c r="B104">
        <v>-1.0112334882308831</v>
      </c>
      <c r="C104">
        <v>-3.141461336106528</v>
      </c>
      <c r="E104">
        <v>51.041666666666664</v>
      </c>
      <c r="F104">
        <v>0.44906329589973976</v>
      </c>
    </row>
    <row r="105" spans="1:6" x14ac:dyDescent="0.2">
      <c r="A105">
        <v>75</v>
      </c>
      <c r="B105">
        <v>-7.6821840351635045</v>
      </c>
      <c r="C105">
        <v>0.67745554579631673</v>
      </c>
      <c r="E105">
        <v>51.736111111111107</v>
      </c>
      <c r="F105">
        <v>0.51269214936388086</v>
      </c>
    </row>
    <row r="106" spans="1:6" x14ac:dyDescent="0.2">
      <c r="A106">
        <v>76</v>
      </c>
      <c r="B106">
        <v>5.5703806388566095</v>
      </c>
      <c r="C106">
        <v>-1.0684983952109164</v>
      </c>
      <c r="E106">
        <v>52.43055555555555</v>
      </c>
      <c r="F106">
        <v>0.54311279831289316</v>
      </c>
    </row>
    <row r="107" spans="1:6" x14ac:dyDescent="0.2">
      <c r="A107">
        <v>77</v>
      </c>
      <c r="B107">
        <v>2.403523676988506</v>
      </c>
      <c r="C107">
        <v>0.3034943905380465</v>
      </c>
      <c r="E107">
        <v>53.125</v>
      </c>
      <c r="F107">
        <v>0.64991632276644051</v>
      </c>
    </row>
    <row r="108" spans="1:6" x14ac:dyDescent="0.2">
      <c r="A108">
        <v>78</v>
      </c>
      <c r="B108">
        <v>1.2500001343225464</v>
      </c>
      <c r="C108">
        <v>0.20705983518992399</v>
      </c>
      <c r="E108">
        <v>53.819444444444443</v>
      </c>
      <c r="F108">
        <v>0.74520035393408268</v>
      </c>
    </row>
    <row r="109" spans="1:6" x14ac:dyDescent="0.2">
      <c r="A109">
        <v>79</v>
      </c>
      <c r="B109">
        <v>2.5137901680640651</v>
      </c>
      <c r="C109">
        <v>-2.9666623603739901</v>
      </c>
      <c r="E109">
        <v>54.513888888888886</v>
      </c>
      <c r="F109">
        <v>0.76476526172699799</v>
      </c>
    </row>
    <row r="110" spans="1:6" x14ac:dyDescent="0.2">
      <c r="A110">
        <v>80</v>
      </c>
      <c r="B110">
        <v>0.49717794782805519</v>
      </c>
      <c r="C110">
        <v>0.97747221340384227</v>
      </c>
      <c r="E110">
        <v>55.208333333333329</v>
      </c>
      <c r="F110">
        <v>0.76715041455256716</v>
      </c>
    </row>
    <row r="111" spans="1:6" x14ac:dyDescent="0.2">
      <c r="A111">
        <v>81</v>
      </c>
      <c r="B111">
        <v>-0.16633852163916885</v>
      </c>
      <c r="C111">
        <v>-0.15426065243499626</v>
      </c>
      <c r="E111">
        <v>55.902777777777779</v>
      </c>
      <c r="F111">
        <v>0.77913542886387466</v>
      </c>
    </row>
    <row r="112" spans="1:6" x14ac:dyDescent="0.2">
      <c r="A112">
        <v>82</v>
      </c>
      <c r="B112">
        <v>0.46311090012948503</v>
      </c>
      <c r="C112">
        <v>-2.3632891010624189</v>
      </c>
      <c r="E112">
        <v>56.597222222222221</v>
      </c>
      <c r="F112">
        <v>0.79790760681101336</v>
      </c>
    </row>
    <row r="113" spans="1:6" x14ac:dyDescent="0.2">
      <c r="A113">
        <v>83</v>
      </c>
      <c r="B113">
        <v>3.1378144503972081</v>
      </c>
      <c r="C113">
        <v>2.4488878460555528</v>
      </c>
      <c r="E113">
        <v>57.291666666666664</v>
      </c>
      <c r="F113">
        <v>0.79930043255834871</v>
      </c>
    </row>
    <row r="114" spans="1:6" x14ac:dyDescent="0.2">
      <c r="A114">
        <v>84</v>
      </c>
      <c r="B114">
        <v>1.4430074758564679</v>
      </c>
      <c r="C114">
        <v>0.40894604346250274</v>
      </c>
      <c r="E114">
        <v>57.986111111111107</v>
      </c>
      <c r="F114">
        <v>0.80909571022157933</v>
      </c>
    </row>
    <row r="115" spans="1:6" x14ac:dyDescent="0.2">
      <c r="A115">
        <v>85</v>
      </c>
      <c r="B115">
        <v>-0.15401299784527139</v>
      </c>
      <c r="C115">
        <v>-0.56712734985147972</v>
      </c>
      <c r="E115">
        <v>58.68055555555555</v>
      </c>
      <c r="F115">
        <v>0.8173714702258239</v>
      </c>
    </row>
    <row r="116" spans="1:6" x14ac:dyDescent="0.2">
      <c r="A116">
        <v>86</v>
      </c>
      <c r="B116">
        <v>-0.7716718335597732</v>
      </c>
      <c r="C116">
        <v>0.74279894113758138</v>
      </c>
      <c r="E116">
        <v>59.375</v>
      </c>
      <c r="F116">
        <v>0.8220675256694463</v>
      </c>
    </row>
    <row r="117" spans="1:6" x14ac:dyDescent="0.2">
      <c r="A117">
        <v>87</v>
      </c>
      <c r="B117">
        <v>0.67313262514730088</v>
      </c>
      <c r="C117">
        <v>1.4822823123257449</v>
      </c>
      <c r="E117">
        <v>60.069444444444443</v>
      </c>
      <c r="F117">
        <v>0.94080499762717185</v>
      </c>
    </row>
    <row r="118" spans="1:6" x14ac:dyDescent="0.2">
      <c r="A118">
        <v>88</v>
      </c>
      <c r="B118">
        <v>0.78709781905870824</v>
      </c>
      <c r="C118">
        <v>1.5238737947218861</v>
      </c>
      <c r="E118">
        <v>60.763888888888886</v>
      </c>
      <c r="F118">
        <v>0.98384974618307341</v>
      </c>
    </row>
    <row r="119" spans="1:6" x14ac:dyDescent="0.2">
      <c r="A119">
        <v>89</v>
      </c>
      <c r="B119">
        <v>0.66064822491477893</v>
      </c>
      <c r="C119">
        <v>-0.40888602577943933</v>
      </c>
      <c r="E119">
        <v>61.458333333333329</v>
      </c>
      <c r="F119">
        <v>1.084910181769061</v>
      </c>
    </row>
    <row r="120" spans="1:6" x14ac:dyDescent="0.2">
      <c r="A120">
        <v>90</v>
      </c>
      <c r="B120">
        <v>1.0347066031855154</v>
      </c>
      <c r="C120">
        <v>0.15880539149222228</v>
      </c>
      <c r="E120">
        <v>62.152777777777771</v>
      </c>
      <c r="F120">
        <v>1.088562294937061</v>
      </c>
    </row>
    <row r="121" spans="1:6" x14ac:dyDescent="0.2">
      <c r="A121">
        <v>91</v>
      </c>
      <c r="B121">
        <v>1.1651804099820566</v>
      </c>
      <c r="C121">
        <v>-7.6618115044995605E-2</v>
      </c>
      <c r="E121">
        <v>62.847222222222221</v>
      </c>
      <c r="F121">
        <v>1.1252408849651883</v>
      </c>
    </row>
    <row r="122" spans="1:6" x14ac:dyDescent="0.2">
      <c r="A122">
        <v>92</v>
      </c>
      <c r="B122">
        <v>0.54701525649926441</v>
      </c>
      <c r="C122">
        <v>0.93290147884992913</v>
      </c>
      <c r="E122">
        <v>63.541666666666664</v>
      </c>
      <c r="F122">
        <v>1.1573512190828252</v>
      </c>
    </row>
    <row r="123" spans="1:6" x14ac:dyDescent="0.2">
      <c r="A123">
        <v>93</v>
      </c>
      <c r="B123">
        <v>-0.68925203421192349</v>
      </c>
      <c r="C123">
        <v>-0.64197988513284687</v>
      </c>
      <c r="E123">
        <v>64.236111111111114</v>
      </c>
      <c r="F123">
        <v>1.1607317321410837</v>
      </c>
    </row>
    <row r="124" spans="1:6" x14ac:dyDescent="0.2">
      <c r="A124">
        <v>94</v>
      </c>
      <c r="B124">
        <v>0.68324348747278441</v>
      </c>
      <c r="C124">
        <v>1.0297686213020607</v>
      </c>
      <c r="E124">
        <v>64.930555555555557</v>
      </c>
      <c r="F124">
        <v>1.1935119946777377</v>
      </c>
    </row>
    <row r="125" spans="1:6" x14ac:dyDescent="0.2">
      <c r="A125">
        <v>95</v>
      </c>
      <c r="B125">
        <v>0.31843959749616996</v>
      </c>
      <c r="C125">
        <v>2.3255546432203344E-2</v>
      </c>
      <c r="E125">
        <v>65.625</v>
      </c>
      <c r="F125">
        <v>1.2933080083597004</v>
      </c>
    </row>
    <row r="126" spans="1:6" x14ac:dyDescent="0.2">
      <c r="A126">
        <v>96</v>
      </c>
      <c r="B126">
        <v>1.0286288724658907</v>
      </c>
      <c r="C126">
        <v>0.33066422066722434</v>
      </c>
      <c r="E126">
        <v>66.319444444444443</v>
      </c>
      <c r="F126">
        <v>1.3006576888791135</v>
      </c>
    </row>
    <row r="127" spans="1:6" x14ac:dyDescent="0.2">
      <c r="A127">
        <v>97</v>
      </c>
      <c r="B127">
        <v>-1.8776836548563069</v>
      </c>
      <c r="C127">
        <v>-0.37912820588575635</v>
      </c>
      <c r="E127">
        <v>67.013888888888886</v>
      </c>
      <c r="F127">
        <v>1.3072997744824202</v>
      </c>
    </row>
    <row r="128" spans="1:6" x14ac:dyDescent="0.2">
      <c r="A128">
        <v>98</v>
      </c>
      <c r="B128">
        <v>-0.97739406186930822</v>
      </c>
      <c r="C128">
        <v>-0.12982694097144343</v>
      </c>
      <c r="E128">
        <v>67.708333333333343</v>
      </c>
      <c r="F128">
        <v>1.3201728926043841</v>
      </c>
    </row>
    <row r="129" spans="1:6" x14ac:dyDescent="0.2">
      <c r="A129">
        <v>99</v>
      </c>
      <c r="B129">
        <v>0.3965210049304308</v>
      </c>
      <c r="C129">
        <v>1.6000279283007512</v>
      </c>
      <c r="E129">
        <v>68.402777777777786</v>
      </c>
      <c r="F129">
        <v>1.3282751471537555</v>
      </c>
    </row>
    <row r="130" spans="1:6" x14ac:dyDescent="0.2">
      <c r="A130">
        <v>100</v>
      </c>
      <c r="B130">
        <v>-2.4391991966974631</v>
      </c>
      <c r="C130">
        <v>0.7228204308305286</v>
      </c>
      <c r="E130">
        <v>69.097222222222229</v>
      </c>
      <c r="F130">
        <v>1.3592930931331151</v>
      </c>
    </row>
    <row r="131" spans="1:6" x14ac:dyDescent="0.2">
      <c r="A131">
        <v>101</v>
      </c>
      <c r="B131">
        <v>0.24325316135802261</v>
      </c>
      <c r="C131">
        <v>-1.0636408171255467</v>
      </c>
      <c r="E131">
        <v>69.791666666666671</v>
      </c>
      <c r="F131">
        <v>1.3893836371301047</v>
      </c>
    </row>
    <row r="132" spans="1:6" x14ac:dyDescent="0.2">
      <c r="A132">
        <v>102</v>
      </c>
      <c r="B132">
        <v>-3.9156967125268305</v>
      </c>
      <c r="C132">
        <v>0.22817250121960297</v>
      </c>
      <c r="E132">
        <v>70.486111111111114</v>
      </c>
      <c r="F132">
        <v>1.4570599695124704</v>
      </c>
    </row>
    <row r="133" spans="1:6" x14ac:dyDescent="0.2">
      <c r="A133">
        <v>103</v>
      </c>
      <c r="B133">
        <v>4.6797522502132942</v>
      </c>
      <c r="C133">
        <v>-0.85826336405634951</v>
      </c>
      <c r="E133">
        <v>71.180555555555557</v>
      </c>
      <c r="F133">
        <v>1.4746501612318974</v>
      </c>
    </row>
    <row r="134" spans="1:6" x14ac:dyDescent="0.2">
      <c r="A134">
        <v>104</v>
      </c>
      <c r="B134">
        <v>-4.279397448851844</v>
      </c>
      <c r="C134">
        <v>2.4526025297791891</v>
      </c>
      <c r="E134">
        <v>71.875</v>
      </c>
      <c r="F134">
        <v>1.4799167353491935</v>
      </c>
    </row>
    <row r="135" spans="1:6" x14ac:dyDescent="0.2">
      <c r="A135">
        <v>105</v>
      </c>
      <c r="B135">
        <v>-3.6847257567352263</v>
      </c>
      <c r="C135">
        <v>-1.0021341428499642</v>
      </c>
      <c r="E135">
        <v>72.569444444444443</v>
      </c>
      <c r="F135">
        <v>1.5120608050198472</v>
      </c>
    </row>
    <row r="136" spans="1:6" x14ac:dyDescent="0.2">
      <c r="A136">
        <v>106</v>
      </c>
      <c r="B136">
        <v>2.8668175960764009</v>
      </c>
      <c r="C136">
        <v>-0.62266065214134958</v>
      </c>
      <c r="E136">
        <v>73.263888888888886</v>
      </c>
      <c r="F136">
        <v>1.5632378548125487</v>
      </c>
    </row>
    <row r="137" spans="1:6" x14ac:dyDescent="0.2">
      <c r="A137">
        <v>107</v>
      </c>
      <c r="B137">
        <v>2.4417573329916227</v>
      </c>
      <c r="C137">
        <v>7.8110800749667586E-2</v>
      </c>
      <c r="E137">
        <v>73.958333333333343</v>
      </c>
      <c r="F137">
        <v>1.5752476292840976</v>
      </c>
    </row>
    <row r="138" spans="1:6" x14ac:dyDescent="0.2">
      <c r="A138">
        <v>108</v>
      </c>
      <c r="B138">
        <v>-0.57711109820937867</v>
      </c>
      <c r="C138">
        <v>-0.8079288031491344</v>
      </c>
      <c r="E138">
        <v>74.652777777777786</v>
      </c>
      <c r="F138">
        <v>1.7130121087748451</v>
      </c>
    </row>
    <row r="139" spans="1:6" x14ac:dyDescent="0.2">
      <c r="A139">
        <v>109</v>
      </c>
      <c r="B139">
        <v>2.6051729919212647</v>
      </c>
      <c r="C139">
        <v>0.46469839081656961</v>
      </c>
      <c r="E139">
        <v>75.347222222222229</v>
      </c>
      <c r="F139">
        <v>1.8101887790863302</v>
      </c>
    </row>
    <row r="140" spans="1:6" x14ac:dyDescent="0.2">
      <c r="A140">
        <v>110</v>
      </c>
      <c r="B140">
        <v>-1.1721185524967246</v>
      </c>
      <c r="C140">
        <v>1.0118847819274286</v>
      </c>
      <c r="E140">
        <v>76.041666666666671</v>
      </c>
      <c r="F140">
        <v>1.8519535193189707</v>
      </c>
    </row>
    <row r="141" spans="1:6" x14ac:dyDescent="0.2">
      <c r="A141">
        <v>111</v>
      </c>
      <c r="B141">
        <v>1.0115298276935814</v>
      </c>
      <c r="C141">
        <v>-1.2696204998364846</v>
      </c>
      <c r="E141">
        <v>76.736111111111114</v>
      </c>
      <c r="F141">
        <v>1.9551601207275044</v>
      </c>
    </row>
    <row r="142" spans="1:6" x14ac:dyDescent="0.2">
      <c r="A142">
        <v>112</v>
      </c>
      <c r="B142">
        <v>0.38119747448725549</v>
      </c>
      <c r="C142">
        <v>0.55960752313991635</v>
      </c>
      <c r="E142">
        <v>77.430555555555557</v>
      </c>
      <c r="F142">
        <v>1.9636320377819911</v>
      </c>
    </row>
    <row r="143" spans="1:6" x14ac:dyDescent="0.2">
      <c r="A143">
        <v>113</v>
      </c>
      <c r="B143">
        <v>-1.0240500387548055</v>
      </c>
      <c r="C143">
        <v>-0.45756223008547581</v>
      </c>
      <c r="E143">
        <v>78.125</v>
      </c>
      <c r="F143">
        <v>1.9965489332311821</v>
      </c>
    </row>
    <row r="144" spans="1:6" x14ac:dyDescent="0.2">
      <c r="A144">
        <v>114</v>
      </c>
      <c r="B144">
        <v>0.61170401214763737</v>
      </c>
      <c r="C144">
        <v>0.1554464024049298</v>
      </c>
      <c r="E144">
        <v>78.819444444444443</v>
      </c>
      <c r="F144">
        <v>2.1127325139720563</v>
      </c>
    </row>
    <row r="145" spans="1:6" x14ac:dyDescent="0.2">
      <c r="A145">
        <v>115</v>
      </c>
      <c r="B145">
        <v>1.7464974557680195</v>
      </c>
      <c r="C145">
        <v>0.21713458201397162</v>
      </c>
      <c r="E145">
        <v>79.513888888888886</v>
      </c>
      <c r="F145">
        <v>2.1320616401803507</v>
      </c>
    </row>
    <row r="146" spans="1:6" x14ac:dyDescent="0.2">
      <c r="A146">
        <v>116</v>
      </c>
      <c r="B146">
        <v>0.38088971149505069</v>
      </c>
      <c r="C146">
        <v>-1.0061271808535652</v>
      </c>
      <c r="E146">
        <v>80.208333333333343</v>
      </c>
      <c r="F146">
        <v>2.1528110708148573</v>
      </c>
    </row>
    <row r="147" spans="1:6" x14ac:dyDescent="0.2">
      <c r="A147">
        <v>117</v>
      </c>
      <c r="B147">
        <v>-1.0044202624278187E-2</v>
      </c>
      <c r="C147">
        <v>0.28941467081786854</v>
      </c>
      <c r="E147">
        <v>80.902777777777786</v>
      </c>
      <c r="F147">
        <v>2.1554149374730458</v>
      </c>
    </row>
    <row r="148" spans="1:6" x14ac:dyDescent="0.2">
      <c r="A148">
        <v>118</v>
      </c>
      <c r="B148">
        <v>-9.6643020082438857E-2</v>
      </c>
      <c r="C148">
        <v>-1.6058239802192158</v>
      </c>
      <c r="E148">
        <v>81.597222222222229</v>
      </c>
      <c r="F148">
        <v>2.1937669383125291</v>
      </c>
    </row>
    <row r="149" spans="1:6" x14ac:dyDescent="0.2">
      <c r="A149">
        <v>119</v>
      </c>
      <c r="B149">
        <v>3.371933733110402</v>
      </c>
      <c r="C149">
        <v>-0.20524637681188551</v>
      </c>
      <c r="E149">
        <v>82.291666666666671</v>
      </c>
      <c r="F149">
        <v>2.2441569439350513</v>
      </c>
    </row>
    <row r="150" spans="1:6" x14ac:dyDescent="0.2">
      <c r="A150">
        <v>120</v>
      </c>
      <c r="B150">
        <v>3.3863954956591016</v>
      </c>
      <c r="C150">
        <v>0.19367588395825042</v>
      </c>
      <c r="E150">
        <v>82.986111111111114</v>
      </c>
      <c r="F150">
        <v>2.3109716137805942</v>
      </c>
    </row>
    <row r="151" spans="1:6" x14ac:dyDescent="0.2">
      <c r="A151">
        <v>121</v>
      </c>
      <c r="B151">
        <v>-0.22251832211362088</v>
      </c>
      <c r="C151">
        <v>0.27770118043713155</v>
      </c>
      <c r="E151">
        <v>83.680555555555557</v>
      </c>
      <c r="F151">
        <v>2.3644571963769208</v>
      </c>
    </row>
    <row r="152" spans="1:6" x14ac:dyDescent="0.2">
      <c r="A152">
        <v>122</v>
      </c>
      <c r="B152">
        <v>0.14765340931302862</v>
      </c>
      <c r="C152">
        <v>0.66971806091279529</v>
      </c>
      <c r="E152">
        <v>84.375</v>
      </c>
      <c r="F152">
        <v>2.3878145236429944</v>
      </c>
    </row>
    <row r="153" spans="1:6" x14ac:dyDescent="0.2">
      <c r="A153">
        <v>123</v>
      </c>
      <c r="B153">
        <v>1.2605778070372313</v>
      </c>
      <c r="C153">
        <v>1.2737389881343124</v>
      </c>
      <c r="E153">
        <v>85.069444444444443</v>
      </c>
      <c r="F153">
        <v>2.4047017706743326</v>
      </c>
    </row>
    <row r="154" spans="1:6" x14ac:dyDescent="0.2">
      <c r="A154">
        <v>124</v>
      </c>
      <c r="B154">
        <v>-0.57541514567278762</v>
      </c>
      <c r="C154">
        <v>7.8919172914396096E-2</v>
      </c>
      <c r="E154">
        <v>85.763888888888886</v>
      </c>
      <c r="F154">
        <v>2.4711222871909655</v>
      </c>
    </row>
    <row r="155" spans="1:6" x14ac:dyDescent="0.2">
      <c r="A155">
        <v>125</v>
      </c>
      <c r="B155">
        <v>1.1225173111032183</v>
      </c>
      <c r="C155">
        <v>3.4833907979606948E-2</v>
      </c>
      <c r="E155">
        <v>86.458333333333343</v>
      </c>
      <c r="F155">
        <v>2.5118747000438195</v>
      </c>
    </row>
    <row r="156" spans="1:6" x14ac:dyDescent="0.2">
      <c r="A156">
        <v>126</v>
      </c>
      <c r="B156">
        <v>0.73441282896906213</v>
      </c>
      <c r="C156">
        <v>0.42631890317202159</v>
      </c>
      <c r="E156">
        <v>87.152777777777786</v>
      </c>
      <c r="F156">
        <v>2.5198681337412903</v>
      </c>
    </row>
    <row r="157" spans="1:6" x14ac:dyDescent="0.2">
      <c r="A157">
        <v>127</v>
      </c>
      <c r="B157">
        <v>1.4718748432407334</v>
      </c>
      <c r="C157">
        <v>-0.48802509705765995</v>
      </c>
      <c r="E157">
        <v>87.847222222222229</v>
      </c>
      <c r="F157">
        <v>2.5257042870557784</v>
      </c>
    </row>
    <row r="158" spans="1:6" x14ac:dyDescent="0.2">
      <c r="A158">
        <v>128</v>
      </c>
      <c r="B158">
        <v>0.97818277458175595</v>
      </c>
      <c r="C158">
        <v>-0.77689930578799249</v>
      </c>
      <c r="E158">
        <v>88.541666666666671</v>
      </c>
      <c r="F158">
        <v>2.5343167951715437</v>
      </c>
    </row>
    <row r="159" spans="1:6" x14ac:dyDescent="0.2">
      <c r="A159">
        <v>129</v>
      </c>
      <c r="B159">
        <v>1.0042723348818476</v>
      </c>
      <c r="C159">
        <v>-0.94140976769841467</v>
      </c>
      <c r="E159">
        <v>89.236111111111114</v>
      </c>
      <c r="F159">
        <v>2.6303236664701828</v>
      </c>
    </row>
    <row r="160" spans="1:6" x14ac:dyDescent="0.2">
      <c r="A160">
        <v>130</v>
      </c>
      <c r="B160">
        <v>-0.321894447051013</v>
      </c>
      <c r="C160">
        <v>0.33713907535112264</v>
      </c>
      <c r="E160">
        <v>89.930555555555557</v>
      </c>
      <c r="F160">
        <v>2.6535892327475388</v>
      </c>
    </row>
    <row r="161" spans="1:6" x14ac:dyDescent="0.2">
      <c r="A161">
        <v>131</v>
      </c>
      <c r="B161">
        <v>1.564171279044702</v>
      </c>
      <c r="C161">
        <v>0.94770342099911753</v>
      </c>
      <c r="E161">
        <v>90.625</v>
      </c>
      <c r="F161">
        <v>2.664630651168546</v>
      </c>
    </row>
    <row r="162" spans="1:6" x14ac:dyDescent="0.2">
      <c r="A162">
        <v>132</v>
      </c>
      <c r="B162">
        <v>0.22000758315434821</v>
      </c>
      <c r="C162">
        <v>-0.95048034261556835</v>
      </c>
      <c r="E162">
        <v>91.319444444444443</v>
      </c>
      <c r="F162">
        <v>2.683391280512204</v>
      </c>
    </row>
    <row r="163" spans="1:6" x14ac:dyDescent="0.2">
      <c r="A163">
        <v>133</v>
      </c>
      <c r="B163">
        <v>1.1778575450757784</v>
      </c>
      <c r="C163">
        <v>1.4867731060927676</v>
      </c>
      <c r="E163">
        <v>92.013888888888886</v>
      </c>
      <c r="F163">
        <v>2.7070180675265525</v>
      </c>
    </row>
    <row r="164" spans="1:6" x14ac:dyDescent="0.2">
      <c r="A164">
        <v>134</v>
      </c>
      <c r="B164">
        <v>0.75203806483832536</v>
      </c>
      <c r="C164">
        <v>-1.3918436542814407</v>
      </c>
      <c r="E164">
        <v>92.708333333333343</v>
      </c>
      <c r="F164">
        <v>2.8438546235537174</v>
      </c>
    </row>
    <row r="165" spans="1:6" x14ac:dyDescent="0.2">
      <c r="A165">
        <v>135</v>
      </c>
      <c r="B165">
        <v>-0.74840453388601136</v>
      </c>
      <c r="C165">
        <v>-1.8196525659492448</v>
      </c>
      <c r="E165">
        <v>93.402777777777786</v>
      </c>
      <c r="F165">
        <v>2.8609360739223297</v>
      </c>
    </row>
    <row r="166" spans="1:6" x14ac:dyDescent="0.2">
      <c r="A166">
        <v>136</v>
      </c>
      <c r="B166">
        <v>1.0495976569401515</v>
      </c>
      <c r="C166">
        <v>-1.1753443005484361</v>
      </c>
      <c r="E166">
        <v>94.097222222222229</v>
      </c>
      <c r="F166">
        <v>3.0698713827378343</v>
      </c>
    </row>
    <row r="167" spans="1:6" x14ac:dyDescent="0.2">
      <c r="A167">
        <v>137</v>
      </c>
      <c r="B167">
        <v>0.67224531911570984</v>
      </c>
      <c r="C167">
        <v>1.7155692045272846</v>
      </c>
      <c r="E167">
        <v>94.791666666666671</v>
      </c>
      <c r="F167">
        <v>3.1095108983661892</v>
      </c>
    </row>
    <row r="168" spans="1:6" x14ac:dyDescent="0.2">
      <c r="A168">
        <v>138</v>
      </c>
      <c r="B168">
        <v>1.0680652606224077</v>
      </c>
      <c r="C168">
        <v>0.23259242825670579</v>
      </c>
      <c r="E168">
        <v>95.486111111111114</v>
      </c>
      <c r="F168">
        <v>3.1666873562985165</v>
      </c>
    </row>
    <row r="169" spans="1:6" x14ac:dyDescent="0.2">
      <c r="A169">
        <v>139</v>
      </c>
      <c r="B169">
        <v>0.64025469470699292</v>
      </c>
      <c r="C169">
        <v>1.7242025016699278</v>
      </c>
      <c r="E169">
        <v>96.180555555555557</v>
      </c>
      <c r="F169">
        <v>3.3950819422879635</v>
      </c>
    </row>
    <row r="170" spans="1:6" x14ac:dyDescent="0.2">
      <c r="A170">
        <v>140</v>
      </c>
      <c r="B170">
        <v>2.3824505173932087E-2</v>
      </c>
      <c r="C170">
        <v>-6.1460198539159391E-2</v>
      </c>
      <c r="E170">
        <v>96.875</v>
      </c>
      <c r="F170">
        <v>3.4388141552305238</v>
      </c>
    </row>
    <row r="171" spans="1:6" x14ac:dyDescent="0.2">
      <c r="A171">
        <v>141</v>
      </c>
      <c r="B171">
        <v>0.71690585868871914</v>
      </c>
      <c r="C171">
        <v>0.79515494633112804</v>
      </c>
      <c r="E171">
        <v>97.569444444444443</v>
      </c>
      <c r="F171">
        <v>3.580071379617352</v>
      </c>
    </row>
    <row r="172" spans="1:6" x14ac:dyDescent="0.2">
      <c r="A172">
        <v>142</v>
      </c>
      <c r="B172">
        <v>1.0193703907958227</v>
      </c>
      <c r="C172">
        <v>1.6109532756743601</v>
      </c>
      <c r="E172">
        <v>98.263888888888886</v>
      </c>
      <c r="F172">
        <v>3.8214888861569447</v>
      </c>
    </row>
    <row r="173" spans="1:6" x14ac:dyDescent="0.2">
      <c r="A173">
        <v>143</v>
      </c>
      <c r="B173">
        <v>0.20861556134030335</v>
      </c>
      <c r="C173">
        <v>-0.14416541646587094</v>
      </c>
      <c r="E173">
        <v>98.958333333333343</v>
      </c>
      <c r="F173">
        <v>4.5018822436456931</v>
      </c>
    </row>
    <row r="174" spans="1:6" ht="17" thickBot="1" x14ac:dyDescent="0.25">
      <c r="A174" s="2">
        <v>144</v>
      </c>
      <c r="B174" s="2">
        <v>0.67035820349270914</v>
      </c>
      <c r="C174" s="2">
        <v>-2.0441880726268624E-2</v>
      </c>
      <c r="E174" s="2">
        <v>99.652777777777786</v>
      </c>
      <c r="F174" s="2">
        <v>5.5867022964527608</v>
      </c>
    </row>
  </sheetData>
  <sortState xmlns:xlrd2="http://schemas.microsoft.com/office/spreadsheetml/2017/richdata2" ref="F31:F174">
    <sortCondition ref="F31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8DEB8-BE6E-8C4A-84BC-C10F84C75DF8}">
  <dimension ref="A1:I171"/>
  <sheetViews>
    <sheetView topLeftCell="A6" workbookViewId="0">
      <selection activeCell="J25" sqref="J25"/>
    </sheetView>
  </sheetViews>
  <sheetFormatPr baseColWidth="10" defaultRowHeight="16" x14ac:dyDescent="0.2"/>
  <cols>
    <col min="1" max="1" width="26" bestFit="1" customWidth="1"/>
    <col min="2" max="2" width="25" bestFit="1" customWidth="1"/>
    <col min="3" max="3" width="13.5" bestFit="1" customWidth="1"/>
    <col min="4" max="4" width="12.1640625" bestFit="1" customWidth="1"/>
    <col min="5" max="5" width="19.6640625" bestFit="1" customWidth="1"/>
    <col min="6" max="6" width="16.6640625" bestFit="1" customWidth="1"/>
    <col min="7" max="7" width="12.1640625" bestFit="1" customWidth="1"/>
    <col min="8" max="8" width="12.83203125" bestFit="1" customWidth="1"/>
    <col min="9" max="9" width="12.33203125" bestFit="1" customWidth="1"/>
  </cols>
  <sheetData>
    <row r="1" spans="1:9" x14ac:dyDescent="0.2">
      <c r="A1" t="s">
        <v>21</v>
      </c>
    </row>
    <row r="2" spans="1:9" ht="17" thickBot="1" x14ac:dyDescent="0.25"/>
    <row r="3" spans="1:9" x14ac:dyDescent="0.2">
      <c r="A3" s="4" t="s">
        <v>22</v>
      </c>
      <c r="B3" s="4"/>
    </row>
    <row r="4" spans="1:9" x14ac:dyDescent="0.2">
      <c r="A4" t="s">
        <v>23</v>
      </c>
      <c r="B4">
        <v>0.82309950916920838</v>
      </c>
    </row>
    <row r="5" spans="1:9" x14ac:dyDescent="0.2">
      <c r="A5" t="s">
        <v>24</v>
      </c>
      <c r="B5">
        <v>0.67749280199459183</v>
      </c>
    </row>
    <row r="6" spans="1:9" x14ac:dyDescent="0.2">
      <c r="A6" t="s">
        <v>25</v>
      </c>
      <c r="B6">
        <v>0.6682120193181772</v>
      </c>
    </row>
    <row r="7" spans="1:9" x14ac:dyDescent="0.2">
      <c r="A7" t="s">
        <v>26</v>
      </c>
      <c r="B7">
        <v>1.0763469186159831</v>
      </c>
    </row>
    <row r="8" spans="1:9" ht="17" thickBot="1" x14ac:dyDescent="0.25">
      <c r="A8" s="2" t="s">
        <v>27</v>
      </c>
      <c r="B8" s="2">
        <v>144</v>
      </c>
    </row>
    <row r="10" spans="1:9" ht="17" thickBot="1" x14ac:dyDescent="0.25">
      <c r="A10" t="s">
        <v>28</v>
      </c>
    </row>
    <row r="11" spans="1:9" x14ac:dyDescent="0.2">
      <c r="A11" s="3"/>
      <c r="B11" s="3" t="s">
        <v>33</v>
      </c>
      <c r="C11" s="3" t="s">
        <v>34</v>
      </c>
      <c r="D11" s="3" t="s">
        <v>35</v>
      </c>
      <c r="E11" s="3" t="s">
        <v>36</v>
      </c>
      <c r="F11" s="3" t="s">
        <v>37</v>
      </c>
    </row>
    <row r="12" spans="1:9" x14ac:dyDescent="0.2">
      <c r="A12" t="s">
        <v>29</v>
      </c>
      <c r="B12">
        <v>4</v>
      </c>
      <c r="C12">
        <v>338.28646150055357</v>
      </c>
      <c r="D12">
        <v>84.571615375138393</v>
      </c>
      <c r="E12">
        <v>72.999533079932291</v>
      </c>
      <c r="F12">
        <v>3.3535557427366683E-33</v>
      </c>
    </row>
    <row r="13" spans="1:9" x14ac:dyDescent="0.2">
      <c r="A13" t="s">
        <v>30</v>
      </c>
      <c r="B13">
        <v>139</v>
      </c>
      <c r="C13">
        <v>161.0346538007629</v>
      </c>
      <c r="D13">
        <v>1.1585226892141216</v>
      </c>
    </row>
    <row r="14" spans="1:9" ht="17" thickBot="1" x14ac:dyDescent="0.25">
      <c r="A14" s="2" t="s">
        <v>31</v>
      </c>
      <c r="B14" s="2">
        <v>143</v>
      </c>
      <c r="C14" s="2">
        <v>499.32111530131647</v>
      </c>
      <c r="D14" s="2"/>
      <c r="E14" s="2"/>
      <c r="F14" s="2"/>
    </row>
    <row r="15" spans="1:9" ht="17" thickBot="1" x14ac:dyDescent="0.25"/>
    <row r="16" spans="1:9" x14ac:dyDescent="0.2">
      <c r="A16" s="3"/>
      <c r="B16" s="3" t="s">
        <v>38</v>
      </c>
      <c r="C16" s="3" t="s">
        <v>26</v>
      </c>
      <c r="D16" s="3" t="s">
        <v>39</v>
      </c>
      <c r="E16" s="3" t="s">
        <v>40</v>
      </c>
      <c r="F16" s="3" t="s">
        <v>41</v>
      </c>
      <c r="G16" s="3" t="s">
        <v>42</v>
      </c>
      <c r="H16" s="3" t="s">
        <v>43</v>
      </c>
      <c r="I16" s="3" t="s">
        <v>44</v>
      </c>
    </row>
    <row r="17" spans="1:9" x14ac:dyDescent="0.2">
      <c r="A17" t="s">
        <v>32</v>
      </c>
      <c r="B17">
        <v>0.20325206918747257</v>
      </c>
      <c r="C17">
        <v>0.12636649016806747</v>
      </c>
      <c r="D17">
        <v>1.6084332873149143</v>
      </c>
      <c r="E17">
        <v>0.11000930874616173</v>
      </c>
      <c r="F17">
        <v>-4.659694029485692E-2</v>
      </c>
      <c r="G17">
        <v>0.45310107866980209</v>
      </c>
      <c r="H17">
        <v>-4.659694029485692E-2</v>
      </c>
      <c r="I17">
        <v>0.45310107866980209</v>
      </c>
    </row>
    <row r="18" spans="1:9" x14ac:dyDescent="0.2">
      <c r="A18" t="s">
        <v>1</v>
      </c>
      <c r="B18">
        <v>3.4779845370590561</v>
      </c>
      <c r="C18">
        <v>2.1114949164275894</v>
      </c>
      <c r="D18">
        <v>1.6471669005689167</v>
      </c>
      <c r="E18">
        <v>0.10178263675750189</v>
      </c>
      <c r="F18">
        <v>-0.69681617707614762</v>
      </c>
      <c r="G18">
        <v>7.6527852511942598</v>
      </c>
      <c r="H18">
        <v>-0.69681617707614762</v>
      </c>
      <c r="I18">
        <v>7.6527852511942598</v>
      </c>
    </row>
    <row r="19" spans="1:9" x14ac:dyDescent="0.2">
      <c r="A19" t="s">
        <v>17</v>
      </c>
      <c r="B19">
        <v>0.79275462251025253</v>
      </c>
      <c r="C19">
        <v>4.7520534815213587E-2</v>
      </c>
      <c r="D19">
        <v>16.682359017905117</v>
      </c>
      <c r="E19">
        <v>5.424750852522143E-35</v>
      </c>
      <c r="F19">
        <v>0.69879807961774498</v>
      </c>
      <c r="G19">
        <v>0.88671116540276007</v>
      </c>
      <c r="H19">
        <v>0.69879807961774498</v>
      </c>
      <c r="I19">
        <v>0.88671116540276007</v>
      </c>
    </row>
    <row r="20" spans="1:9" x14ac:dyDescent="0.2">
      <c r="A20" t="s">
        <v>18</v>
      </c>
      <c r="B20">
        <v>0.46943391435874154</v>
      </c>
      <c r="C20">
        <v>5.9000872774847467E-2</v>
      </c>
      <c r="D20">
        <v>7.9563893258010392</v>
      </c>
      <c r="E20">
        <v>5.592610794472574E-13</v>
      </c>
      <c r="F20">
        <v>0.3527787029828251</v>
      </c>
      <c r="G20">
        <v>0.58608912573465799</v>
      </c>
      <c r="H20">
        <v>0.3527787029828251</v>
      </c>
      <c r="I20">
        <v>0.58608912573465799</v>
      </c>
    </row>
    <row r="21" spans="1:9" ht="17" thickBot="1" x14ac:dyDescent="0.25">
      <c r="A21" s="2" t="s">
        <v>20</v>
      </c>
      <c r="B21" s="2">
        <v>2.8510881357288387</v>
      </c>
      <c r="C21" s="2">
        <v>2.0088892289391871</v>
      </c>
      <c r="D21" s="2">
        <v>1.4192361105118687</v>
      </c>
      <c r="E21" s="2">
        <v>0.15806879155243175</v>
      </c>
      <c r="F21" s="2">
        <v>-1.1208428986982799</v>
      </c>
      <c r="G21" s="2">
        <v>6.8230191701559573</v>
      </c>
      <c r="H21" s="2">
        <v>-1.1208428986982799</v>
      </c>
      <c r="I21" s="2">
        <v>6.8230191701559573</v>
      </c>
    </row>
    <row r="25" spans="1:9" x14ac:dyDescent="0.2">
      <c r="A25" t="s">
        <v>45</v>
      </c>
      <c r="E25" t="s">
        <v>48</v>
      </c>
    </row>
    <row r="26" spans="1:9" ht="17" thickBot="1" x14ac:dyDescent="0.25"/>
    <row r="27" spans="1:9" x14ac:dyDescent="0.2">
      <c r="A27" s="3" t="s">
        <v>46</v>
      </c>
      <c r="B27" s="3" t="s">
        <v>50</v>
      </c>
      <c r="C27" s="3" t="s">
        <v>47</v>
      </c>
      <c r="E27" s="3" t="s">
        <v>49</v>
      </c>
      <c r="F27" s="3" t="s">
        <v>2</v>
      </c>
    </row>
    <row r="28" spans="1:9" x14ac:dyDescent="0.2">
      <c r="A28">
        <v>1</v>
      </c>
      <c r="B28">
        <v>-0.81907249087091882</v>
      </c>
      <c r="C28">
        <v>-2.3040787301429955</v>
      </c>
      <c r="E28">
        <v>0.34722222222222221</v>
      </c>
      <c r="F28">
        <v>-7.0047284893671877</v>
      </c>
    </row>
    <row r="29" spans="1:9" x14ac:dyDescent="0.2">
      <c r="A29">
        <v>2</v>
      </c>
      <c r="B29">
        <v>2.3118429372713338</v>
      </c>
      <c r="C29">
        <v>1.12697121795919</v>
      </c>
      <c r="E29">
        <v>1.0416666666666665</v>
      </c>
      <c r="F29">
        <v>-4.6868598995851904</v>
      </c>
    </row>
    <row r="30" spans="1:9" x14ac:dyDescent="0.2">
      <c r="A30">
        <v>3</v>
      </c>
      <c r="B30">
        <v>-0.24408887677052837</v>
      </c>
      <c r="C30">
        <v>-1.598228815768366</v>
      </c>
      <c r="E30">
        <v>1.7361111111111112</v>
      </c>
      <c r="F30">
        <v>-4.1526948243374111</v>
      </c>
    </row>
    <row r="31" spans="1:9" x14ac:dyDescent="0.2">
      <c r="A31">
        <v>4</v>
      </c>
      <c r="B31">
        <v>1.2594681384219608</v>
      </c>
      <c r="C31">
        <v>-0.49470287669496282</v>
      </c>
      <c r="E31">
        <v>2.4305555555555554</v>
      </c>
      <c r="F31">
        <v>-3.6875242113072275</v>
      </c>
    </row>
    <row r="32" spans="1:9" x14ac:dyDescent="0.2">
      <c r="A32">
        <v>5</v>
      </c>
      <c r="B32">
        <v>2.2335577085159746</v>
      </c>
      <c r="C32">
        <v>0.61029691503774286</v>
      </c>
      <c r="E32">
        <v>3.125</v>
      </c>
      <c r="F32">
        <v>-3.3442885744124804</v>
      </c>
    </row>
    <row r="33" spans="1:6" x14ac:dyDescent="0.2">
      <c r="A33">
        <v>6</v>
      </c>
      <c r="B33">
        <v>-3.4783334479141392E-2</v>
      </c>
      <c r="C33">
        <v>-0.37109070351577828</v>
      </c>
      <c r="E33">
        <v>3.8194444444444446</v>
      </c>
      <c r="F33">
        <v>-3.1231512210139143</v>
      </c>
    </row>
    <row r="34" spans="1:6" x14ac:dyDescent="0.2">
      <c r="A34">
        <v>7</v>
      </c>
      <c r="B34">
        <v>0.44590557705663686</v>
      </c>
      <c r="C34">
        <v>-5.1267673604246333E-2</v>
      </c>
      <c r="E34">
        <v>4.5138888888888884</v>
      </c>
      <c r="F34">
        <v>-2.9682787226250409</v>
      </c>
    </row>
    <row r="35" spans="1:6" x14ac:dyDescent="0.2">
      <c r="A35">
        <v>8</v>
      </c>
      <c r="B35">
        <v>1.3233839489406265</v>
      </c>
      <c r="C35">
        <v>-2.1682514308565541</v>
      </c>
      <c r="E35">
        <v>5.208333333333333</v>
      </c>
      <c r="F35">
        <v>-2.5680570998352561</v>
      </c>
    </row>
    <row r="36" spans="1:6" x14ac:dyDescent="0.2">
      <c r="A36">
        <v>9</v>
      </c>
      <c r="B36">
        <v>1.3625179489014101</v>
      </c>
      <c r="C36">
        <v>0.76954369127894062</v>
      </c>
      <c r="E36">
        <v>5.9027777777777777</v>
      </c>
      <c r="F36">
        <v>-2.5280472836281653</v>
      </c>
    </row>
    <row r="37" spans="1:6" x14ac:dyDescent="0.2">
      <c r="A37">
        <v>10</v>
      </c>
      <c r="B37">
        <v>0.29895280819713288</v>
      </c>
      <c r="C37">
        <v>-0.72309291074362991</v>
      </c>
      <c r="E37">
        <v>6.5972222222222223</v>
      </c>
      <c r="F37">
        <v>-2.5046976641667626</v>
      </c>
    </row>
    <row r="38" spans="1:6" x14ac:dyDescent="0.2">
      <c r="A38">
        <v>11</v>
      </c>
      <c r="B38">
        <v>1.0904994525958474</v>
      </c>
      <c r="C38">
        <v>-0.34529909866176467</v>
      </c>
      <c r="E38">
        <v>7.291666666666667</v>
      </c>
      <c r="F38">
        <v>-2.2568118607420633</v>
      </c>
    </row>
    <row r="39" spans="1:6" x14ac:dyDescent="0.2">
      <c r="A39">
        <v>12</v>
      </c>
      <c r="B39">
        <v>1.0009515129302227</v>
      </c>
      <c r="C39">
        <v>0.38843212419988205</v>
      </c>
      <c r="E39">
        <v>7.9861111111111107</v>
      </c>
      <c r="F39">
        <v>-1.9001782009329338</v>
      </c>
    </row>
    <row r="40" spans="1:6" x14ac:dyDescent="0.2">
      <c r="A40">
        <v>13</v>
      </c>
      <c r="B40">
        <v>0.66392764099227131</v>
      </c>
      <c r="C40">
        <v>-0.8235318546621897</v>
      </c>
      <c r="E40">
        <v>8.6805555555555536</v>
      </c>
      <c r="F40">
        <v>-1.8423176925388944</v>
      </c>
    </row>
    <row r="41" spans="1:6" x14ac:dyDescent="0.2">
      <c r="A41">
        <v>14</v>
      </c>
      <c r="B41">
        <v>-0.16059311241797594</v>
      </c>
      <c r="C41">
        <v>0.16276755225764863</v>
      </c>
      <c r="E41">
        <v>9.3749999999999982</v>
      </c>
      <c r="F41">
        <v>-1.8267949190726551</v>
      </c>
    </row>
    <row r="42" spans="1:6" x14ac:dyDescent="0.2">
      <c r="A42">
        <v>15</v>
      </c>
      <c r="B42">
        <v>2.0158010316802493</v>
      </c>
      <c r="C42">
        <v>0.13701003913460807</v>
      </c>
      <c r="E42">
        <v>10.069444444444443</v>
      </c>
      <c r="F42">
        <v>-1.7163787658669345</v>
      </c>
    </row>
    <row r="43" spans="1:6" x14ac:dyDescent="0.2">
      <c r="A43">
        <v>16</v>
      </c>
      <c r="B43">
        <v>-0.5937922617722976</v>
      </c>
      <c r="C43">
        <v>-3.9426960015802481E-2</v>
      </c>
      <c r="E43">
        <v>10.763888888888888</v>
      </c>
      <c r="F43">
        <v>-1.7024670003016547</v>
      </c>
    </row>
    <row r="44" spans="1:6" x14ac:dyDescent="0.2">
      <c r="A44">
        <v>17</v>
      </c>
      <c r="B44">
        <v>1.2700954156772655</v>
      </c>
      <c r="C44">
        <v>-0.72698261736437231</v>
      </c>
      <c r="E44">
        <v>11.458333333333332</v>
      </c>
      <c r="F44">
        <v>-1.4912303020014905</v>
      </c>
    </row>
    <row r="45" spans="1:6" x14ac:dyDescent="0.2">
      <c r="A45">
        <v>18</v>
      </c>
      <c r="B45">
        <v>0.98808519032030262</v>
      </c>
      <c r="C45">
        <v>1.6655040424272363</v>
      </c>
      <c r="E45">
        <v>12.152777777777777</v>
      </c>
      <c r="F45">
        <v>-1.4816122688402813</v>
      </c>
    </row>
    <row r="46" spans="1:6" x14ac:dyDescent="0.2">
      <c r="A46">
        <v>19</v>
      </c>
      <c r="B46">
        <v>0.24292931315713626</v>
      </c>
      <c r="C46">
        <v>-0.42944871291030434</v>
      </c>
      <c r="E46">
        <v>12.847222222222221</v>
      </c>
      <c r="F46">
        <v>-1.3850399013585131</v>
      </c>
    </row>
    <row r="47" spans="1:6" x14ac:dyDescent="0.2">
      <c r="A47">
        <v>20</v>
      </c>
      <c r="B47">
        <v>2.8851682854794576</v>
      </c>
      <c r="C47">
        <v>-0.48046651480512503</v>
      </c>
      <c r="E47">
        <v>13.541666666666666</v>
      </c>
      <c r="F47">
        <v>-1.3845334693391671</v>
      </c>
    </row>
    <row r="48" spans="1:6" x14ac:dyDescent="0.2">
      <c r="A48">
        <v>21</v>
      </c>
      <c r="B48">
        <v>0.17112416124727575</v>
      </c>
      <c r="C48">
        <v>0.65094336442217049</v>
      </c>
      <c r="E48">
        <v>14.236111111111111</v>
      </c>
      <c r="F48">
        <v>-1.3312319193447704</v>
      </c>
    </row>
    <row r="49" spans="1:6" x14ac:dyDescent="0.2">
      <c r="A49">
        <v>22</v>
      </c>
      <c r="B49">
        <v>0.3964480134369418</v>
      </c>
      <c r="C49">
        <v>0.40145959337407155</v>
      </c>
      <c r="E49">
        <v>14.930555555555554</v>
      </c>
      <c r="F49">
        <v>-1.2793531068196276</v>
      </c>
    </row>
    <row r="50" spans="1:6" x14ac:dyDescent="0.2">
      <c r="A50">
        <v>23</v>
      </c>
      <c r="B50">
        <v>-5.4438233624149665E-2</v>
      </c>
      <c r="C50">
        <v>-0.17973682746686104</v>
      </c>
      <c r="E50">
        <v>15.624999999999998</v>
      </c>
      <c r="F50">
        <v>-1.1425691586862545</v>
      </c>
    </row>
    <row r="51" spans="1:6" x14ac:dyDescent="0.2">
      <c r="A51">
        <v>24</v>
      </c>
      <c r="B51">
        <v>0.41863291224225035</v>
      </c>
      <c r="C51">
        <v>3.0430383657489402E-2</v>
      </c>
      <c r="E51">
        <v>16.319444444444443</v>
      </c>
      <c r="F51">
        <v>-1.1072210028407516</v>
      </c>
    </row>
    <row r="52" spans="1:6" x14ac:dyDescent="0.2">
      <c r="A52">
        <v>25</v>
      </c>
      <c r="B52">
        <v>-1.7019802887333082</v>
      </c>
      <c r="C52">
        <v>-1.6423082856791722</v>
      </c>
      <c r="E52">
        <v>17.013888888888886</v>
      </c>
      <c r="F52">
        <v>-1.0801430002995103</v>
      </c>
    </row>
    <row r="53" spans="1:6" x14ac:dyDescent="0.2">
      <c r="A53">
        <v>26</v>
      </c>
      <c r="B53">
        <v>1.2562969247917981</v>
      </c>
      <c r="C53">
        <v>0.69886319593570634</v>
      </c>
      <c r="E53">
        <v>17.708333333333332</v>
      </c>
      <c r="F53">
        <v>-0.94912629185626851</v>
      </c>
    </row>
    <row r="54" spans="1:6" x14ac:dyDescent="0.2">
      <c r="A54">
        <v>27</v>
      </c>
      <c r="B54">
        <v>-1.0572166772831884</v>
      </c>
      <c r="C54">
        <v>-1.9110620453418525</v>
      </c>
      <c r="E54">
        <v>18.402777777777775</v>
      </c>
      <c r="F54">
        <v>-0.93339874585644023</v>
      </c>
    </row>
    <row r="55" spans="1:6" x14ac:dyDescent="0.2">
      <c r="A55">
        <v>28</v>
      </c>
      <c r="B55">
        <v>-0.80266797984048421</v>
      </c>
      <c r="C55">
        <v>-0.1464583120157843</v>
      </c>
      <c r="E55">
        <v>19.097222222222221</v>
      </c>
      <c r="F55">
        <v>-0.8739297602339734</v>
      </c>
    </row>
    <row r="56" spans="1:6" x14ac:dyDescent="0.2">
      <c r="A56">
        <v>29</v>
      </c>
      <c r="B56">
        <v>2.026639272976333</v>
      </c>
      <c r="C56">
        <v>0.65675200753587104</v>
      </c>
      <c r="E56">
        <v>19.791666666666664</v>
      </c>
      <c r="F56">
        <v>-0.85098504001589137</v>
      </c>
    </row>
    <row r="57" spans="1:6" x14ac:dyDescent="0.2">
      <c r="A57">
        <v>30</v>
      </c>
      <c r="B57">
        <v>0.17053439048425917</v>
      </c>
      <c r="C57">
        <v>0.91437579128480184</v>
      </c>
      <c r="E57">
        <v>20.486111111111111</v>
      </c>
      <c r="F57">
        <v>-0.84486748191592764</v>
      </c>
    </row>
    <row r="58" spans="1:6" x14ac:dyDescent="0.2">
      <c r="A58">
        <v>31</v>
      </c>
      <c r="B58">
        <v>-1.169563154301722</v>
      </c>
      <c r="C58">
        <v>0.5675037930746567</v>
      </c>
      <c r="E58">
        <v>21.180555555555554</v>
      </c>
      <c r="F58">
        <v>-0.83998798555617005</v>
      </c>
    </row>
    <row r="59" spans="1:6" x14ac:dyDescent="0.2">
      <c r="A59">
        <v>32</v>
      </c>
      <c r="B59">
        <v>-0.23303543143707678</v>
      </c>
      <c r="C59">
        <v>-1.1514980379020903</v>
      </c>
      <c r="E59">
        <v>21.875</v>
      </c>
      <c r="F59">
        <v>-0.82038765576752415</v>
      </c>
    </row>
    <row r="60" spans="1:6" x14ac:dyDescent="0.2">
      <c r="A60">
        <v>33</v>
      </c>
      <c r="B60">
        <v>0.45983839222016359</v>
      </c>
      <c r="C60">
        <v>5.2853757143717262E-2</v>
      </c>
      <c r="E60">
        <v>22.569444444444443</v>
      </c>
      <c r="F60">
        <v>-0.73047275946122014</v>
      </c>
    </row>
    <row r="61" spans="1:6" x14ac:dyDescent="0.2">
      <c r="A61">
        <v>34</v>
      </c>
      <c r="B61">
        <v>3.235009955283775</v>
      </c>
      <c r="C61">
        <v>-1.1222774413117187</v>
      </c>
      <c r="E61">
        <v>23.263888888888886</v>
      </c>
      <c r="F61">
        <v>-0.72114034769675106</v>
      </c>
    </row>
    <row r="62" spans="1:6" x14ac:dyDescent="0.2">
      <c r="A62">
        <v>35</v>
      </c>
      <c r="B62">
        <v>1.7300699116233942</v>
      </c>
      <c r="C62">
        <v>-1.2834274153884015</v>
      </c>
      <c r="E62">
        <v>23.958333333333332</v>
      </c>
      <c r="F62">
        <v>-0.70844610563042631</v>
      </c>
    </row>
    <row r="63" spans="1:6" x14ac:dyDescent="0.2">
      <c r="A63">
        <v>36</v>
      </c>
      <c r="B63">
        <v>0.76422420714741623</v>
      </c>
      <c r="C63">
        <v>4.4871503074163099E-2</v>
      </c>
      <c r="E63">
        <v>24.652777777777775</v>
      </c>
      <c r="F63">
        <v>-0.63980558944311527</v>
      </c>
    </row>
    <row r="64" spans="1:6" x14ac:dyDescent="0.2">
      <c r="A64">
        <v>37</v>
      </c>
      <c r="B64">
        <v>1.8610717732439899</v>
      </c>
      <c r="C64">
        <v>1.5340101690439736</v>
      </c>
      <c r="E64">
        <v>25.347222222222221</v>
      </c>
      <c r="F64">
        <v>-0.63321922178810008</v>
      </c>
    </row>
    <row r="65" spans="1:6" x14ac:dyDescent="0.2">
      <c r="A65">
        <v>38</v>
      </c>
      <c r="B65">
        <v>3.1031095023384991</v>
      </c>
      <c r="C65">
        <v>6.4013960276900761E-3</v>
      </c>
      <c r="E65">
        <v>26.041666666666664</v>
      </c>
      <c r="F65">
        <v>-0.62523746935851443</v>
      </c>
    </row>
    <row r="66" spans="1:6" x14ac:dyDescent="0.2">
      <c r="A66">
        <v>39</v>
      </c>
      <c r="B66">
        <v>2.3493444582614766</v>
      </c>
      <c r="C66">
        <v>-0.77409682897737908</v>
      </c>
      <c r="E66">
        <v>26.736111111111111</v>
      </c>
      <c r="F66">
        <v>-0.60205936122706527</v>
      </c>
    </row>
    <row r="67" spans="1:6" x14ac:dyDescent="0.2">
      <c r="A67">
        <v>40</v>
      </c>
      <c r="B67">
        <v>-0.34481988916973494</v>
      </c>
      <c r="C67">
        <v>0.73896394017795264</v>
      </c>
      <c r="E67">
        <v>27.430555555555554</v>
      </c>
      <c r="F67">
        <v>-0.49649597275839152</v>
      </c>
    </row>
    <row r="68" spans="1:6" x14ac:dyDescent="0.2">
      <c r="A68">
        <v>41</v>
      </c>
      <c r="B68">
        <v>-1.0465145504585673</v>
      </c>
      <c r="C68">
        <v>1.3390019437216383</v>
      </c>
      <c r="E68">
        <v>28.125</v>
      </c>
      <c r="F68">
        <v>-0.45287219230992509</v>
      </c>
    </row>
    <row r="69" spans="1:6" x14ac:dyDescent="0.2">
      <c r="A69">
        <v>42</v>
      </c>
      <c r="B69">
        <v>-0.61037061505388768</v>
      </c>
      <c r="C69">
        <v>-0.32302813080255255</v>
      </c>
      <c r="E69">
        <v>28.819444444444443</v>
      </c>
      <c r="F69">
        <v>-0.44945692130845749</v>
      </c>
    </row>
    <row r="70" spans="1:6" x14ac:dyDescent="0.2">
      <c r="A70">
        <v>43</v>
      </c>
      <c r="B70">
        <v>2.1776085864285073</v>
      </c>
      <c r="C70">
        <v>0.68332748749382244</v>
      </c>
      <c r="E70">
        <v>29.513888888888886</v>
      </c>
      <c r="F70">
        <v>-0.42414010254649709</v>
      </c>
    </row>
    <row r="71" spans="1:6" x14ac:dyDescent="0.2">
      <c r="A71">
        <v>44</v>
      </c>
      <c r="B71">
        <v>1.3942413183312317E-2</v>
      </c>
      <c r="C71">
        <v>-0.46339933449176979</v>
      </c>
      <c r="E71">
        <v>30.208333333333332</v>
      </c>
      <c r="F71">
        <v>-0.40587403799491967</v>
      </c>
    </row>
    <row r="72" spans="1:6" x14ac:dyDescent="0.2">
      <c r="A72">
        <v>45</v>
      </c>
      <c r="B72">
        <v>1.6168189948934786</v>
      </c>
      <c r="C72">
        <v>0.90888529216229985</v>
      </c>
      <c r="E72">
        <v>30.902777777777775</v>
      </c>
      <c r="F72">
        <v>-0.38364685529762182</v>
      </c>
    </row>
    <row r="73" spans="1:6" x14ac:dyDescent="0.2">
      <c r="A73">
        <v>46</v>
      </c>
      <c r="B73">
        <v>-2.6640187708723367E-2</v>
      </c>
      <c r="C73">
        <v>0.34859128604004885</v>
      </c>
      <c r="E73">
        <v>31.597222222222221</v>
      </c>
      <c r="F73">
        <v>-0.34952011853591453</v>
      </c>
    </row>
    <row r="74" spans="1:6" x14ac:dyDescent="0.2">
      <c r="A74">
        <v>47</v>
      </c>
      <c r="B74">
        <v>0.88249620212221602</v>
      </c>
      <c r="C74">
        <v>-1.2661430574198378</v>
      </c>
      <c r="E74">
        <v>32.291666666666664</v>
      </c>
      <c r="F74">
        <v>-0.32059917407416511</v>
      </c>
    </row>
    <row r="75" spans="1:6" x14ac:dyDescent="0.2">
      <c r="A75">
        <v>48</v>
      </c>
      <c r="B75">
        <v>0.99538261508393922</v>
      </c>
      <c r="C75">
        <v>0.81480616400239103</v>
      </c>
      <c r="E75">
        <v>32.986111111111107</v>
      </c>
      <c r="F75">
        <v>-0.25809067214290327</v>
      </c>
    </row>
    <row r="76" spans="1:6" x14ac:dyDescent="0.2">
      <c r="A76">
        <v>49</v>
      </c>
      <c r="B76">
        <v>-0.24630885078875214</v>
      </c>
      <c r="C76">
        <v>-0.6276209094452212</v>
      </c>
      <c r="E76">
        <v>33.68055555555555</v>
      </c>
      <c r="F76">
        <v>-0.23417506109101072</v>
      </c>
    </row>
    <row r="77" spans="1:6" x14ac:dyDescent="0.2">
      <c r="A77">
        <v>50</v>
      </c>
      <c r="B77">
        <v>0.80471258622033837</v>
      </c>
      <c r="C77">
        <v>-2.5577157356463709E-2</v>
      </c>
      <c r="E77">
        <v>34.375</v>
      </c>
      <c r="F77">
        <v>-0.18651939975316809</v>
      </c>
    </row>
    <row r="78" spans="1:6" x14ac:dyDescent="0.2">
      <c r="A78">
        <v>51</v>
      </c>
      <c r="B78">
        <v>0.35736006999025249</v>
      </c>
      <c r="C78">
        <v>0.76788081497493577</v>
      </c>
      <c r="E78">
        <v>35.069444444444443</v>
      </c>
      <c r="F78">
        <v>-0.16023377056929605</v>
      </c>
    </row>
    <row r="79" spans="1:6" x14ac:dyDescent="0.2">
      <c r="A79">
        <v>52</v>
      </c>
      <c r="B79">
        <v>-0.34071302932993258</v>
      </c>
      <c r="C79">
        <v>-0.73942997096957774</v>
      </c>
      <c r="E79">
        <v>35.763888888888886</v>
      </c>
      <c r="F79">
        <v>-0.15960421366991845</v>
      </c>
    </row>
    <row r="80" spans="1:6" x14ac:dyDescent="0.2">
      <c r="A80">
        <v>53</v>
      </c>
      <c r="B80">
        <v>0.29046121494171734</v>
      </c>
      <c r="C80">
        <v>1.002846793417983</v>
      </c>
      <c r="E80">
        <v>36.458333333333329</v>
      </c>
      <c r="F80">
        <v>-0.12574664360828455</v>
      </c>
    </row>
    <row r="81" spans="1:6" x14ac:dyDescent="0.2">
      <c r="A81">
        <v>54</v>
      </c>
      <c r="B81">
        <v>-0.10248974041602898</v>
      </c>
      <c r="C81">
        <v>-0.24703037811988554</v>
      </c>
      <c r="E81">
        <v>37.152777777777779</v>
      </c>
      <c r="F81">
        <v>-3.7635693365227305E-2</v>
      </c>
    </row>
    <row r="82" spans="1:6" x14ac:dyDescent="0.2">
      <c r="A82">
        <v>55</v>
      </c>
      <c r="B82">
        <v>0.65940901259208473</v>
      </c>
      <c r="C82">
        <v>1.5343579257204443</v>
      </c>
      <c r="E82">
        <v>37.847222222222221</v>
      </c>
      <c r="F82">
        <v>-2.8872892422191813E-2</v>
      </c>
    </row>
    <row r="83" spans="1:6" x14ac:dyDescent="0.2">
      <c r="A83">
        <v>56</v>
      </c>
      <c r="B83">
        <v>-0.14026344736358118</v>
      </c>
      <c r="C83">
        <v>-0.56818265826684511</v>
      </c>
      <c r="E83">
        <v>38.541666666666664</v>
      </c>
      <c r="F83">
        <v>-2.1093949631446327E-2</v>
      </c>
    </row>
    <row r="84" spans="1:6" x14ac:dyDescent="0.2">
      <c r="A84">
        <v>57</v>
      </c>
      <c r="B84">
        <v>-0.6953185361062717</v>
      </c>
      <c r="C84">
        <v>-0.44725062257998283</v>
      </c>
      <c r="E84">
        <v>39.236111111111107</v>
      </c>
      <c r="F84">
        <v>2.1744398396726858E-3</v>
      </c>
    </row>
    <row r="85" spans="1:6" x14ac:dyDescent="0.2">
      <c r="A85">
        <v>58</v>
      </c>
      <c r="B85">
        <v>-9.4754094751591245E-2</v>
      </c>
      <c r="C85">
        <v>-1.3964762072498993</v>
      </c>
      <c r="E85">
        <v>39.93055555555555</v>
      </c>
      <c r="F85">
        <v>1.3361896540353232E-2</v>
      </c>
    </row>
    <row r="86" spans="1:6" x14ac:dyDescent="0.2">
      <c r="A86">
        <v>59</v>
      </c>
      <c r="B86">
        <v>0.33427170790628391</v>
      </c>
      <c r="C86">
        <v>2.1368505792846815</v>
      </c>
      <c r="E86">
        <v>40.625</v>
      </c>
      <c r="F86">
        <v>1.5244628300109645E-2</v>
      </c>
    </row>
    <row r="87" spans="1:6" x14ac:dyDescent="0.2">
      <c r="A87">
        <v>60</v>
      </c>
      <c r="B87">
        <v>-0.18099109630981672</v>
      </c>
      <c r="C87">
        <v>1.7442289511223654</v>
      </c>
      <c r="E87">
        <v>41.319444444444443</v>
      </c>
      <c r="F87">
        <v>4.5162099813618559E-2</v>
      </c>
    </row>
    <row r="88" spans="1:6" x14ac:dyDescent="0.2">
      <c r="A88">
        <v>61</v>
      </c>
      <c r="B88">
        <v>-0.34948020872108165</v>
      </c>
      <c r="C88">
        <v>0.51998605061237935</v>
      </c>
      <c r="E88">
        <v>42.013888888888886</v>
      </c>
      <c r="F88">
        <v>5.5182858323510636E-2</v>
      </c>
    </row>
    <row r="89" spans="1:6" x14ac:dyDescent="0.2">
      <c r="A89">
        <v>62</v>
      </c>
      <c r="B89">
        <v>0.7827623193730503</v>
      </c>
      <c r="C89">
        <v>0.5455128277807052</v>
      </c>
      <c r="E89">
        <v>42.708333333333329</v>
      </c>
      <c r="F89">
        <v>6.2862567183433013E-2</v>
      </c>
    </row>
    <row r="90" spans="1:6" x14ac:dyDescent="0.2">
      <c r="A90">
        <v>63</v>
      </c>
      <c r="B90">
        <v>0.30567171367028029</v>
      </c>
      <c r="C90">
        <v>-0.29230981712992704</v>
      </c>
      <c r="E90">
        <v>43.402777777777779</v>
      </c>
      <c r="F90">
        <v>6.4450144874432388E-2</v>
      </c>
    </row>
    <row r="91" spans="1:6" x14ac:dyDescent="0.2">
      <c r="A91">
        <v>64</v>
      </c>
      <c r="B91">
        <v>-0.23511454417623334</v>
      </c>
      <c r="C91">
        <v>0.28027664398985191</v>
      </c>
      <c r="E91">
        <v>44.097222222222221</v>
      </c>
      <c r="F91">
        <v>0.17050584189129772</v>
      </c>
    </row>
    <row r="92" spans="1:6" x14ac:dyDescent="0.2">
      <c r="A92">
        <v>65</v>
      </c>
      <c r="B92">
        <v>-0.74958098664379258</v>
      </c>
      <c r="C92">
        <v>-1.7784662969843728</v>
      </c>
      <c r="E92">
        <v>44.791666666666664</v>
      </c>
      <c r="F92">
        <v>0.20128346879376346</v>
      </c>
    </row>
    <row r="93" spans="1:6" x14ac:dyDescent="0.2">
      <c r="A93">
        <v>66</v>
      </c>
      <c r="B93">
        <v>-1.2279518279745136</v>
      </c>
      <c r="C93">
        <v>0.37696678795862226</v>
      </c>
      <c r="E93">
        <v>45.486111111111107</v>
      </c>
      <c r="F93">
        <v>0.25176219913533959</v>
      </c>
    </row>
    <row r="94" spans="1:6" x14ac:dyDescent="0.2">
      <c r="A94">
        <v>67</v>
      </c>
      <c r="B94">
        <v>-0.24348271791967063</v>
      </c>
      <c r="C94">
        <v>-2.2612149462470921</v>
      </c>
      <c r="E94">
        <v>46.18055555555555</v>
      </c>
      <c r="F94">
        <v>0.27937046819359035</v>
      </c>
    </row>
    <row r="95" spans="1:6" x14ac:dyDescent="0.2">
      <c r="A95">
        <v>68</v>
      </c>
      <c r="B95">
        <v>0.61759888412958563</v>
      </c>
      <c r="C95">
        <v>-1.8969519909492132</v>
      </c>
      <c r="E95">
        <v>46.875</v>
      </c>
      <c r="F95">
        <v>0.29248739326307094</v>
      </c>
    </row>
    <row r="96" spans="1:6" x14ac:dyDescent="0.2">
      <c r="A96">
        <v>69</v>
      </c>
      <c r="B96">
        <v>3.6732742846650734E-3</v>
      </c>
      <c r="C96">
        <v>1.3164996183197191</v>
      </c>
      <c r="E96">
        <v>47.569444444444443</v>
      </c>
      <c r="F96">
        <v>0.32195109833132546</v>
      </c>
    </row>
    <row r="97" spans="1:6" x14ac:dyDescent="0.2">
      <c r="A97">
        <v>70</v>
      </c>
      <c r="B97">
        <v>5.1776378811321466E-2</v>
      </c>
      <c r="C97">
        <v>-0.89176436436749151</v>
      </c>
      <c r="E97">
        <v>48.263888888888886</v>
      </c>
      <c r="F97">
        <v>0.3416951439283733</v>
      </c>
    </row>
    <row r="98" spans="1:6" x14ac:dyDescent="0.2">
      <c r="A98">
        <v>71</v>
      </c>
      <c r="B98">
        <v>0.40772703562017798</v>
      </c>
      <c r="C98">
        <v>0.8995727388622422</v>
      </c>
      <c r="E98">
        <v>48.958333333333329</v>
      </c>
      <c r="F98">
        <v>0.3941440510082177</v>
      </c>
    </row>
    <row r="99" spans="1:6" x14ac:dyDescent="0.2">
      <c r="A99">
        <v>72</v>
      </c>
      <c r="B99">
        <v>0.74909569408350318</v>
      </c>
      <c r="C99">
        <v>5.0204738474845523E-2</v>
      </c>
      <c r="E99">
        <v>49.652777777777779</v>
      </c>
      <c r="F99">
        <v>0.39463790345239053</v>
      </c>
    </row>
    <row r="100" spans="1:6" x14ac:dyDescent="0.2">
      <c r="A100">
        <v>73</v>
      </c>
      <c r="B100">
        <v>0.95136009026577328</v>
      </c>
      <c r="C100">
        <v>-0.97245403989721957</v>
      </c>
      <c r="E100">
        <v>50.347222222222221</v>
      </c>
      <c r="F100">
        <v>0.44664249623499269</v>
      </c>
    </row>
    <row r="101" spans="1:6" x14ac:dyDescent="0.2">
      <c r="A101">
        <v>74</v>
      </c>
      <c r="B101">
        <v>-1.0382003411161245</v>
      </c>
      <c r="C101">
        <v>-3.1144944832212866</v>
      </c>
      <c r="E101">
        <v>51.041666666666664</v>
      </c>
      <c r="F101">
        <v>0.44906329589973976</v>
      </c>
    </row>
    <row r="102" spans="1:6" x14ac:dyDescent="0.2">
      <c r="A102">
        <v>75</v>
      </c>
      <c r="B102">
        <v>-7.697120179173977</v>
      </c>
      <c r="C102">
        <v>0.69239168980678922</v>
      </c>
      <c r="E102">
        <v>51.736111111111107</v>
      </c>
      <c r="F102">
        <v>0.51269214936388086</v>
      </c>
    </row>
    <row r="103" spans="1:6" x14ac:dyDescent="0.2">
      <c r="A103">
        <v>76</v>
      </c>
      <c r="B103">
        <v>5.3025880373113203</v>
      </c>
      <c r="C103">
        <v>-0.80070579366562722</v>
      </c>
      <c r="E103">
        <v>52.43055555555555</v>
      </c>
      <c r="F103">
        <v>0.54311279831289316</v>
      </c>
    </row>
    <row r="104" spans="1:6" x14ac:dyDescent="0.2">
      <c r="A104">
        <v>77</v>
      </c>
      <c r="B104">
        <v>2.2148652411457763</v>
      </c>
      <c r="C104">
        <v>0.49215282638077618</v>
      </c>
      <c r="E104">
        <v>53.125</v>
      </c>
      <c r="F104">
        <v>0.64991632276644051</v>
      </c>
    </row>
    <row r="105" spans="1:6" x14ac:dyDescent="0.2">
      <c r="A105">
        <v>78</v>
      </c>
      <c r="B105">
        <v>1.1085009028594484</v>
      </c>
      <c r="C105">
        <v>0.34855906665302205</v>
      </c>
      <c r="E105">
        <v>53.819444444444443</v>
      </c>
      <c r="F105">
        <v>0.74520035393408268</v>
      </c>
    </row>
    <row r="106" spans="1:6" x14ac:dyDescent="0.2">
      <c r="A106">
        <v>79</v>
      </c>
      <c r="B106">
        <v>2.3661000455273746</v>
      </c>
      <c r="C106">
        <v>-2.8189722378372997</v>
      </c>
      <c r="E106">
        <v>54.513888888888886</v>
      </c>
      <c r="F106">
        <v>0.76476526172699799</v>
      </c>
    </row>
    <row r="107" spans="1:6" x14ac:dyDescent="0.2">
      <c r="A107">
        <v>80</v>
      </c>
      <c r="B107">
        <v>0.4250534903522758</v>
      </c>
      <c r="C107">
        <v>1.0495966708796216</v>
      </c>
      <c r="E107">
        <v>55.208333333333329</v>
      </c>
      <c r="F107">
        <v>0.76715041455256716</v>
      </c>
    </row>
    <row r="108" spans="1:6" x14ac:dyDescent="0.2">
      <c r="A108">
        <v>81</v>
      </c>
      <c r="B108">
        <v>-0.26349927433454351</v>
      </c>
      <c r="C108">
        <v>-5.7099899739621596E-2</v>
      </c>
      <c r="E108">
        <v>55.902777777777779</v>
      </c>
      <c r="F108">
        <v>0.77913542886387466</v>
      </c>
    </row>
    <row r="109" spans="1:6" x14ac:dyDescent="0.2">
      <c r="A109">
        <v>82</v>
      </c>
      <c r="B109">
        <v>0.36978447358245803</v>
      </c>
      <c r="C109">
        <v>-2.2699626745153916</v>
      </c>
      <c r="E109">
        <v>56.597222222222221</v>
      </c>
      <c r="F109">
        <v>0.79790760681101336</v>
      </c>
    </row>
    <row r="110" spans="1:6" x14ac:dyDescent="0.2">
      <c r="A110">
        <v>83</v>
      </c>
      <c r="B110">
        <v>3.0037552205607336</v>
      </c>
      <c r="C110">
        <v>2.5829470758920272</v>
      </c>
      <c r="E110">
        <v>57.291666666666664</v>
      </c>
      <c r="F110">
        <v>0.79930043255834871</v>
      </c>
    </row>
    <row r="111" spans="1:6" x14ac:dyDescent="0.2">
      <c r="A111">
        <v>84</v>
      </c>
      <c r="B111">
        <v>1.3265213727013179</v>
      </c>
      <c r="C111">
        <v>0.52543214661765281</v>
      </c>
      <c r="E111">
        <v>57.986111111111107</v>
      </c>
      <c r="F111">
        <v>0.80909571022157933</v>
      </c>
    </row>
    <row r="112" spans="1:6" x14ac:dyDescent="0.2">
      <c r="A112">
        <v>85</v>
      </c>
      <c r="B112">
        <v>-0.22627807907959435</v>
      </c>
      <c r="C112">
        <v>-0.49486226861715671</v>
      </c>
      <c r="E112">
        <v>58.68055555555555</v>
      </c>
      <c r="F112">
        <v>0.8173714702258239</v>
      </c>
    </row>
    <row r="113" spans="1:6" x14ac:dyDescent="0.2">
      <c r="A113">
        <v>86</v>
      </c>
      <c r="B113">
        <v>-0.81031146769222917</v>
      </c>
      <c r="C113">
        <v>0.78143857527003735</v>
      </c>
      <c r="E113">
        <v>59.375</v>
      </c>
      <c r="F113">
        <v>0.8220675256694463</v>
      </c>
    </row>
    <row r="114" spans="1:6" x14ac:dyDescent="0.2">
      <c r="A114">
        <v>87</v>
      </c>
      <c r="B114">
        <v>0.61086375852170682</v>
      </c>
      <c r="C114">
        <v>1.5445511789513389</v>
      </c>
      <c r="E114">
        <v>60.069444444444443</v>
      </c>
      <c r="F114">
        <v>0.94080499762717185</v>
      </c>
    </row>
    <row r="115" spans="1:6" x14ac:dyDescent="0.2">
      <c r="A115">
        <v>88</v>
      </c>
      <c r="B115">
        <v>0.69503840006329176</v>
      </c>
      <c r="C115">
        <v>1.6159332137173026</v>
      </c>
      <c r="E115">
        <v>60.763888888888886</v>
      </c>
      <c r="F115">
        <v>0.98384974618307341</v>
      </c>
    </row>
    <row r="116" spans="1:6" x14ac:dyDescent="0.2">
      <c r="A116">
        <v>89</v>
      </c>
      <c r="B116">
        <v>0.57443654922346565</v>
      </c>
      <c r="C116">
        <v>-0.32267435008812606</v>
      </c>
      <c r="E116">
        <v>61.458333333333329</v>
      </c>
      <c r="F116">
        <v>1.084910181769061</v>
      </c>
    </row>
    <row r="117" spans="1:6" x14ac:dyDescent="0.2">
      <c r="A117">
        <v>90</v>
      </c>
      <c r="B117">
        <v>0.93082625425634868</v>
      </c>
      <c r="C117">
        <v>0.26268574042138904</v>
      </c>
      <c r="E117">
        <v>62.152777777777771</v>
      </c>
      <c r="F117">
        <v>1.088562294937061</v>
      </c>
    </row>
    <row r="118" spans="1:6" x14ac:dyDescent="0.2">
      <c r="A118">
        <v>91</v>
      </c>
      <c r="B118">
        <v>1.0104665049900103</v>
      </c>
      <c r="C118">
        <v>7.8095789947050687E-2</v>
      </c>
      <c r="E118">
        <v>62.847222222222221</v>
      </c>
      <c r="F118">
        <v>1.1252408849651883</v>
      </c>
    </row>
    <row r="119" spans="1:6" x14ac:dyDescent="0.2">
      <c r="A119">
        <v>92</v>
      </c>
      <c r="B119">
        <v>0.40931977028092831</v>
      </c>
      <c r="C119">
        <v>1.0705969650682652</v>
      </c>
      <c r="E119">
        <v>63.541666666666664</v>
      </c>
      <c r="F119">
        <v>1.1573512190828252</v>
      </c>
    </row>
    <row r="120" spans="1:6" x14ac:dyDescent="0.2">
      <c r="A120">
        <v>93</v>
      </c>
      <c r="B120">
        <v>-0.79440069187135365</v>
      </c>
      <c r="C120">
        <v>-0.53683122747341672</v>
      </c>
      <c r="E120">
        <v>64.236111111111114</v>
      </c>
      <c r="F120">
        <v>1.1607317321410837</v>
      </c>
    </row>
    <row r="121" spans="1:6" x14ac:dyDescent="0.2">
      <c r="A121">
        <v>94</v>
      </c>
      <c r="B121">
        <v>0.41787294993055502</v>
      </c>
      <c r="C121">
        <v>1.29513915884429</v>
      </c>
      <c r="E121">
        <v>64.930555555555557</v>
      </c>
      <c r="F121">
        <v>1.1935119946777377</v>
      </c>
    </row>
    <row r="122" spans="1:6" x14ac:dyDescent="0.2">
      <c r="A122">
        <v>95</v>
      </c>
      <c r="B122">
        <v>7.18460275670295E-2</v>
      </c>
      <c r="C122">
        <v>0.26984911636134379</v>
      </c>
      <c r="E122">
        <v>65.625</v>
      </c>
      <c r="F122">
        <v>1.2933080083597004</v>
      </c>
    </row>
    <row r="123" spans="1:6" x14ac:dyDescent="0.2">
      <c r="A123">
        <v>96</v>
      </c>
      <c r="B123">
        <v>0.79550630953038692</v>
      </c>
      <c r="C123">
        <v>0.56378678360272816</v>
      </c>
      <c r="E123">
        <v>66.319444444444443</v>
      </c>
      <c r="F123">
        <v>1.3006576888791135</v>
      </c>
    </row>
    <row r="124" spans="1:6" x14ac:dyDescent="0.2">
      <c r="A124">
        <v>97</v>
      </c>
      <c r="B124">
        <v>-2.0989441656360968</v>
      </c>
      <c r="C124">
        <v>-0.15786769510596654</v>
      </c>
      <c r="E124">
        <v>67.013888888888886</v>
      </c>
      <c r="F124">
        <v>1.3072997744824202</v>
      </c>
    </row>
    <row r="125" spans="1:6" x14ac:dyDescent="0.2">
      <c r="A125">
        <v>98</v>
      </c>
      <c r="B125">
        <v>-1.1844762318518065</v>
      </c>
      <c r="C125">
        <v>7.725522901105486E-2</v>
      </c>
      <c r="E125">
        <v>67.708333333333343</v>
      </c>
      <c r="F125">
        <v>1.3201728926043841</v>
      </c>
    </row>
    <row r="126" spans="1:6" x14ac:dyDescent="0.2">
      <c r="A126">
        <v>99</v>
      </c>
      <c r="B126">
        <v>0.1354018920576438</v>
      </c>
      <c r="C126">
        <v>1.8611470411735382</v>
      </c>
      <c r="E126">
        <v>68.402777777777786</v>
      </c>
      <c r="F126">
        <v>1.3282751471537555</v>
      </c>
    </row>
    <row r="127" spans="1:6" x14ac:dyDescent="0.2">
      <c r="A127">
        <v>100</v>
      </c>
      <c r="B127">
        <v>-2.6528994711246163</v>
      </c>
      <c r="C127">
        <v>0.93652070525768183</v>
      </c>
      <c r="E127">
        <v>69.097222222222229</v>
      </c>
      <c r="F127">
        <v>1.3592930931331151</v>
      </c>
    </row>
    <row r="128" spans="1:6" x14ac:dyDescent="0.2">
      <c r="A128">
        <v>101</v>
      </c>
      <c r="B128">
        <v>0.11988719678282761</v>
      </c>
      <c r="C128">
        <v>-0.9402748525503517</v>
      </c>
      <c r="E128">
        <v>69.791666666666671</v>
      </c>
      <c r="F128">
        <v>1.3893836371301047</v>
      </c>
    </row>
    <row r="129" spans="1:6" x14ac:dyDescent="0.2">
      <c r="A129">
        <v>102</v>
      </c>
      <c r="B129">
        <v>-3.9576019879900151</v>
      </c>
      <c r="C129">
        <v>0.27007777668278754</v>
      </c>
      <c r="E129">
        <v>70.486111111111114</v>
      </c>
      <c r="F129">
        <v>1.4570599695124704</v>
      </c>
    </row>
    <row r="130" spans="1:6" x14ac:dyDescent="0.2">
      <c r="A130">
        <v>103</v>
      </c>
      <c r="B130">
        <v>4.646207554378428</v>
      </c>
      <c r="C130">
        <v>-0.82471866822148332</v>
      </c>
      <c r="E130">
        <v>71.180555555555557</v>
      </c>
      <c r="F130">
        <v>1.4746501612318974</v>
      </c>
    </row>
    <row r="131" spans="1:6" x14ac:dyDescent="0.2">
      <c r="A131">
        <v>104</v>
      </c>
      <c r="B131">
        <v>-4.2949793152869669</v>
      </c>
      <c r="C131">
        <v>2.468184396214312</v>
      </c>
      <c r="E131">
        <v>71.875</v>
      </c>
      <c r="F131">
        <v>1.4799167353491935</v>
      </c>
    </row>
    <row r="132" spans="1:6" x14ac:dyDescent="0.2">
      <c r="A132">
        <v>105</v>
      </c>
      <c r="B132">
        <v>-3.9777723825133662</v>
      </c>
      <c r="C132">
        <v>-0.70908751707182427</v>
      </c>
      <c r="E132">
        <v>72.569444444444443</v>
      </c>
      <c r="F132">
        <v>1.5120608050198472</v>
      </c>
    </row>
    <row r="133" spans="1:6" x14ac:dyDescent="0.2">
      <c r="A133">
        <v>106</v>
      </c>
      <c r="B133">
        <v>2.7357210310931337</v>
      </c>
      <c r="C133">
        <v>-0.49156408715808242</v>
      </c>
      <c r="E133">
        <v>73.263888888888886</v>
      </c>
      <c r="F133">
        <v>1.5632378548125487</v>
      </c>
    </row>
    <row r="134" spans="1:6" x14ac:dyDescent="0.2">
      <c r="A134">
        <v>107</v>
      </c>
      <c r="B134">
        <v>2.3511460190034379</v>
      </c>
      <c r="C134">
        <v>0.16872211473785237</v>
      </c>
      <c r="E134">
        <v>73.958333333333343</v>
      </c>
      <c r="F134">
        <v>1.5752476292840976</v>
      </c>
    </row>
    <row r="135" spans="1:6" x14ac:dyDescent="0.2">
      <c r="A135">
        <v>108</v>
      </c>
      <c r="B135">
        <v>-0.59337169572603798</v>
      </c>
      <c r="C135">
        <v>-0.79166820563247509</v>
      </c>
      <c r="E135">
        <v>74.652777777777786</v>
      </c>
      <c r="F135">
        <v>1.7130121087748451</v>
      </c>
    </row>
    <row r="136" spans="1:6" x14ac:dyDescent="0.2">
      <c r="A136">
        <v>109</v>
      </c>
      <c r="B136">
        <v>2.5812285517298599</v>
      </c>
      <c r="C136">
        <v>0.48864283100797445</v>
      </c>
      <c r="E136">
        <v>75.347222222222229</v>
      </c>
      <c r="F136">
        <v>1.8101887790863302</v>
      </c>
    </row>
    <row r="137" spans="1:6" x14ac:dyDescent="0.2">
      <c r="A137">
        <v>110</v>
      </c>
      <c r="B137">
        <v>-1.1744801019102253</v>
      </c>
      <c r="C137">
        <v>1.0142463313409293</v>
      </c>
      <c r="E137">
        <v>76.041666666666671</v>
      </c>
      <c r="F137">
        <v>1.8519535193189707</v>
      </c>
    </row>
    <row r="138" spans="1:6" x14ac:dyDescent="0.2">
      <c r="A138">
        <v>111</v>
      </c>
      <c r="B138">
        <v>0.9601561378997151</v>
      </c>
      <c r="C138">
        <v>-1.2182468100426185</v>
      </c>
      <c r="E138">
        <v>76.736111111111114</v>
      </c>
      <c r="F138">
        <v>1.9551601207275044</v>
      </c>
    </row>
    <row r="139" spans="1:6" x14ac:dyDescent="0.2">
      <c r="A139">
        <v>112</v>
      </c>
      <c r="B139">
        <v>0.34441656795013098</v>
      </c>
      <c r="C139">
        <v>0.59638842967704087</v>
      </c>
      <c r="E139">
        <v>77.430555555555557</v>
      </c>
      <c r="F139">
        <v>1.9636320377819911</v>
      </c>
    </row>
    <row r="140" spans="1:6" x14ac:dyDescent="0.2">
      <c r="A140">
        <v>113</v>
      </c>
      <c r="B140">
        <v>-1.0639777874114436</v>
      </c>
      <c r="C140">
        <v>-0.41763448142883774</v>
      </c>
      <c r="E140">
        <v>78.125</v>
      </c>
      <c r="F140">
        <v>1.9965489332311821</v>
      </c>
    </row>
    <row r="141" spans="1:6" x14ac:dyDescent="0.2">
      <c r="A141">
        <v>114</v>
      </c>
      <c r="B141">
        <v>0.36299111243908722</v>
      </c>
      <c r="C141">
        <v>0.40415930211347995</v>
      </c>
      <c r="E141">
        <v>78.819444444444443</v>
      </c>
      <c r="F141">
        <v>2.1127325139720563</v>
      </c>
    </row>
    <row r="142" spans="1:6" x14ac:dyDescent="0.2">
      <c r="A142">
        <v>115</v>
      </c>
      <c r="B142">
        <v>1.5380940165156314</v>
      </c>
      <c r="C142">
        <v>0.42553802126635976</v>
      </c>
      <c r="E142">
        <v>79.513888888888886</v>
      </c>
      <c r="F142">
        <v>2.1320616401803507</v>
      </c>
    </row>
    <row r="143" spans="1:6" x14ac:dyDescent="0.2">
      <c r="A143">
        <v>116</v>
      </c>
      <c r="B143">
        <v>0.24585466929652755</v>
      </c>
      <c r="C143">
        <v>-0.87109213865504198</v>
      </c>
      <c r="E143">
        <v>80.208333333333343</v>
      </c>
      <c r="F143">
        <v>2.1528110708148573</v>
      </c>
    </row>
    <row r="144" spans="1:6" x14ac:dyDescent="0.2">
      <c r="A144">
        <v>117</v>
      </c>
      <c r="B144">
        <v>-3.6499174468986428E-2</v>
      </c>
      <c r="C144">
        <v>0.31586964266257678</v>
      </c>
      <c r="E144">
        <v>80.902777777777786</v>
      </c>
      <c r="F144">
        <v>2.1554149374730458</v>
      </c>
    </row>
    <row r="145" spans="1:6" x14ac:dyDescent="0.2">
      <c r="A145">
        <v>118</v>
      </c>
      <c r="B145">
        <v>-0.10928015326343221</v>
      </c>
      <c r="C145">
        <v>-1.5931868470382224</v>
      </c>
      <c r="E145">
        <v>81.597222222222229</v>
      </c>
      <c r="F145">
        <v>2.1937669383125291</v>
      </c>
    </row>
    <row r="146" spans="1:6" x14ac:dyDescent="0.2">
      <c r="A146">
        <v>119</v>
      </c>
      <c r="B146">
        <v>3.3088123121216304</v>
      </c>
      <c r="C146">
        <v>-0.14212495582311391</v>
      </c>
      <c r="E146">
        <v>82.291666666666671</v>
      </c>
      <c r="F146">
        <v>2.2441569439350513</v>
      </c>
    </row>
    <row r="147" spans="1:6" x14ac:dyDescent="0.2">
      <c r="A147">
        <v>120</v>
      </c>
      <c r="B147">
        <v>3.3729921599728203</v>
      </c>
      <c r="C147">
        <v>0.20707921964453169</v>
      </c>
      <c r="E147">
        <v>82.986111111111114</v>
      </c>
      <c r="F147">
        <v>2.3109716137805942</v>
      </c>
    </row>
    <row r="148" spans="1:6" x14ac:dyDescent="0.2">
      <c r="A148">
        <v>121</v>
      </c>
      <c r="B148">
        <v>-0.1739453160001293</v>
      </c>
      <c r="C148">
        <v>0.22912817432363994</v>
      </c>
      <c r="E148">
        <v>83.680555555555557</v>
      </c>
      <c r="F148">
        <v>2.3644571963769208</v>
      </c>
    </row>
    <row r="149" spans="1:6" x14ac:dyDescent="0.2">
      <c r="A149">
        <v>122</v>
      </c>
      <c r="B149">
        <v>0.10275261720538875</v>
      </c>
      <c r="C149">
        <v>0.71461885302043515</v>
      </c>
      <c r="E149">
        <v>84.375</v>
      </c>
      <c r="F149">
        <v>2.3878145236429944</v>
      </c>
    </row>
    <row r="150" spans="1:6" x14ac:dyDescent="0.2">
      <c r="A150">
        <v>123</v>
      </c>
      <c r="B150">
        <v>1.2210223604770172</v>
      </c>
      <c r="C150">
        <v>1.3132944346945266</v>
      </c>
      <c r="E150">
        <v>85.069444444444443</v>
      </c>
      <c r="F150">
        <v>2.4047017706743326</v>
      </c>
    </row>
    <row r="151" spans="1:6" x14ac:dyDescent="0.2">
      <c r="A151">
        <v>124</v>
      </c>
      <c r="B151">
        <v>-0.61030299298629698</v>
      </c>
      <c r="C151">
        <v>0.11380702022790545</v>
      </c>
      <c r="E151">
        <v>85.763888888888886</v>
      </c>
      <c r="F151">
        <v>2.4711222871909655</v>
      </c>
    </row>
    <row r="152" spans="1:6" x14ac:dyDescent="0.2">
      <c r="A152">
        <v>125</v>
      </c>
      <c r="B152">
        <v>1.0578475668256895</v>
      </c>
      <c r="C152">
        <v>9.9503652257135755E-2</v>
      </c>
      <c r="E152">
        <v>86.458333333333343</v>
      </c>
      <c r="F152">
        <v>2.5118747000438195</v>
      </c>
    </row>
    <row r="153" spans="1:6" x14ac:dyDescent="0.2">
      <c r="A153">
        <v>126</v>
      </c>
      <c r="B153">
        <v>0.69487994329572533</v>
      </c>
      <c r="C153">
        <v>0.46585178884535838</v>
      </c>
      <c r="E153">
        <v>87.152777777777786</v>
      </c>
      <c r="F153">
        <v>2.5198681337412903</v>
      </c>
    </row>
    <row r="154" spans="1:6" x14ac:dyDescent="0.2">
      <c r="A154">
        <v>127</v>
      </c>
      <c r="B154">
        <v>1.4652845832875305</v>
      </c>
      <c r="C154">
        <v>-0.48143483710445711</v>
      </c>
      <c r="E154">
        <v>87.847222222222229</v>
      </c>
      <c r="F154">
        <v>2.5257042870557784</v>
      </c>
    </row>
    <row r="155" spans="1:6" x14ac:dyDescent="0.2">
      <c r="A155">
        <v>128</v>
      </c>
      <c r="B155">
        <v>0.98048681034419638</v>
      </c>
      <c r="C155">
        <v>-0.77920334155043292</v>
      </c>
      <c r="E155">
        <v>88.541666666666671</v>
      </c>
      <c r="F155">
        <v>2.5343167951715437</v>
      </c>
    </row>
    <row r="156" spans="1:6" x14ac:dyDescent="0.2">
      <c r="A156">
        <v>129</v>
      </c>
      <c r="B156">
        <v>1.0260438773445244</v>
      </c>
      <c r="C156">
        <v>-0.96318131016109143</v>
      </c>
      <c r="E156">
        <v>89.236111111111114</v>
      </c>
      <c r="F156">
        <v>2.6303236664701828</v>
      </c>
    </row>
    <row r="157" spans="1:6" x14ac:dyDescent="0.2">
      <c r="A157">
        <v>130</v>
      </c>
      <c r="B157">
        <v>-0.36937262822970895</v>
      </c>
      <c r="C157">
        <v>0.3846172565298186</v>
      </c>
      <c r="E157">
        <v>89.930555555555557</v>
      </c>
      <c r="F157">
        <v>2.6535892327475388</v>
      </c>
    </row>
    <row r="158" spans="1:6" x14ac:dyDescent="0.2">
      <c r="A158">
        <v>131</v>
      </c>
      <c r="B158">
        <v>1.5132580817956311</v>
      </c>
      <c r="C158">
        <v>0.99861661824818837</v>
      </c>
      <c r="E158">
        <v>90.625</v>
      </c>
      <c r="F158">
        <v>2.664630651168546</v>
      </c>
    </row>
    <row r="159" spans="1:6" x14ac:dyDescent="0.2">
      <c r="A159">
        <v>132</v>
      </c>
      <c r="B159">
        <v>0.2161593220835123</v>
      </c>
      <c r="C159">
        <v>-0.94663208154473244</v>
      </c>
      <c r="E159">
        <v>91.319444444444443</v>
      </c>
      <c r="F159">
        <v>2.683391280512204</v>
      </c>
    </row>
    <row r="160" spans="1:6" x14ac:dyDescent="0.2">
      <c r="A160">
        <v>133</v>
      </c>
      <c r="B160">
        <v>1.1668079531813937</v>
      </c>
      <c r="C160">
        <v>1.4978226979871523</v>
      </c>
      <c r="E160">
        <v>92.013888888888886</v>
      </c>
      <c r="F160">
        <v>2.7070180675265525</v>
      </c>
    </row>
    <row r="161" spans="1:6" x14ac:dyDescent="0.2">
      <c r="A161">
        <v>134</v>
      </c>
      <c r="B161">
        <v>0.76624262978097124</v>
      </c>
      <c r="C161">
        <v>-1.4060482192240866</v>
      </c>
      <c r="E161">
        <v>92.708333333333343</v>
      </c>
      <c r="F161">
        <v>2.8438546235537174</v>
      </c>
    </row>
    <row r="162" spans="1:6" x14ac:dyDescent="0.2">
      <c r="A162">
        <v>135</v>
      </c>
      <c r="B162">
        <v>-0.67576056522383754</v>
      </c>
      <c r="C162">
        <v>-1.8922965346114187</v>
      </c>
      <c r="E162">
        <v>93.402777777777786</v>
      </c>
      <c r="F162">
        <v>2.8609360739223297</v>
      </c>
    </row>
    <row r="163" spans="1:6" x14ac:dyDescent="0.2">
      <c r="A163">
        <v>136</v>
      </c>
      <c r="B163">
        <v>1.179244927291117</v>
      </c>
      <c r="C163">
        <v>-1.3049915708994015</v>
      </c>
      <c r="E163">
        <v>94.097222222222229</v>
      </c>
      <c r="F163">
        <v>3.0698713827378343</v>
      </c>
    </row>
    <row r="164" spans="1:6" x14ac:dyDescent="0.2">
      <c r="A164">
        <v>137</v>
      </c>
      <c r="B164">
        <v>0.80058101357970035</v>
      </c>
      <c r="C164">
        <v>1.5872335100632942</v>
      </c>
      <c r="E164">
        <v>94.791666666666671</v>
      </c>
      <c r="F164">
        <v>3.1095108983661892</v>
      </c>
    </row>
    <row r="165" spans="1:6" x14ac:dyDescent="0.2">
      <c r="A165">
        <v>138</v>
      </c>
      <c r="B165">
        <v>1.2248207077574009</v>
      </c>
      <c r="C165">
        <v>7.5836981121712554E-2</v>
      </c>
      <c r="E165">
        <v>95.486111111111114</v>
      </c>
      <c r="F165">
        <v>3.1666873562985165</v>
      </c>
    </row>
    <row r="166" spans="1:6" x14ac:dyDescent="0.2">
      <c r="A166">
        <v>139</v>
      </c>
      <c r="B166">
        <v>0.82534312941608101</v>
      </c>
      <c r="C166">
        <v>1.5391140669608396</v>
      </c>
      <c r="E166">
        <v>96.180555555555557</v>
      </c>
      <c r="F166">
        <v>3.3950819422879635</v>
      </c>
    </row>
    <row r="167" spans="1:6" x14ac:dyDescent="0.2">
      <c r="A167">
        <v>140</v>
      </c>
      <c r="B167">
        <v>0.25857268977581349</v>
      </c>
      <c r="C167">
        <v>-0.29620838314104081</v>
      </c>
      <c r="E167">
        <v>96.875</v>
      </c>
      <c r="F167">
        <v>3.4388141552305238</v>
      </c>
    </row>
    <row r="168" spans="1:6" x14ac:dyDescent="0.2">
      <c r="A168">
        <v>141</v>
      </c>
      <c r="B168">
        <v>0.8911030101266213</v>
      </c>
      <c r="C168">
        <v>0.62095779489322589</v>
      </c>
      <c r="E168">
        <v>97.569444444444443</v>
      </c>
      <c r="F168">
        <v>3.580071379617352</v>
      </c>
    </row>
    <row r="169" spans="1:6" x14ac:dyDescent="0.2">
      <c r="A169">
        <v>142</v>
      </c>
      <c r="B169">
        <v>1.1431674137960244</v>
      </c>
      <c r="C169">
        <v>1.4871562526741584</v>
      </c>
      <c r="E169">
        <v>98.263888888888886</v>
      </c>
      <c r="F169">
        <v>3.8214888861569447</v>
      </c>
    </row>
    <row r="170" spans="1:6" x14ac:dyDescent="0.2">
      <c r="A170">
        <v>143</v>
      </c>
      <c r="B170">
        <v>0.31865260335293166</v>
      </c>
      <c r="C170">
        <v>-0.25420245847849926</v>
      </c>
      <c r="E170">
        <v>98.958333333333343</v>
      </c>
      <c r="F170">
        <v>4.5018822436456931</v>
      </c>
    </row>
    <row r="171" spans="1:6" ht="17" thickBot="1" x14ac:dyDescent="0.25">
      <c r="A171" s="2">
        <v>144</v>
      </c>
      <c r="B171" s="2">
        <v>0.75091167809623516</v>
      </c>
      <c r="C171" s="2">
        <v>-0.10099535532979464</v>
      </c>
      <c r="E171" s="2">
        <v>99.652777777777786</v>
      </c>
      <c r="F171" s="2">
        <v>5.5867022964527608</v>
      </c>
    </row>
  </sheetData>
  <sortState xmlns:xlrd2="http://schemas.microsoft.com/office/spreadsheetml/2017/richdata2" ref="F28:F171">
    <sortCondition ref="F28"/>
  </sortState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D3357-A46A-C841-A433-6E0BA7056F76}">
  <dimension ref="A1:I172"/>
  <sheetViews>
    <sheetView topLeftCell="A9" workbookViewId="0">
      <selection activeCell="I29" sqref="I29"/>
    </sheetView>
  </sheetViews>
  <sheetFormatPr baseColWidth="10" defaultRowHeight="16" x14ac:dyDescent="0.2"/>
  <cols>
    <col min="1" max="1" width="26" bestFit="1" customWidth="1"/>
    <col min="2" max="2" width="25" bestFit="1" customWidth="1"/>
    <col min="3" max="3" width="13.5" bestFit="1" customWidth="1"/>
    <col min="4" max="4" width="12.83203125" bestFit="1" customWidth="1"/>
    <col min="5" max="5" width="19.6640625" bestFit="1" customWidth="1"/>
    <col min="6" max="6" width="16.6640625" bestFit="1" customWidth="1"/>
    <col min="7" max="7" width="12.1640625" bestFit="1" customWidth="1"/>
    <col min="8" max="8" width="12.83203125" bestFit="1" customWidth="1"/>
    <col min="9" max="9" width="12.33203125" bestFit="1" customWidth="1"/>
  </cols>
  <sheetData>
    <row r="1" spans="1:9" x14ac:dyDescent="0.2">
      <c r="A1" t="s">
        <v>21</v>
      </c>
    </row>
    <row r="2" spans="1:9" ht="17" thickBot="1" x14ac:dyDescent="0.25"/>
    <row r="3" spans="1:9" x14ac:dyDescent="0.2">
      <c r="A3" s="4" t="s">
        <v>22</v>
      </c>
      <c r="B3" s="4"/>
    </row>
    <row r="4" spans="1:9" x14ac:dyDescent="0.2">
      <c r="A4" t="s">
        <v>23</v>
      </c>
      <c r="B4">
        <v>0.82890225687835128</v>
      </c>
    </row>
    <row r="5" spans="1:9" x14ac:dyDescent="0.2">
      <c r="A5" t="s">
        <v>24</v>
      </c>
      <c r="B5">
        <v>0.68707895145802422</v>
      </c>
    </row>
    <row r="6" spans="1:9" x14ac:dyDescent="0.2">
      <c r="A6" t="s">
        <v>25</v>
      </c>
      <c r="B6">
        <v>0.67574123230795269</v>
      </c>
    </row>
    <row r="7" spans="1:9" x14ac:dyDescent="0.2">
      <c r="A7" t="s">
        <v>26</v>
      </c>
      <c r="B7">
        <v>1.0640641494747238</v>
      </c>
    </row>
    <row r="8" spans="1:9" ht="17" thickBot="1" x14ac:dyDescent="0.25">
      <c r="A8" s="2" t="s">
        <v>27</v>
      </c>
      <c r="B8" s="2">
        <v>144</v>
      </c>
    </row>
    <row r="10" spans="1:9" ht="17" thickBot="1" x14ac:dyDescent="0.25">
      <c r="A10" t="s">
        <v>28</v>
      </c>
    </row>
    <row r="11" spans="1:9" x14ac:dyDescent="0.2">
      <c r="A11" s="3"/>
      <c r="B11" s="3" t="s">
        <v>33</v>
      </c>
      <c r="C11" s="3" t="s">
        <v>34</v>
      </c>
      <c r="D11" s="3" t="s">
        <v>35</v>
      </c>
      <c r="E11" s="3" t="s">
        <v>36</v>
      </c>
      <c r="F11" s="3" t="s">
        <v>37</v>
      </c>
    </row>
    <row r="12" spans="1:9" x14ac:dyDescent="0.2">
      <c r="A12" t="s">
        <v>29</v>
      </c>
      <c r="B12">
        <v>5</v>
      </c>
      <c r="C12">
        <v>343.07302834207974</v>
      </c>
      <c r="D12">
        <v>68.614605668415948</v>
      </c>
      <c r="E12">
        <v>60.601161694297758</v>
      </c>
      <c r="F12">
        <v>3.9000241173870048E-33</v>
      </c>
    </row>
    <row r="13" spans="1:9" x14ac:dyDescent="0.2">
      <c r="A13" t="s">
        <v>30</v>
      </c>
      <c r="B13">
        <v>138</v>
      </c>
      <c r="C13">
        <v>156.2480869592367</v>
      </c>
      <c r="D13">
        <v>1.1322325141973675</v>
      </c>
    </row>
    <row r="14" spans="1:9" ht="17" thickBot="1" x14ac:dyDescent="0.25">
      <c r="A14" s="2" t="s">
        <v>31</v>
      </c>
      <c r="B14" s="2">
        <v>143</v>
      </c>
      <c r="C14" s="2">
        <v>499.32111530131647</v>
      </c>
      <c r="D14" s="2"/>
      <c r="E14" s="2"/>
      <c r="F14" s="2"/>
    </row>
    <row r="15" spans="1:9" ht="17" thickBot="1" x14ac:dyDescent="0.25"/>
    <row r="16" spans="1:9" x14ac:dyDescent="0.2">
      <c r="A16" s="3"/>
      <c r="B16" s="3" t="s">
        <v>38</v>
      </c>
      <c r="C16" s="3" t="s">
        <v>26</v>
      </c>
      <c r="D16" s="3" t="s">
        <v>39</v>
      </c>
      <c r="E16" s="3" t="s">
        <v>40</v>
      </c>
      <c r="F16" s="3" t="s">
        <v>41</v>
      </c>
      <c r="G16" s="3" t="s">
        <v>42</v>
      </c>
      <c r="H16" s="3" t="s">
        <v>43</v>
      </c>
      <c r="I16" s="3" t="s">
        <v>44</v>
      </c>
    </row>
    <row r="17" spans="1:9" x14ac:dyDescent="0.2">
      <c r="A17" t="s">
        <v>32</v>
      </c>
      <c r="B17">
        <v>-0.71713676560530026</v>
      </c>
      <c r="C17">
        <v>0.46474297150378879</v>
      </c>
      <c r="D17">
        <v>-1.5430825414848772</v>
      </c>
      <c r="E17">
        <v>0.12510080730354892</v>
      </c>
      <c r="F17">
        <v>-1.6360746892921991</v>
      </c>
      <c r="G17">
        <v>0.2018011580815986</v>
      </c>
      <c r="H17">
        <v>-1.6360746892921991</v>
      </c>
      <c r="I17">
        <v>0.2018011580815986</v>
      </c>
    </row>
    <row r="18" spans="1:9" x14ac:dyDescent="0.2">
      <c r="A18" t="s">
        <v>1</v>
      </c>
      <c r="B18">
        <v>3.497155930041866</v>
      </c>
      <c r="C18">
        <v>2.0874203458306151</v>
      </c>
      <c r="D18">
        <v>1.6753482052750122</v>
      </c>
      <c r="E18">
        <v>9.6130399425227178E-2</v>
      </c>
      <c r="F18">
        <v>-0.63030771346960091</v>
      </c>
      <c r="G18">
        <v>7.6246195735533329</v>
      </c>
      <c r="H18">
        <v>-0.63030771346960091</v>
      </c>
      <c r="I18">
        <v>7.6246195735533329</v>
      </c>
    </row>
    <row r="19" spans="1:9" x14ac:dyDescent="0.2">
      <c r="A19" t="s">
        <v>17</v>
      </c>
      <c r="B19">
        <v>0.81421952840901879</v>
      </c>
      <c r="C19">
        <v>4.8124234110406561E-2</v>
      </c>
      <c r="D19">
        <v>16.919116604350261</v>
      </c>
      <c r="E19">
        <v>1.8216165532041128E-35</v>
      </c>
      <c r="F19">
        <v>0.71906330984514377</v>
      </c>
      <c r="G19">
        <v>0.90937574697289381</v>
      </c>
      <c r="H19">
        <v>0.71906330984514377</v>
      </c>
      <c r="I19">
        <v>0.90937574697289381</v>
      </c>
    </row>
    <row r="20" spans="1:9" x14ac:dyDescent="0.2">
      <c r="A20" t="s">
        <v>18</v>
      </c>
      <c r="B20">
        <v>0.46622378787981877</v>
      </c>
      <c r="C20">
        <v>5.8348474038984251E-2</v>
      </c>
      <c r="D20">
        <v>7.9903338614874757</v>
      </c>
      <c r="E20">
        <v>4.7867553744056011E-13</v>
      </c>
      <c r="F20">
        <v>0.35085114349062657</v>
      </c>
      <c r="G20">
        <v>0.58159643226901103</v>
      </c>
      <c r="H20">
        <v>0.35085114349062657</v>
      </c>
      <c r="I20">
        <v>0.58159643226901103</v>
      </c>
    </row>
    <row r="21" spans="1:9" x14ac:dyDescent="0.2">
      <c r="A21" t="s">
        <v>20</v>
      </c>
      <c r="B21">
        <v>3.3218484885901858</v>
      </c>
      <c r="C21">
        <v>1.9991192047186068</v>
      </c>
      <c r="D21">
        <v>1.6616560336919801</v>
      </c>
      <c r="E21">
        <v>9.8851817971504177E-2</v>
      </c>
      <c r="F21">
        <v>-0.63101699583542326</v>
      </c>
      <c r="G21">
        <v>7.2747139730157944</v>
      </c>
      <c r="H21">
        <v>-0.63101699583542326</v>
      </c>
      <c r="I21">
        <v>7.2747139730157944</v>
      </c>
    </row>
    <row r="22" spans="1:9" ht="17" thickBot="1" x14ac:dyDescent="0.25">
      <c r="A22" s="2" t="s">
        <v>51</v>
      </c>
      <c r="B22" s="2">
        <v>3.6183957641982718</v>
      </c>
      <c r="C22" s="2">
        <v>1.7598344437317981</v>
      </c>
      <c r="D22" s="2">
        <v>2.0561000934413589</v>
      </c>
      <c r="E22" s="2">
        <v>4.1657537495544225E-2</v>
      </c>
      <c r="F22" s="2">
        <v>0.13866888522512033</v>
      </c>
      <c r="G22" s="2">
        <v>7.0981226431714237</v>
      </c>
      <c r="H22" s="2">
        <v>0.13866888522512033</v>
      </c>
      <c r="I22" s="2">
        <v>7.0981226431714237</v>
      </c>
    </row>
    <row r="26" spans="1:9" x14ac:dyDescent="0.2">
      <c r="A26" t="s">
        <v>45</v>
      </c>
      <c r="E26" t="s">
        <v>48</v>
      </c>
    </row>
    <row r="27" spans="1:9" ht="17" thickBot="1" x14ac:dyDescent="0.25"/>
    <row r="28" spans="1:9" x14ac:dyDescent="0.2">
      <c r="A28" s="3" t="s">
        <v>46</v>
      </c>
      <c r="B28" s="3" t="s">
        <v>50</v>
      </c>
      <c r="C28" s="3" t="s">
        <v>47</v>
      </c>
      <c r="E28" s="3" t="s">
        <v>49</v>
      </c>
      <c r="F28" s="3" t="s">
        <v>2</v>
      </c>
    </row>
    <row r="29" spans="1:9" x14ac:dyDescent="0.2">
      <c r="A29">
        <v>1</v>
      </c>
      <c r="B29">
        <v>-1.1306067742880122</v>
      </c>
      <c r="C29">
        <v>-1.9925444467259021</v>
      </c>
      <c r="E29">
        <v>0.34722222222222221</v>
      </c>
      <c r="F29">
        <v>-7.0047284893671877</v>
      </c>
    </row>
    <row r="30" spans="1:9" x14ac:dyDescent="0.2">
      <c r="A30">
        <v>2</v>
      </c>
      <c r="B30">
        <v>2.2520950291390309</v>
      </c>
      <c r="C30">
        <v>1.1867191260914929</v>
      </c>
      <c r="E30">
        <v>1.0416666666666665</v>
      </c>
      <c r="F30">
        <v>-4.6868598995851904</v>
      </c>
    </row>
    <row r="31" spans="1:9" x14ac:dyDescent="0.2">
      <c r="A31">
        <v>3</v>
      </c>
      <c r="B31">
        <v>-0.33742675992666293</v>
      </c>
      <c r="C31">
        <v>-1.5048909326122315</v>
      </c>
      <c r="E31">
        <v>1.7361111111111112</v>
      </c>
      <c r="F31">
        <v>-4.1526948243374111</v>
      </c>
    </row>
    <row r="32" spans="1:9" x14ac:dyDescent="0.2">
      <c r="A32">
        <v>4</v>
      </c>
      <c r="B32">
        <v>1.2059128231190219</v>
      </c>
      <c r="C32">
        <v>-0.44114756139202393</v>
      </c>
      <c r="E32">
        <v>2.4305555555555554</v>
      </c>
      <c r="F32">
        <v>-3.6875242113072275</v>
      </c>
    </row>
    <row r="33" spans="1:6" x14ac:dyDescent="0.2">
      <c r="A33">
        <v>5</v>
      </c>
      <c r="B33">
        <v>2.2323921617156408</v>
      </c>
      <c r="C33">
        <v>0.61146246183807662</v>
      </c>
      <c r="E33">
        <v>3.125</v>
      </c>
      <c r="F33">
        <v>-3.3442885744124804</v>
      </c>
    </row>
    <row r="34" spans="1:6" x14ac:dyDescent="0.2">
      <c r="A34">
        <v>6</v>
      </c>
      <c r="B34">
        <v>-0.1399281621783427</v>
      </c>
      <c r="C34">
        <v>-0.26594587581657697</v>
      </c>
      <c r="E34">
        <v>3.8194444444444446</v>
      </c>
      <c r="F34">
        <v>-3.1231512210139143</v>
      </c>
    </row>
    <row r="35" spans="1:6" x14ac:dyDescent="0.2">
      <c r="A35">
        <v>7</v>
      </c>
      <c r="B35">
        <v>0.39320628688769932</v>
      </c>
      <c r="C35">
        <v>1.4316165646912071E-3</v>
      </c>
      <c r="E35">
        <v>4.5138888888888884</v>
      </c>
      <c r="F35">
        <v>-2.9682787226250409</v>
      </c>
    </row>
    <row r="36" spans="1:6" x14ac:dyDescent="0.2">
      <c r="A36">
        <v>8</v>
      </c>
      <c r="B36">
        <v>1.2881955031050767</v>
      </c>
      <c r="C36">
        <v>-2.1330629850210041</v>
      </c>
      <c r="E36">
        <v>5.208333333333333</v>
      </c>
      <c r="F36">
        <v>-2.5680570998352561</v>
      </c>
    </row>
    <row r="37" spans="1:6" x14ac:dyDescent="0.2">
      <c r="A37">
        <v>9</v>
      </c>
      <c r="B37">
        <v>1.3093473521995542</v>
      </c>
      <c r="C37">
        <v>0.82271428798079649</v>
      </c>
      <c r="E37">
        <v>5.9027777777777777</v>
      </c>
      <c r="F37">
        <v>-2.5280472836281653</v>
      </c>
    </row>
    <row r="38" spans="1:6" x14ac:dyDescent="0.2">
      <c r="A38">
        <v>10</v>
      </c>
      <c r="B38">
        <v>0.25385621974724937</v>
      </c>
      <c r="C38">
        <v>-0.6779963222937464</v>
      </c>
      <c r="E38">
        <v>6.5972222222222223</v>
      </c>
      <c r="F38">
        <v>-2.5046976641667626</v>
      </c>
    </row>
    <row r="39" spans="1:6" x14ac:dyDescent="0.2">
      <c r="A39">
        <v>11</v>
      </c>
      <c r="B39">
        <v>1.1079697724284898</v>
      </c>
      <c r="C39">
        <v>-0.36276941849440714</v>
      </c>
      <c r="E39">
        <v>7.291666666666667</v>
      </c>
      <c r="F39">
        <v>-2.2568118607420633</v>
      </c>
    </row>
    <row r="40" spans="1:6" x14ac:dyDescent="0.2">
      <c r="A40">
        <v>12</v>
      </c>
      <c r="B40">
        <v>0.97387455250127053</v>
      </c>
      <c r="C40">
        <v>0.41550908462883418</v>
      </c>
      <c r="E40">
        <v>7.9861111111111107</v>
      </c>
      <c r="F40">
        <v>-1.9001782009329338</v>
      </c>
    </row>
    <row r="41" spans="1:6" x14ac:dyDescent="0.2">
      <c r="A41">
        <v>13</v>
      </c>
      <c r="B41">
        <v>0.59749214156853403</v>
      </c>
      <c r="C41">
        <v>-0.75709635523845242</v>
      </c>
      <c r="E41">
        <v>8.6805555555555536</v>
      </c>
      <c r="F41">
        <v>-1.8423176925388944</v>
      </c>
    </row>
    <row r="42" spans="1:6" x14ac:dyDescent="0.2">
      <c r="A42">
        <v>14</v>
      </c>
      <c r="B42">
        <v>-0.20726579666979961</v>
      </c>
      <c r="C42">
        <v>0.2094402365094723</v>
      </c>
      <c r="E42">
        <v>9.3749999999999982</v>
      </c>
      <c r="F42">
        <v>-1.8267949190726551</v>
      </c>
    </row>
    <row r="43" spans="1:6" x14ac:dyDescent="0.2">
      <c r="A43">
        <v>15</v>
      </c>
      <c r="B43">
        <v>2.0454842734644698</v>
      </c>
      <c r="C43">
        <v>0.10732679735038753</v>
      </c>
      <c r="E43">
        <v>10.069444444444443</v>
      </c>
      <c r="F43">
        <v>-1.7163787658669345</v>
      </c>
    </row>
    <row r="44" spans="1:6" x14ac:dyDescent="0.2">
      <c r="A44">
        <v>16</v>
      </c>
      <c r="B44">
        <v>-0.69518462000943304</v>
      </c>
      <c r="C44">
        <v>6.1965398221332957E-2</v>
      </c>
      <c r="E44">
        <v>10.763888888888888</v>
      </c>
      <c r="F44">
        <v>-1.7024670003016547</v>
      </c>
    </row>
    <row r="45" spans="1:6" x14ac:dyDescent="0.2">
      <c r="A45">
        <v>17</v>
      </c>
      <c r="B45">
        <v>1.1148170902655357</v>
      </c>
      <c r="C45">
        <v>-0.5717042919526425</v>
      </c>
      <c r="E45">
        <v>11.458333333333332</v>
      </c>
      <c r="F45">
        <v>-1.4912303020014905</v>
      </c>
    </row>
    <row r="46" spans="1:6" x14ac:dyDescent="0.2">
      <c r="A46">
        <v>18</v>
      </c>
      <c r="B46">
        <v>0.86899738039692254</v>
      </c>
      <c r="C46">
        <v>1.7845918523506161</v>
      </c>
      <c r="E46">
        <v>12.152777777777777</v>
      </c>
      <c r="F46">
        <v>-1.4816122688402813</v>
      </c>
    </row>
    <row r="47" spans="1:6" x14ac:dyDescent="0.2">
      <c r="A47">
        <v>19</v>
      </c>
      <c r="B47">
        <v>0.10417493967219149</v>
      </c>
      <c r="C47">
        <v>-0.2906943394253596</v>
      </c>
      <c r="E47">
        <v>12.847222222222221</v>
      </c>
      <c r="F47">
        <v>-1.3850399013585131</v>
      </c>
    </row>
    <row r="48" spans="1:6" x14ac:dyDescent="0.2">
      <c r="A48">
        <v>20</v>
      </c>
      <c r="B48">
        <v>2.7426814004949045</v>
      </c>
      <c r="C48">
        <v>-0.33797962982057195</v>
      </c>
      <c r="E48">
        <v>13.541666666666666</v>
      </c>
      <c r="F48">
        <v>-1.3845334693391671</v>
      </c>
    </row>
    <row r="49" spans="1:6" x14ac:dyDescent="0.2">
      <c r="A49">
        <v>21</v>
      </c>
      <c r="B49">
        <v>-0.15041170133423232</v>
      </c>
      <c r="C49">
        <v>0.97247922700367861</v>
      </c>
      <c r="E49">
        <v>14.236111111111111</v>
      </c>
      <c r="F49">
        <v>-1.3312319193447704</v>
      </c>
    </row>
    <row r="50" spans="1:6" x14ac:dyDescent="0.2">
      <c r="A50">
        <v>22</v>
      </c>
      <c r="B50">
        <v>0.24851247642374474</v>
      </c>
      <c r="C50">
        <v>0.54939513038726862</v>
      </c>
      <c r="E50">
        <v>14.930555555555554</v>
      </c>
      <c r="F50">
        <v>-1.2793531068196276</v>
      </c>
    </row>
    <row r="51" spans="1:6" x14ac:dyDescent="0.2">
      <c r="A51">
        <v>23</v>
      </c>
      <c r="B51">
        <v>-0.23200548394334874</v>
      </c>
      <c r="C51">
        <v>-2.1695771476619718E-3</v>
      </c>
      <c r="E51">
        <v>15.624999999999998</v>
      </c>
      <c r="F51">
        <v>-1.1425691586862545</v>
      </c>
    </row>
    <row r="52" spans="1:6" x14ac:dyDescent="0.2">
      <c r="A52">
        <v>24</v>
      </c>
      <c r="B52">
        <v>0.27708947485742758</v>
      </c>
      <c r="C52">
        <v>0.17197382104231218</v>
      </c>
      <c r="E52">
        <v>16.319444444444443</v>
      </c>
      <c r="F52">
        <v>-1.1072210028407516</v>
      </c>
    </row>
    <row r="53" spans="1:6" x14ac:dyDescent="0.2">
      <c r="A53">
        <v>25</v>
      </c>
      <c r="B53">
        <v>-1.9142792312180814</v>
      </c>
      <c r="C53">
        <v>-1.430009343194399</v>
      </c>
      <c r="E53">
        <v>17.013888888888886</v>
      </c>
      <c r="F53">
        <v>-1.0801430002995103</v>
      </c>
    </row>
    <row r="54" spans="1:6" x14ac:dyDescent="0.2">
      <c r="A54">
        <v>26</v>
      </c>
      <c r="B54">
        <v>1.1269118190631564</v>
      </c>
      <c r="C54">
        <v>0.82824830166434804</v>
      </c>
      <c r="E54">
        <v>17.708333333333332</v>
      </c>
      <c r="F54">
        <v>-0.94912629185626851</v>
      </c>
    </row>
    <row r="55" spans="1:6" x14ac:dyDescent="0.2">
      <c r="A55">
        <v>27</v>
      </c>
      <c r="B55">
        <v>-1.3608153067743558</v>
      </c>
      <c r="C55">
        <v>-1.6074634158506851</v>
      </c>
      <c r="E55">
        <v>18.402777777777775</v>
      </c>
      <c r="F55">
        <v>-0.93339874585644023</v>
      </c>
    </row>
    <row r="56" spans="1:6" x14ac:dyDescent="0.2">
      <c r="A56">
        <v>28</v>
      </c>
      <c r="B56">
        <v>-1.011481374141701</v>
      </c>
      <c r="C56">
        <v>6.2355082285432517E-2</v>
      </c>
      <c r="E56">
        <v>19.097222222222221</v>
      </c>
      <c r="F56">
        <v>-0.8739297602339734</v>
      </c>
    </row>
    <row r="57" spans="1:6" x14ac:dyDescent="0.2">
      <c r="A57">
        <v>29</v>
      </c>
      <c r="B57">
        <v>1.7879887179340808</v>
      </c>
      <c r="C57">
        <v>0.89540256257812323</v>
      </c>
      <c r="E57">
        <v>19.791666666666664</v>
      </c>
      <c r="F57">
        <v>-0.85098504001589137</v>
      </c>
    </row>
    <row r="58" spans="1:6" x14ac:dyDescent="0.2">
      <c r="A58">
        <v>30</v>
      </c>
      <c r="B58">
        <v>1.4096444727575763E-2</v>
      </c>
      <c r="C58">
        <v>1.0708137370414852</v>
      </c>
      <c r="E58">
        <v>20.486111111111111</v>
      </c>
      <c r="F58">
        <v>-0.84486748191592764</v>
      </c>
    </row>
    <row r="59" spans="1:6" x14ac:dyDescent="0.2">
      <c r="A59">
        <v>31</v>
      </c>
      <c r="B59">
        <v>-1.4578674018254008</v>
      </c>
      <c r="C59">
        <v>0.85580804059833548</v>
      </c>
      <c r="E59">
        <v>21.180555555555554</v>
      </c>
      <c r="F59">
        <v>-0.83998798555617005</v>
      </c>
    </row>
    <row r="60" spans="1:6" x14ac:dyDescent="0.2">
      <c r="A60">
        <v>32</v>
      </c>
      <c r="B60">
        <v>-0.48033116309672208</v>
      </c>
      <c r="C60">
        <v>-0.90420230624244502</v>
      </c>
      <c r="E60">
        <v>21.875</v>
      </c>
      <c r="F60">
        <v>-0.82038765576752415</v>
      </c>
    </row>
    <row r="61" spans="1:6" x14ac:dyDescent="0.2">
      <c r="A61">
        <v>33</v>
      </c>
      <c r="B61">
        <v>7.6185300731839045E-2</v>
      </c>
      <c r="C61">
        <v>0.43650684863204181</v>
      </c>
      <c r="E61">
        <v>22.569444444444443</v>
      </c>
      <c r="F61">
        <v>-0.73047275946122014</v>
      </c>
    </row>
    <row r="62" spans="1:6" x14ac:dyDescent="0.2">
      <c r="A62">
        <v>34</v>
      </c>
      <c r="B62">
        <v>3.0889801937346704</v>
      </c>
      <c r="C62">
        <v>-0.97624767976261406</v>
      </c>
      <c r="E62">
        <v>23.263888888888886</v>
      </c>
      <c r="F62">
        <v>-0.72114034769675106</v>
      </c>
    </row>
    <row r="63" spans="1:6" x14ac:dyDescent="0.2">
      <c r="A63">
        <v>35</v>
      </c>
      <c r="B63">
        <v>1.5423839518694848</v>
      </c>
      <c r="C63">
        <v>-1.0957414556344922</v>
      </c>
      <c r="E63">
        <v>23.958333333333332</v>
      </c>
      <c r="F63">
        <v>-0.70844610563042631</v>
      </c>
    </row>
    <row r="64" spans="1:6" x14ac:dyDescent="0.2">
      <c r="A64">
        <v>36</v>
      </c>
      <c r="B64">
        <v>0.55157754423253935</v>
      </c>
      <c r="C64">
        <v>0.25751816598903998</v>
      </c>
      <c r="E64">
        <v>24.652777777777775</v>
      </c>
      <c r="F64">
        <v>-0.63980558944311527</v>
      </c>
    </row>
    <row r="65" spans="1:6" x14ac:dyDescent="0.2">
      <c r="A65">
        <v>37</v>
      </c>
      <c r="B65">
        <v>1.7765909478632476</v>
      </c>
      <c r="C65">
        <v>1.6184909944247159</v>
      </c>
      <c r="E65">
        <v>25.347222222222221</v>
      </c>
      <c r="F65">
        <v>-0.63321922178810008</v>
      </c>
    </row>
    <row r="66" spans="1:6" x14ac:dyDescent="0.2">
      <c r="A66">
        <v>38</v>
      </c>
      <c r="B66">
        <v>3.0912725483245027</v>
      </c>
      <c r="C66">
        <v>1.8238350041686502E-2</v>
      </c>
      <c r="E66">
        <v>26.041666666666664</v>
      </c>
      <c r="F66">
        <v>-0.62523746935851443</v>
      </c>
    </row>
    <row r="67" spans="1:6" x14ac:dyDescent="0.2">
      <c r="A67">
        <v>39</v>
      </c>
      <c r="B67">
        <v>2.358066557449956</v>
      </c>
      <c r="C67">
        <v>-0.78281892816585841</v>
      </c>
      <c r="E67">
        <v>26.736111111111111</v>
      </c>
      <c r="F67">
        <v>-0.60205936122706527</v>
      </c>
    </row>
    <row r="68" spans="1:6" x14ac:dyDescent="0.2">
      <c r="A68">
        <v>40</v>
      </c>
      <c r="B68">
        <v>-0.48483115574249647</v>
      </c>
      <c r="C68">
        <v>0.87897520675071417</v>
      </c>
      <c r="E68">
        <v>27.430555555555554</v>
      </c>
      <c r="F68">
        <v>-0.49649597275839152</v>
      </c>
    </row>
    <row r="69" spans="1:6" x14ac:dyDescent="0.2">
      <c r="A69">
        <v>41</v>
      </c>
      <c r="B69">
        <v>-1.102001192380311</v>
      </c>
      <c r="C69">
        <v>1.394488585643382</v>
      </c>
      <c r="E69">
        <v>28.125</v>
      </c>
      <c r="F69">
        <v>-0.45287219230992509</v>
      </c>
    </row>
    <row r="70" spans="1:6" x14ac:dyDescent="0.2">
      <c r="A70">
        <v>42</v>
      </c>
      <c r="B70">
        <v>-0.64213304957999462</v>
      </c>
      <c r="C70">
        <v>-0.29126569627644561</v>
      </c>
      <c r="E70">
        <v>28.819444444444443</v>
      </c>
      <c r="F70">
        <v>-0.44945692130845749</v>
      </c>
    </row>
    <row r="71" spans="1:6" x14ac:dyDescent="0.2">
      <c r="A71">
        <v>43</v>
      </c>
      <c r="B71">
        <v>2.2722023514252943</v>
      </c>
      <c r="C71">
        <v>0.58873372249703548</v>
      </c>
      <c r="E71">
        <v>29.513888888888886</v>
      </c>
      <c r="F71">
        <v>-0.42414010254649709</v>
      </c>
    </row>
    <row r="72" spans="1:6" x14ac:dyDescent="0.2">
      <c r="A72">
        <v>44</v>
      </c>
      <c r="B72">
        <v>7.7197121477710295E-2</v>
      </c>
      <c r="C72">
        <v>-0.52665404278616779</v>
      </c>
      <c r="E72">
        <v>30.208333333333332</v>
      </c>
      <c r="F72">
        <v>-0.40587403799491967</v>
      </c>
    </row>
    <row r="73" spans="1:6" x14ac:dyDescent="0.2">
      <c r="A73">
        <v>45</v>
      </c>
      <c r="B73">
        <v>1.689867339562156</v>
      </c>
      <c r="C73">
        <v>0.83583694749362247</v>
      </c>
      <c r="E73">
        <v>30.902777777777775</v>
      </c>
      <c r="F73">
        <v>-0.38364685529762182</v>
      </c>
    </row>
    <row r="74" spans="1:6" x14ac:dyDescent="0.2">
      <c r="A74">
        <v>46</v>
      </c>
      <c r="B74">
        <v>6.1312736611025875E-2</v>
      </c>
      <c r="C74">
        <v>0.26063836172029958</v>
      </c>
      <c r="E74">
        <v>31.597222222222221</v>
      </c>
      <c r="F74">
        <v>-0.34952011853591453</v>
      </c>
    </row>
    <row r="75" spans="1:6" x14ac:dyDescent="0.2">
      <c r="A75">
        <v>47</v>
      </c>
      <c r="B75">
        <v>0.91793399468886494</v>
      </c>
      <c r="C75">
        <v>-1.3015808499864867</v>
      </c>
      <c r="E75">
        <v>32.291666666666664</v>
      </c>
      <c r="F75">
        <v>-0.32059917407416511</v>
      </c>
    </row>
    <row r="76" spans="1:6" x14ac:dyDescent="0.2">
      <c r="A76">
        <v>48</v>
      </c>
      <c r="B76">
        <v>1.0307150973278081</v>
      </c>
      <c r="C76">
        <v>0.77947368175852216</v>
      </c>
      <c r="E76">
        <v>32.986111111111107</v>
      </c>
      <c r="F76">
        <v>-0.25809067214290327</v>
      </c>
    </row>
    <row r="77" spans="1:6" x14ac:dyDescent="0.2">
      <c r="A77">
        <v>49</v>
      </c>
      <c r="B77">
        <v>-0.30605439664812051</v>
      </c>
      <c r="C77">
        <v>-0.56787536358585289</v>
      </c>
      <c r="E77">
        <v>33.68055555555555</v>
      </c>
      <c r="F77">
        <v>-0.23417506109101072</v>
      </c>
    </row>
    <row r="78" spans="1:6" x14ac:dyDescent="0.2">
      <c r="A78">
        <v>50</v>
      </c>
      <c r="B78">
        <v>0.76598286550274375</v>
      </c>
      <c r="C78">
        <v>1.3152563361130909E-2</v>
      </c>
      <c r="E78">
        <v>34.375</v>
      </c>
      <c r="F78">
        <v>-0.18651939975316809</v>
      </c>
    </row>
    <row r="79" spans="1:6" x14ac:dyDescent="0.2">
      <c r="A79">
        <v>51</v>
      </c>
      <c r="B79">
        <v>0.33869435192260189</v>
      </c>
      <c r="C79">
        <v>0.78654653304258637</v>
      </c>
      <c r="E79">
        <v>35.069444444444443</v>
      </c>
      <c r="F79">
        <v>-0.16023377056929605</v>
      </c>
    </row>
    <row r="80" spans="1:6" x14ac:dyDescent="0.2">
      <c r="A80">
        <v>52</v>
      </c>
      <c r="B80">
        <v>-0.41502404506140089</v>
      </c>
      <c r="C80">
        <v>-0.66511895523810938</v>
      </c>
      <c r="E80">
        <v>35.763888888888886</v>
      </c>
      <c r="F80">
        <v>-0.15960421366991845</v>
      </c>
    </row>
    <row r="81" spans="1:6" x14ac:dyDescent="0.2">
      <c r="A81">
        <v>53</v>
      </c>
      <c r="B81">
        <v>0.24580562968194664</v>
      </c>
      <c r="C81">
        <v>1.0475023786777538</v>
      </c>
      <c r="E81">
        <v>36.458333333333329</v>
      </c>
      <c r="F81">
        <v>-0.12574664360828455</v>
      </c>
    </row>
    <row r="82" spans="1:6" x14ac:dyDescent="0.2">
      <c r="A82">
        <v>54</v>
      </c>
      <c r="B82">
        <v>-0.17502393332875388</v>
      </c>
      <c r="C82">
        <v>-0.17449618520716065</v>
      </c>
      <c r="E82">
        <v>37.152777777777779</v>
      </c>
      <c r="F82">
        <v>-3.7635693365227305E-2</v>
      </c>
    </row>
    <row r="83" spans="1:6" x14ac:dyDescent="0.2">
      <c r="A83">
        <v>55</v>
      </c>
      <c r="B83">
        <v>0.61096964206006033</v>
      </c>
      <c r="C83">
        <v>1.5827972962524688</v>
      </c>
      <c r="E83">
        <v>37.847222222222221</v>
      </c>
      <c r="F83">
        <v>-2.8872892422191813E-2</v>
      </c>
    </row>
    <row r="84" spans="1:6" x14ac:dyDescent="0.2">
      <c r="A84">
        <v>56</v>
      </c>
      <c r="B84">
        <v>-0.2319771822396075</v>
      </c>
      <c r="C84">
        <v>-0.47646892339081881</v>
      </c>
      <c r="E84">
        <v>38.541666666666664</v>
      </c>
      <c r="F84">
        <v>-2.1093949631446327E-2</v>
      </c>
    </row>
    <row r="85" spans="1:6" x14ac:dyDescent="0.2">
      <c r="A85">
        <v>57</v>
      </c>
      <c r="B85">
        <v>-0.83203000357256884</v>
      </c>
      <c r="C85">
        <v>-0.31053915511368568</v>
      </c>
      <c r="E85">
        <v>39.236111111111107</v>
      </c>
      <c r="F85">
        <v>2.1744398396726858E-3</v>
      </c>
    </row>
    <row r="86" spans="1:6" x14ac:dyDescent="0.2">
      <c r="A86">
        <v>58</v>
      </c>
      <c r="B86">
        <v>-0.10298397334022835</v>
      </c>
      <c r="C86">
        <v>-1.3882463286612623</v>
      </c>
      <c r="E86">
        <v>39.93055555555555</v>
      </c>
      <c r="F86">
        <v>1.3361896540353232E-2</v>
      </c>
    </row>
    <row r="87" spans="1:6" x14ac:dyDescent="0.2">
      <c r="A87">
        <v>59</v>
      </c>
      <c r="B87">
        <v>0.26934746285235156</v>
      </c>
      <c r="C87">
        <v>2.2017748243386137</v>
      </c>
      <c r="E87">
        <v>40.625</v>
      </c>
      <c r="F87">
        <v>1.5244628300109645E-2</v>
      </c>
    </row>
    <row r="88" spans="1:6" x14ac:dyDescent="0.2">
      <c r="A88">
        <v>60</v>
      </c>
      <c r="B88">
        <v>-0.23509472014097843</v>
      </c>
      <c r="C88">
        <v>1.7983325749535273</v>
      </c>
      <c r="E88">
        <v>41.319444444444443</v>
      </c>
      <c r="F88">
        <v>4.5162099813618559E-2</v>
      </c>
    </row>
    <row r="89" spans="1:6" x14ac:dyDescent="0.2">
      <c r="A89">
        <v>61</v>
      </c>
      <c r="B89">
        <v>-0.4295720033620154</v>
      </c>
      <c r="C89">
        <v>0.60007784525331309</v>
      </c>
      <c r="E89">
        <v>42.013888888888886</v>
      </c>
      <c r="F89">
        <v>5.5182858323510636E-2</v>
      </c>
    </row>
    <row r="90" spans="1:6" x14ac:dyDescent="0.2">
      <c r="A90">
        <v>62</v>
      </c>
      <c r="B90">
        <v>0.70336060025924119</v>
      </c>
      <c r="C90">
        <v>0.62491454689451431</v>
      </c>
      <c r="E90">
        <v>42.708333333333329</v>
      </c>
      <c r="F90">
        <v>6.2862567183433013E-2</v>
      </c>
    </row>
    <row r="91" spans="1:6" x14ac:dyDescent="0.2">
      <c r="A91">
        <v>63</v>
      </c>
      <c r="B91">
        <v>0.25623107221632779</v>
      </c>
      <c r="C91">
        <v>-0.24286917567597455</v>
      </c>
      <c r="E91">
        <v>43.402777777777779</v>
      </c>
      <c r="F91">
        <v>6.4450144874432388E-2</v>
      </c>
    </row>
    <row r="92" spans="1:6" x14ac:dyDescent="0.2">
      <c r="A92">
        <v>64</v>
      </c>
      <c r="B92">
        <v>-0.24781584701962278</v>
      </c>
      <c r="C92">
        <v>0.29297794683324135</v>
      </c>
      <c r="E92">
        <v>44.097222222222221</v>
      </c>
      <c r="F92">
        <v>0.17050584189129772</v>
      </c>
    </row>
    <row r="93" spans="1:6" x14ac:dyDescent="0.2">
      <c r="A93">
        <v>65</v>
      </c>
      <c r="B93">
        <v>-0.81124444928816908</v>
      </c>
      <c r="C93">
        <v>-1.7168028343399961</v>
      </c>
      <c r="E93">
        <v>44.791666666666664</v>
      </c>
      <c r="F93">
        <v>0.20128346879376346</v>
      </c>
    </row>
    <row r="94" spans="1:6" x14ac:dyDescent="0.2">
      <c r="A94">
        <v>66</v>
      </c>
      <c r="B94">
        <v>-1.3173047350888329</v>
      </c>
      <c r="C94">
        <v>0.46631969507294158</v>
      </c>
      <c r="E94">
        <v>45.486111111111107</v>
      </c>
      <c r="F94">
        <v>0.25176219913533959</v>
      </c>
    </row>
    <row r="95" spans="1:6" x14ac:dyDescent="0.2">
      <c r="A95">
        <v>67</v>
      </c>
      <c r="B95">
        <v>-0.20927095539004648</v>
      </c>
      <c r="C95">
        <v>-2.2954267087767164</v>
      </c>
      <c r="E95">
        <v>46.18055555555555</v>
      </c>
      <c r="F95">
        <v>0.27937046819359035</v>
      </c>
    </row>
    <row r="96" spans="1:6" x14ac:dyDescent="0.2">
      <c r="A96">
        <v>68</v>
      </c>
      <c r="B96">
        <v>0.71639422124769792</v>
      </c>
      <c r="C96">
        <v>-1.9957473280673255</v>
      </c>
      <c r="E96">
        <v>46.875</v>
      </c>
      <c r="F96">
        <v>0.29248739326307094</v>
      </c>
    </row>
    <row r="97" spans="1:6" x14ac:dyDescent="0.2">
      <c r="A97">
        <v>69</v>
      </c>
      <c r="B97">
        <v>0.10205818064206928</v>
      </c>
      <c r="C97">
        <v>1.2181147119623148</v>
      </c>
      <c r="E97">
        <v>47.569444444444443</v>
      </c>
      <c r="F97">
        <v>0.32195109833132546</v>
      </c>
    </row>
    <row r="98" spans="1:6" x14ac:dyDescent="0.2">
      <c r="A98">
        <v>70</v>
      </c>
      <c r="B98">
        <v>-4.6921766549913313E-3</v>
      </c>
      <c r="C98">
        <v>-0.83529580890117872</v>
      </c>
      <c r="E98">
        <v>48.263888888888886</v>
      </c>
      <c r="F98">
        <v>0.3416951439283733</v>
      </c>
    </row>
    <row r="99" spans="1:6" x14ac:dyDescent="0.2">
      <c r="A99">
        <v>71</v>
      </c>
      <c r="B99">
        <v>0.32786432025698931</v>
      </c>
      <c r="C99">
        <v>0.97943545422543088</v>
      </c>
      <c r="E99">
        <v>48.958333333333329</v>
      </c>
      <c r="F99">
        <v>0.3941440510082177</v>
      </c>
    </row>
    <row r="100" spans="1:6" x14ac:dyDescent="0.2">
      <c r="A100">
        <v>72</v>
      </c>
      <c r="B100">
        <v>0.67943886307075985</v>
      </c>
      <c r="C100">
        <v>0.11986156948758886</v>
      </c>
      <c r="E100">
        <v>49.652777777777779</v>
      </c>
      <c r="F100">
        <v>0.39463790345239053</v>
      </c>
    </row>
    <row r="101" spans="1:6" x14ac:dyDescent="0.2">
      <c r="A101">
        <v>73</v>
      </c>
      <c r="B101">
        <v>0.96066005391937848</v>
      </c>
      <c r="C101">
        <v>-0.98175400355082476</v>
      </c>
      <c r="E101">
        <v>50.347222222222221</v>
      </c>
      <c r="F101">
        <v>0.44664249623499269</v>
      </c>
    </row>
    <row r="102" spans="1:6" x14ac:dyDescent="0.2">
      <c r="A102">
        <v>74</v>
      </c>
      <c r="B102">
        <v>-1.1886065522389424</v>
      </c>
      <c r="C102">
        <v>-2.9640882720984685</v>
      </c>
      <c r="E102">
        <v>51.041666666666664</v>
      </c>
      <c r="F102">
        <v>0.44906329589973976</v>
      </c>
    </row>
    <row r="103" spans="1:6" x14ac:dyDescent="0.2">
      <c r="A103">
        <v>75</v>
      </c>
      <c r="B103">
        <v>-7.9424797637148243</v>
      </c>
      <c r="C103">
        <v>0.93775127434763661</v>
      </c>
      <c r="E103">
        <v>51.736111111111107</v>
      </c>
      <c r="F103">
        <v>0.51269214936388086</v>
      </c>
    </row>
    <row r="104" spans="1:6" x14ac:dyDescent="0.2">
      <c r="A104">
        <v>76</v>
      </c>
      <c r="B104">
        <v>5.301971739937013</v>
      </c>
      <c r="C104">
        <v>-0.80008949629131987</v>
      </c>
      <c r="E104">
        <v>52.43055555555555</v>
      </c>
      <c r="F104">
        <v>0.54311279831289316</v>
      </c>
    </row>
    <row r="105" spans="1:6" x14ac:dyDescent="0.2">
      <c r="A105">
        <v>77</v>
      </c>
      <c r="B105">
        <v>2.1731966922646686</v>
      </c>
      <c r="C105">
        <v>0.53382137526188389</v>
      </c>
      <c r="E105">
        <v>53.125</v>
      </c>
      <c r="F105">
        <v>0.64991632276644051</v>
      </c>
    </row>
    <row r="106" spans="1:6" x14ac:dyDescent="0.2">
      <c r="A106">
        <v>78</v>
      </c>
      <c r="B106">
        <v>1.0239579631523736</v>
      </c>
      <c r="C106">
        <v>0.43310200636009677</v>
      </c>
      <c r="E106">
        <v>53.819444444444443</v>
      </c>
      <c r="F106">
        <v>0.74520035393408268</v>
      </c>
    </row>
    <row r="107" spans="1:6" x14ac:dyDescent="0.2">
      <c r="A107">
        <v>79</v>
      </c>
      <c r="B107">
        <v>2.3565591813935023</v>
      </c>
      <c r="C107">
        <v>-2.8094313737034273</v>
      </c>
      <c r="E107">
        <v>54.513888888888886</v>
      </c>
      <c r="F107">
        <v>0.76476526172699799</v>
      </c>
    </row>
    <row r="108" spans="1:6" x14ac:dyDescent="0.2">
      <c r="A108">
        <v>80</v>
      </c>
      <c r="B108">
        <v>0.41888574842811788</v>
      </c>
      <c r="C108">
        <v>1.0557644128037795</v>
      </c>
      <c r="E108">
        <v>55.208333333333329</v>
      </c>
      <c r="F108">
        <v>0.76715041455256716</v>
      </c>
    </row>
    <row r="109" spans="1:6" x14ac:dyDescent="0.2">
      <c r="A109">
        <v>81</v>
      </c>
      <c r="B109">
        <v>-0.25024643680595837</v>
      </c>
      <c r="C109">
        <v>-7.0352737268206733E-2</v>
      </c>
      <c r="E109">
        <v>55.902777777777779</v>
      </c>
      <c r="F109">
        <v>0.77913542886387466</v>
      </c>
    </row>
    <row r="110" spans="1:6" x14ac:dyDescent="0.2">
      <c r="A110">
        <v>82</v>
      </c>
      <c r="B110">
        <v>0.40120595325876007</v>
      </c>
      <c r="C110">
        <v>-2.3013841541916937</v>
      </c>
      <c r="E110">
        <v>56.597222222222221</v>
      </c>
      <c r="F110">
        <v>0.79790760681101336</v>
      </c>
    </row>
    <row r="111" spans="1:6" x14ac:dyDescent="0.2">
      <c r="A111">
        <v>83</v>
      </c>
      <c r="B111">
        <v>3.075245957813654</v>
      </c>
      <c r="C111">
        <v>2.5114563386391069</v>
      </c>
      <c r="E111">
        <v>57.291666666666664</v>
      </c>
      <c r="F111">
        <v>0.79930043255834871</v>
      </c>
    </row>
    <row r="112" spans="1:6" x14ac:dyDescent="0.2">
      <c r="A112">
        <v>84</v>
      </c>
      <c r="B112">
        <v>1.3506691065053427</v>
      </c>
      <c r="C112">
        <v>0.50128441281362801</v>
      </c>
      <c r="E112">
        <v>57.986111111111107</v>
      </c>
      <c r="F112">
        <v>0.80909571022157933</v>
      </c>
    </row>
    <row r="113" spans="1:6" x14ac:dyDescent="0.2">
      <c r="A113">
        <v>85</v>
      </c>
      <c r="B113">
        <v>-0.20696391123962132</v>
      </c>
      <c r="C113">
        <v>-0.51417643645712974</v>
      </c>
      <c r="E113">
        <v>58.68055555555555</v>
      </c>
      <c r="F113">
        <v>0.8173714702258239</v>
      </c>
    </row>
    <row r="114" spans="1:6" x14ac:dyDescent="0.2">
      <c r="A114">
        <v>86</v>
      </c>
      <c r="B114">
        <v>-0.79553671912971513</v>
      </c>
      <c r="C114">
        <v>0.76666382670752331</v>
      </c>
      <c r="E114">
        <v>59.375</v>
      </c>
      <c r="F114">
        <v>0.8220675256694463</v>
      </c>
    </row>
    <row r="115" spans="1:6" x14ac:dyDescent="0.2">
      <c r="A115">
        <v>87</v>
      </c>
      <c r="B115">
        <v>0.7840395839453026</v>
      </c>
      <c r="C115">
        <v>1.3713753535277431</v>
      </c>
      <c r="E115">
        <v>60.069444444444443</v>
      </c>
      <c r="F115">
        <v>0.94080499762717185</v>
      </c>
    </row>
    <row r="116" spans="1:6" x14ac:dyDescent="0.2">
      <c r="A116">
        <v>88</v>
      </c>
      <c r="B116">
        <v>0.82947016745274849</v>
      </c>
      <c r="C116">
        <v>1.4815014463278458</v>
      </c>
      <c r="E116">
        <v>60.763888888888886</v>
      </c>
      <c r="F116">
        <v>0.98384974618307341</v>
      </c>
    </row>
    <row r="117" spans="1:6" x14ac:dyDescent="0.2">
      <c r="A117">
        <v>89</v>
      </c>
      <c r="B117">
        <v>0.78167285571626532</v>
      </c>
      <c r="C117">
        <v>-0.52991065658092573</v>
      </c>
      <c r="E117">
        <v>61.458333333333329</v>
      </c>
      <c r="F117">
        <v>1.084910181769061</v>
      </c>
    </row>
    <row r="118" spans="1:6" x14ac:dyDescent="0.2">
      <c r="A118">
        <v>90</v>
      </c>
      <c r="B118">
        <v>1.0478283090032785</v>
      </c>
      <c r="C118">
        <v>0.14568368567445922</v>
      </c>
      <c r="E118">
        <v>62.152777777777771</v>
      </c>
      <c r="F118">
        <v>1.088562294937061</v>
      </c>
    </row>
    <row r="119" spans="1:6" x14ac:dyDescent="0.2">
      <c r="A119">
        <v>91</v>
      </c>
      <c r="B119">
        <v>1.209914166531187</v>
      </c>
      <c r="C119">
        <v>-0.12135187159412597</v>
      </c>
      <c r="E119">
        <v>62.847222222222221</v>
      </c>
      <c r="F119">
        <v>1.1252408849651883</v>
      </c>
    </row>
    <row r="120" spans="1:6" x14ac:dyDescent="0.2">
      <c r="A120">
        <v>92</v>
      </c>
      <c r="B120">
        <v>0.59113832425613766</v>
      </c>
      <c r="C120">
        <v>0.88877841109305589</v>
      </c>
      <c r="E120">
        <v>63.541666666666664</v>
      </c>
      <c r="F120">
        <v>1.1573512190828252</v>
      </c>
    </row>
    <row r="121" spans="1:6" x14ac:dyDescent="0.2">
      <c r="A121">
        <v>93</v>
      </c>
      <c r="B121">
        <v>-0.50681878066014874</v>
      </c>
      <c r="C121">
        <v>-0.82441313868462163</v>
      </c>
      <c r="E121">
        <v>64.236111111111114</v>
      </c>
      <c r="F121">
        <v>1.1607317321410837</v>
      </c>
    </row>
    <row r="122" spans="1:6" x14ac:dyDescent="0.2">
      <c r="A122">
        <v>94</v>
      </c>
      <c r="B122">
        <v>0.87962854675797963</v>
      </c>
      <c r="C122">
        <v>0.83338356201686548</v>
      </c>
      <c r="E122">
        <v>64.930555555555557</v>
      </c>
      <c r="F122">
        <v>1.1935119946777377</v>
      </c>
    </row>
    <row r="123" spans="1:6" x14ac:dyDescent="0.2">
      <c r="A123">
        <v>95</v>
      </c>
      <c r="B123">
        <v>0.64337593113236669</v>
      </c>
      <c r="C123">
        <v>-0.30168078720399338</v>
      </c>
      <c r="E123">
        <v>65.625</v>
      </c>
      <c r="F123">
        <v>1.2933080083597004</v>
      </c>
    </row>
    <row r="124" spans="1:6" x14ac:dyDescent="0.2">
      <c r="A124">
        <v>96</v>
      </c>
      <c r="B124">
        <v>1.1432817479211579</v>
      </c>
      <c r="C124">
        <v>0.2160113452119572</v>
      </c>
      <c r="E124">
        <v>66.319444444444443</v>
      </c>
      <c r="F124">
        <v>1.3006576888791135</v>
      </c>
    </row>
    <row r="125" spans="1:6" x14ac:dyDescent="0.2">
      <c r="A125">
        <v>97</v>
      </c>
      <c r="B125">
        <v>-1.7003299857297971</v>
      </c>
      <c r="C125">
        <v>-0.5564818750122662</v>
      </c>
      <c r="E125">
        <v>67.013888888888886</v>
      </c>
      <c r="F125">
        <v>1.3072997744824202</v>
      </c>
    </row>
    <row r="126" spans="1:6" x14ac:dyDescent="0.2">
      <c r="A126">
        <v>98</v>
      </c>
      <c r="B126">
        <v>-0.64667264378441325</v>
      </c>
      <c r="C126">
        <v>-0.4605483590563384</v>
      </c>
      <c r="E126">
        <v>67.708333333333343</v>
      </c>
      <c r="F126">
        <v>1.3201728926043841</v>
      </c>
    </row>
    <row r="127" spans="1:6" x14ac:dyDescent="0.2">
      <c r="A127">
        <v>99</v>
      </c>
      <c r="B127">
        <v>0.84819875712942738</v>
      </c>
      <c r="C127">
        <v>1.1483501761017547</v>
      </c>
      <c r="E127">
        <v>68.402777777777786</v>
      </c>
      <c r="F127">
        <v>1.3282751471537555</v>
      </c>
    </row>
    <row r="128" spans="1:6" x14ac:dyDescent="0.2">
      <c r="A128">
        <v>100</v>
      </c>
      <c r="B128">
        <v>-2.0396352061263308</v>
      </c>
      <c r="C128">
        <v>0.32325644025939626</v>
      </c>
      <c r="E128">
        <v>69.097222222222229</v>
      </c>
      <c r="F128">
        <v>1.3592930931331151</v>
      </c>
    </row>
    <row r="129" spans="1:6" x14ac:dyDescent="0.2">
      <c r="A129">
        <v>101</v>
      </c>
      <c r="B129">
        <v>0.69141853393414321</v>
      </c>
      <c r="C129">
        <v>-1.5118061897016672</v>
      </c>
      <c r="E129">
        <v>69.791666666666671</v>
      </c>
      <c r="F129">
        <v>1.3893836371301047</v>
      </c>
    </row>
    <row r="130" spans="1:6" x14ac:dyDescent="0.2">
      <c r="A130">
        <v>102</v>
      </c>
      <c r="B130">
        <v>-3.8270968238154159</v>
      </c>
      <c r="C130">
        <v>0.13957261250818842</v>
      </c>
      <c r="E130">
        <v>70.486111111111114</v>
      </c>
      <c r="F130">
        <v>1.4570599695124704</v>
      </c>
    </row>
    <row r="131" spans="1:6" x14ac:dyDescent="0.2">
      <c r="A131">
        <v>103</v>
      </c>
      <c r="B131">
        <v>4.9816720190735921</v>
      </c>
      <c r="C131">
        <v>-1.1601831329166474</v>
      </c>
      <c r="E131">
        <v>71.180555555555557</v>
      </c>
      <c r="F131">
        <v>1.4746501612318974</v>
      </c>
    </row>
    <row r="132" spans="1:6" x14ac:dyDescent="0.2">
      <c r="A132">
        <v>104</v>
      </c>
      <c r="B132">
        <v>-3.932788909999374</v>
      </c>
      <c r="C132">
        <v>2.1059939909267191</v>
      </c>
      <c r="E132">
        <v>71.875</v>
      </c>
      <c r="F132">
        <v>1.4799167353491935</v>
      </c>
    </row>
    <row r="133" spans="1:6" x14ac:dyDescent="0.2">
      <c r="A133">
        <v>105</v>
      </c>
      <c r="B133">
        <v>-3.8687378800747774</v>
      </c>
      <c r="C133">
        <v>-0.81812201951041308</v>
      </c>
      <c r="E133">
        <v>72.569444444444443</v>
      </c>
      <c r="F133">
        <v>1.5120608050198472</v>
      </c>
    </row>
    <row r="134" spans="1:6" x14ac:dyDescent="0.2">
      <c r="A134">
        <v>106</v>
      </c>
      <c r="B134">
        <v>3.0776864421141519</v>
      </c>
      <c r="C134">
        <v>-0.8335294981791006</v>
      </c>
      <c r="E134">
        <v>73.263888888888886</v>
      </c>
      <c r="F134">
        <v>1.5632378548125487</v>
      </c>
    </row>
    <row r="135" spans="1:6" x14ac:dyDescent="0.2">
      <c r="A135">
        <v>107</v>
      </c>
      <c r="B135">
        <v>2.5884960571702083</v>
      </c>
      <c r="C135">
        <v>-6.8627923428917992E-2</v>
      </c>
      <c r="E135">
        <v>73.958333333333343</v>
      </c>
      <c r="F135">
        <v>1.5752476292840976</v>
      </c>
    </row>
    <row r="136" spans="1:6" x14ac:dyDescent="0.2">
      <c r="A136">
        <v>108</v>
      </c>
      <c r="B136">
        <v>-0.70230152353434638</v>
      </c>
      <c r="C136">
        <v>-0.68273837782416669</v>
      </c>
      <c r="E136">
        <v>74.652777777777786</v>
      </c>
      <c r="F136">
        <v>1.7130121087748451</v>
      </c>
    </row>
    <row r="137" spans="1:6" x14ac:dyDescent="0.2">
      <c r="A137">
        <v>109</v>
      </c>
      <c r="B137">
        <v>2.3793469154731324</v>
      </c>
      <c r="C137">
        <v>0.69052446726470196</v>
      </c>
      <c r="E137">
        <v>75.347222222222229</v>
      </c>
      <c r="F137">
        <v>1.8101887790863302</v>
      </c>
    </row>
    <row r="138" spans="1:6" x14ac:dyDescent="0.2">
      <c r="A138">
        <v>110</v>
      </c>
      <c r="B138">
        <v>-1.4000436538644272</v>
      </c>
      <c r="C138">
        <v>1.2398098832951312</v>
      </c>
      <c r="E138">
        <v>76.041666666666671</v>
      </c>
      <c r="F138">
        <v>1.8519535193189707</v>
      </c>
    </row>
    <row r="139" spans="1:6" x14ac:dyDescent="0.2">
      <c r="A139">
        <v>111</v>
      </c>
      <c r="B139">
        <v>0.92995862527203665</v>
      </c>
      <c r="C139">
        <v>-1.1880492974149399</v>
      </c>
      <c r="E139">
        <v>76.736111111111114</v>
      </c>
      <c r="F139">
        <v>1.9551601207275044</v>
      </c>
    </row>
    <row r="140" spans="1:6" x14ac:dyDescent="0.2">
      <c r="A140">
        <v>112</v>
      </c>
      <c r="B140">
        <v>0.20433727399216162</v>
      </c>
      <c r="C140">
        <v>0.73646772363501023</v>
      </c>
      <c r="E140">
        <v>77.430555555555557</v>
      </c>
      <c r="F140">
        <v>1.9636320377819911</v>
      </c>
    </row>
    <row r="141" spans="1:6" x14ac:dyDescent="0.2">
      <c r="A141">
        <v>113</v>
      </c>
      <c r="B141">
        <v>-1.2311764011228881</v>
      </c>
      <c r="C141">
        <v>-0.25043586771739323</v>
      </c>
      <c r="E141">
        <v>78.125</v>
      </c>
      <c r="F141">
        <v>1.9965489332311821</v>
      </c>
    </row>
    <row r="142" spans="1:6" x14ac:dyDescent="0.2">
      <c r="A142">
        <v>114</v>
      </c>
      <c r="B142">
        <v>0.27899664897381204</v>
      </c>
      <c r="C142">
        <v>0.48815376557875512</v>
      </c>
      <c r="E142">
        <v>78.819444444444443</v>
      </c>
      <c r="F142">
        <v>2.1127325139720563</v>
      </c>
    </row>
    <row r="143" spans="1:6" x14ac:dyDescent="0.2">
      <c r="A143">
        <v>115</v>
      </c>
      <c r="B143">
        <v>1.4591276201850265</v>
      </c>
      <c r="C143">
        <v>0.50450441759696463</v>
      </c>
      <c r="E143">
        <v>79.513888888888886</v>
      </c>
      <c r="F143">
        <v>2.1320616401803507</v>
      </c>
    </row>
    <row r="144" spans="1:6" x14ac:dyDescent="0.2">
      <c r="A144">
        <v>116</v>
      </c>
      <c r="B144">
        <v>0.1183083163167884</v>
      </c>
      <c r="C144">
        <v>-0.74354578567530283</v>
      </c>
      <c r="E144">
        <v>80.208333333333343</v>
      </c>
      <c r="F144">
        <v>2.1528110708148573</v>
      </c>
    </row>
    <row r="145" spans="1:6" x14ac:dyDescent="0.2">
      <c r="A145">
        <v>117</v>
      </c>
      <c r="B145">
        <v>-3.8443122580281486E-2</v>
      </c>
      <c r="C145">
        <v>0.31781359077387183</v>
      </c>
      <c r="E145">
        <v>80.902777777777786</v>
      </c>
      <c r="F145">
        <v>2.1554149374730458</v>
      </c>
    </row>
    <row r="146" spans="1:6" x14ac:dyDescent="0.2">
      <c r="A146">
        <v>118</v>
      </c>
      <c r="B146">
        <v>-0.14132060800036417</v>
      </c>
      <c r="C146">
        <v>-1.5611463923012905</v>
      </c>
      <c r="E146">
        <v>81.597222222222229</v>
      </c>
      <c r="F146">
        <v>2.1937669383125291</v>
      </c>
    </row>
    <row r="147" spans="1:6" x14ac:dyDescent="0.2">
      <c r="A147">
        <v>119</v>
      </c>
      <c r="B147">
        <v>3.3269555621008684</v>
      </c>
      <c r="C147">
        <v>-0.1602682058023519</v>
      </c>
      <c r="E147">
        <v>82.291666666666671</v>
      </c>
      <c r="F147">
        <v>2.2441569439350513</v>
      </c>
    </row>
    <row r="148" spans="1:6" x14ac:dyDescent="0.2">
      <c r="A148">
        <v>120</v>
      </c>
      <c r="B148">
        <v>3.407480281485717</v>
      </c>
      <c r="C148">
        <v>0.17259109813163498</v>
      </c>
      <c r="E148">
        <v>82.986111111111114</v>
      </c>
      <c r="F148">
        <v>2.3109716137805942</v>
      </c>
    </row>
    <row r="149" spans="1:6" x14ac:dyDescent="0.2">
      <c r="A149">
        <v>121</v>
      </c>
      <c r="B149">
        <v>-0.22069537577936238</v>
      </c>
      <c r="C149">
        <v>0.27587823410287304</v>
      </c>
      <c r="E149">
        <v>83.680555555555557</v>
      </c>
      <c r="F149">
        <v>2.3644571963769208</v>
      </c>
    </row>
    <row r="150" spans="1:6" x14ac:dyDescent="0.2">
      <c r="A150">
        <v>122</v>
      </c>
      <c r="B150">
        <v>7.4662794909761354E-2</v>
      </c>
      <c r="C150">
        <v>0.74270867531606255</v>
      </c>
      <c r="E150">
        <v>84.375</v>
      </c>
      <c r="F150">
        <v>2.3878145236429944</v>
      </c>
    </row>
    <row r="151" spans="1:6" x14ac:dyDescent="0.2">
      <c r="A151">
        <v>123</v>
      </c>
      <c r="B151">
        <v>1.3404033806273168</v>
      </c>
      <c r="C151">
        <v>1.1939134145442269</v>
      </c>
      <c r="E151">
        <v>85.069444444444443</v>
      </c>
      <c r="F151">
        <v>2.4047017706743326</v>
      </c>
    </row>
    <row r="152" spans="1:6" x14ac:dyDescent="0.2">
      <c r="A152">
        <v>124</v>
      </c>
      <c r="B152">
        <v>-0.50325306623547927</v>
      </c>
      <c r="C152">
        <v>6.75709347708775E-3</v>
      </c>
      <c r="E152">
        <v>85.763888888888886</v>
      </c>
      <c r="F152">
        <v>2.4711222871909655</v>
      </c>
    </row>
    <row r="153" spans="1:6" x14ac:dyDescent="0.2">
      <c r="A153">
        <v>125</v>
      </c>
      <c r="B153">
        <v>1.2270085241019302</v>
      </c>
      <c r="C153">
        <v>-6.9657305019104943E-2</v>
      </c>
      <c r="E153">
        <v>86.458333333333343</v>
      </c>
      <c r="F153">
        <v>2.5118747000438195</v>
      </c>
    </row>
    <row r="154" spans="1:6" x14ac:dyDescent="0.2">
      <c r="A154">
        <v>126</v>
      </c>
      <c r="B154">
        <v>0.77172696952747211</v>
      </c>
      <c r="C154">
        <v>0.38900476261361161</v>
      </c>
      <c r="E154">
        <v>87.152777777777786</v>
      </c>
      <c r="F154">
        <v>2.5198681337412903</v>
      </c>
    </row>
    <row r="155" spans="1:6" x14ac:dyDescent="0.2">
      <c r="A155">
        <v>127</v>
      </c>
      <c r="B155">
        <v>1.5310429870533984</v>
      </c>
      <c r="C155">
        <v>-0.54719324087032495</v>
      </c>
      <c r="E155">
        <v>87.847222222222229</v>
      </c>
      <c r="F155">
        <v>2.5257042870557784</v>
      </c>
    </row>
    <row r="156" spans="1:6" x14ac:dyDescent="0.2">
      <c r="A156">
        <v>128</v>
      </c>
      <c r="B156">
        <v>0.96993527057618545</v>
      </c>
      <c r="C156">
        <v>-0.76865180178242198</v>
      </c>
      <c r="E156">
        <v>88.541666666666671</v>
      </c>
      <c r="F156">
        <v>2.5343167951715437</v>
      </c>
    </row>
    <row r="157" spans="1:6" x14ac:dyDescent="0.2">
      <c r="A157">
        <v>129</v>
      </c>
      <c r="B157">
        <v>1.016706135924035</v>
      </c>
      <c r="C157">
        <v>-0.95384356874060205</v>
      </c>
      <c r="E157">
        <v>89.236111111111114</v>
      </c>
      <c r="F157">
        <v>2.6303236664701828</v>
      </c>
    </row>
    <row r="158" spans="1:6" x14ac:dyDescent="0.2">
      <c r="A158">
        <v>130</v>
      </c>
      <c r="B158">
        <v>-0.32316567307356592</v>
      </c>
      <c r="C158">
        <v>0.33841030137367556</v>
      </c>
      <c r="E158">
        <v>89.930555555555557</v>
      </c>
      <c r="F158">
        <v>2.6535892327475388</v>
      </c>
    </row>
    <row r="159" spans="1:6" x14ac:dyDescent="0.2">
      <c r="A159">
        <v>131</v>
      </c>
      <c r="B159">
        <v>1.658565647801967</v>
      </c>
      <c r="C159">
        <v>0.85330905224185249</v>
      </c>
      <c r="E159">
        <v>90.625</v>
      </c>
      <c r="F159">
        <v>2.664630651168546</v>
      </c>
    </row>
    <row r="160" spans="1:6" x14ac:dyDescent="0.2">
      <c r="A160">
        <v>132</v>
      </c>
      <c r="B160">
        <v>0.29555703688329171</v>
      </c>
      <c r="C160">
        <v>-1.026029796344512</v>
      </c>
      <c r="E160">
        <v>91.319444444444443</v>
      </c>
      <c r="F160">
        <v>2.683391280512204</v>
      </c>
    </row>
    <row r="161" spans="1:6" x14ac:dyDescent="0.2">
      <c r="A161">
        <v>133</v>
      </c>
      <c r="B161">
        <v>1.3488649206499119</v>
      </c>
      <c r="C161">
        <v>1.3157657305186341</v>
      </c>
      <c r="E161">
        <v>92.013888888888886</v>
      </c>
      <c r="F161">
        <v>2.7070180675265525</v>
      </c>
    </row>
    <row r="162" spans="1:6" x14ac:dyDescent="0.2">
      <c r="A162">
        <v>134</v>
      </c>
      <c r="B162">
        <v>0.86916959891503398</v>
      </c>
      <c r="C162">
        <v>-1.5089751883581493</v>
      </c>
      <c r="E162">
        <v>92.708333333333343</v>
      </c>
      <c r="F162">
        <v>2.8438546235537174</v>
      </c>
    </row>
    <row r="163" spans="1:6" x14ac:dyDescent="0.2">
      <c r="A163">
        <v>135</v>
      </c>
      <c r="B163">
        <v>-0.56754428341232499</v>
      </c>
      <c r="C163">
        <v>-2.0005128164229311</v>
      </c>
      <c r="E163">
        <v>93.402777777777786</v>
      </c>
      <c r="F163">
        <v>2.8609360739223297</v>
      </c>
    </row>
    <row r="164" spans="1:6" x14ac:dyDescent="0.2">
      <c r="A164">
        <v>136</v>
      </c>
      <c r="B164">
        <v>1.2337625027873507</v>
      </c>
      <c r="C164">
        <v>-1.3595091463956352</v>
      </c>
      <c r="E164">
        <v>94.097222222222229</v>
      </c>
      <c r="F164">
        <v>3.0698713827378343</v>
      </c>
    </row>
    <row r="165" spans="1:6" x14ac:dyDescent="0.2">
      <c r="A165">
        <v>137</v>
      </c>
      <c r="B165">
        <v>0.81030518292814802</v>
      </c>
      <c r="C165">
        <v>1.5775093407148464</v>
      </c>
      <c r="E165">
        <v>94.791666666666671</v>
      </c>
      <c r="F165">
        <v>3.1095108983661892</v>
      </c>
    </row>
    <row r="166" spans="1:6" x14ac:dyDescent="0.2">
      <c r="A166">
        <v>138</v>
      </c>
      <c r="B166">
        <v>1.1654637456727559</v>
      </c>
      <c r="C166">
        <v>0.13519394320635758</v>
      </c>
      <c r="E166">
        <v>95.486111111111114</v>
      </c>
      <c r="F166">
        <v>3.1666873562985165</v>
      </c>
    </row>
    <row r="167" spans="1:6" x14ac:dyDescent="0.2">
      <c r="A167">
        <v>139</v>
      </c>
      <c r="B167">
        <v>0.76303201885918459</v>
      </c>
      <c r="C167">
        <v>1.6014251775177362</v>
      </c>
      <c r="E167">
        <v>96.180555555555557</v>
      </c>
      <c r="F167">
        <v>3.3950819422879635</v>
      </c>
    </row>
    <row r="168" spans="1:6" x14ac:dyDescent="0.2">
      <c r="A168">
        <v>140</v>
      </c>
      <c r="B168">
        <v>0.14449776299344042</v>
      </c>
      <c r="C168">
        <v>-0.18213345635866773</v>
      </c>
      <c r="E168">
        <v>96.875</v>
      </c>
      <c r="F168">
        <v>3.4388141552305238</v>
      </c>
    </row>
    <row r="169" spans="1:6" x14ac:dyDescent="0.2">
      <c r="A169">
        <v>141</v>
      </c>
      <c r="B169">
        <v>0.8280927641175333</v>
      </c>
      <c r="C169">
        <v>0.68396804090231389</v>
      </c>
      <c r="E169">
        <v>97.569444444444443</v>
      </c>
      <c r="F169">
        <v>3.580071379617352</v>
      </c>
    </row>
    <row r="170" spans="1:6" x14ac:dyDescent="0.2">
      <c r="A170">
        <v>142</v>
      </c>
      <c r="B170">
        <v>1.0376658385664737</v>
      </c>
      <c r="C170">
        <v>1.5926578279037091</v>
      </c>
      <c r="E170">
        <v>98.263888888888886</v>
      </c>
      <c r="F170">
        <v>3.8214888861569447</v>
      </c>
    </row>
    <row r="171" spans="1:6" x14ac:dyDescent="0.2">
      <c r="A171">
        <v>143</v>
      </c>
      <c r="B171">
        <v>0.20182182401890236</v>
      </c>
      <c r="C171">
        <v>-0.13737167914446996</v>
      </c>
      <c r="E171">
        <v>98.958333333333343</v>
      </c>
      <c r="F171">
        <v>4.5018822436456931</v>
      </c>
    </row>
    <row r="172" spans="1:6" ht="17" thickBot="1" x14ac:dyDescent="0.25">
      <c r="A172" s="2">
        <v>144</v>
      </c>
      <c r="B172" s="2">
        <v>0.61751303109966249</v>
      </c>
      <c r="C172" s="2">
        <v>3.2403291666778022E-2</v>
      </c>
      <c r="E172" s="2">
        <v>99.652777777777786</v>
      </c>
      <c r="F172" s="2">
        <v>5.5867022964527608</v>
      </c>
    </row>
  </sheetData>
  <sortState xmlns:xlrd2="http://schemas.microsoft.com/office/spreadsheetml/2017/richdata2" ref="F29:F172">
    <sortCondition ref="F29"/>
  </sortState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1CCBA-ADCF-3E42-B972-5E4D90B0508A}">
  <dimension ref="A1:I171"/>
  <sheetViews>
    <sheetView workbookViewId="0">
      <selection activeCell="I23" sqref="I23"/>
    </sheetView>
  </sheetViews>
  <sheetFormatPr baseColWidth="10" defaultRowHeight="16" x14ac:dyDescent="0.2"/>
  <cols>
    <col min="1" max="1" width="26" bestFit="1" customWidth="1"/>
    <col min="2" max="2" width="25" bestFit="1" customWidth="1"/>
    <col min="3" max="3" width="13.5" bestFit="1" customWidth="1"/>
    <col min="4" max="4" width="17.5" bestFit="1" customWidth="1"/>
    <col min="5" max="5" width="12.1640625" bestFit="1" customWidth="1"/>
    <col min="6" max="6" width="19.6640625" bestFit="1" customWidth="1"/>
    <col min="7" max="7" width="16.6640625" bestFit="1" customWidth="1"/>
    <col min="8" max="8" width="12.83203125" bestFit="1" customWidth="1"/>
    <col min="9" max="9" width="12.33203125" bestFit="1" customWidth="1"/>
  </cols>
  <sheetData>
    <row r="1" spans="1:9" x14ac:dyDescent="0.2">
      <c r="A1" t="s">
        <v>21</v>
      </c>
    </row>
    <row r="2" spans="1:9" ht="17" thickBot="1" x14ac:dyDescent="0.25"/>
    <row r="3" spans="1:9" x14ac:dyDescent="0.2">
      <c r="A3" s="4" t="s">
        <v>22</v>
      </c>
      <c r="B3" s="4"/>
    </row>
    <row r="4" spans="1:9" x14ac:dyDescent="0.2">
      <c r="A4" t="s">
        <v>23</v>
      </c>
      <c r="B4">
        <v>0.82505419728832718</v>
      </c>
    </row>
    <row r="5" spans="1:9" x14ac:dyDescent="0.2">
      <c r="A5" t="s">
        <v>24</v>
      </c>
      <c r="B5">
        <v>0.68071442846308583</v>
      </c>
    </row>
    <row r="6" spans="1:9" x14ac:dyDescent="0.2">
      <c r="A6" t="s">
        <v>25</v>
      </c>
      <c r="B6">
        <v>0.67152635446202358</v>
      </c>
    </row>
    <row r="7" spans="1:9" x14ac:dyDescent="0.2">
      <c r="A7" t="s">
        <v>26</v>
      </c>
      <c r="B7">
        <v>1.0709574405271021</v>
      </c>
    </row>
    <row r="8" spans="1:9" ht="17" thickBot="1" x14ac:dyDescent="0.25">
      <c r="A8" s="2" t="s">
        <v>27</v>
      </c>
      <c r="B8" s="2">
        <v>144</v>
      </c>
    </row>
    <row r="10" spans="1:9" ht="17" thickBot="1" x14ac:dyDescent="0.25">
      <c r="A10" t="s">
        <v>28</v>
      </c>
    </row>
    <row r="11" spans="1:9" x14ac:dyDescent="0.2">
      <c r="A11" s="3"/>
      <c r="B11" s="3" t="s">
        <v>33</v>
      </c>
      <c r="C11" s="3" t="s">
        <v>34</v>
      </c>
      <c r="D11" s="3" t="s">
        <v>35</v>
      </c>
      <c r="E11" s="3" t="s">
        <v>36</v>
      </c>
      <c r="F11" s="3" t="s">
        <v>37</v>
      </c>
    </row>
    <row r="12" spans="1:9" x14ac:dyDescent="0.2">
      <c r="A12" t="s">
        <v>29</v>
      </c>
      <c r="B12">
        <v>4</v>
      </c>
      <c r="C12">
        <v>339.8950876218862</v>
      </c>
      <c r="D12">
        <v>84.973771905471551</v>
      </c>
      <c r="E12">
        <v>74.086737697626845</v>
      </c>
      <c r="F12">
        <v>1.676852255636448E-33</v>
      </c>
    </row>
    <row r="13" spans="1:9" x14ac:dyDescent="0.2">
      <c r="A13" t="s">
        <v>30</v>
      </c>
      <c r="B13">
        <v>139</v>
      </c>
      <c r="C13">
        <v>159.42602767943023</v>
      </c>
      <c r="D13">
        <v>1.1469498394203614</v>
      </c>
    </row>
    <row r="14" spans="1:9" ht="17" thickBot="1" x14ac:dyDescent="0.25">
      <c r="A14" s="2" t="s">
        <v>31</v>
      </c>
      <c r="B14" s="2">
        <v>143</v>
      </c>
      <c r="C14" s="2">
        <v>499.32111530131647</v>
      </c>
      <c r="D14" s="2"/>
      <c r="E14" s="2"/>
      <c r="F14" s="2"/>
    </row>
    <row r="15" spans="1:9" ht="17" thickBot="1" x14ac:dyDescent="0.25"/>
    <row r="16" spans="1:9" x14ac:dyDescent="0.2">
      <c r="A16" s="3"/>
      <c r="B16" s="3" t="s">
        <v>38</v>
      </c>
      <c r="C16" s="3" t="s">
        <v>26</v>
      </c>
      <c r="D16" s="3" t="s">
        <v>39</v>
      </c>
      <c r="E16" s="3" t="s">
        <v>40</v>
      </c>
      <c r="F16" s="3" t="s">
        <v>41</v>
      </c>
      <c r="G16" s="3" t="s">
        <v>42</v>
      </c>
      <c r="H16" s="3" t="s">
        <v>43</v>
      </c>
      <c r="I16" s="3" t="s">
        <v>44</v>
      </c>
    </row>
    <row r="17" spans="1:9" x14ac:dyDescent="0.2">
      <c r="A17" t="s">
        <v>32</v>
      </c>
      <c r="B17">
        <v>-0.59942015406595828</v>
      </c>
      <c r="C17">
        <v>0.46237682155244525</v>
      </c>
      <c r="D17">
        <v>-1.2963888459057822</v>
      </c>
      <c r="E17">
        <v>0.19698972699125911</v>
      </c>
      <c r="F17">
        <v>-1.513621305960094</v>
      </c>
      <c r="G17">
        <v>0.31478099782817748</v>
      </c>
      <c r="H17">
        <v>-1.513621305960094</v>
      </c>
      <c r="I17">
        <v>0.31478099782817748</v>
      </c>
    </row>
    <row r="18" spans="1:9" x14ac:dyDescent="0.2">
      <c r="A18" t="s">
        <v>17</v>
      </c>
      <c r="B18">
        <v>0.81749188607310497</v>
      </c>
      <c r="C18">
        <v>4.8396083958114566E-2</v>
      </c>
      <c r="D18">
        <v>16.891694930949804</v>
      </c>
      <c r="E18">
        <v>1.6924135133099739E-35</v>
      </c>
      <c r="F18">
        <v>0.72180422691855695</v>
      </c>
      <c r="G18">
        <v>0.91317954522765299</v>
      </c>
      <c r="H18">
        <v>0.72180422691855695</v>
      </c>
      <c r="I18">
        <v>0.91317954522765299</v>
      </c>
    </row>
    <row r="19" spans="1:9" x14ac:dyDescent="0.2">
      <c r="A19" t="s">
        <v>18</v>
      </c>
      <c r="B19">
        <v>0.46829972705868173</v>
      </c>
      <c r="C19">
        <v>5.8713227188754706E-2</v>
      </c>
      <c r="D19">
        <v>7.9760515556939913</v>
      </c>
      <c r="E19">
        <v>5.0142596334801624E-13</v>
      </c>
      <c r="F19">
        <v>0.35221324212813582</v>
      </c>
      <c r="G19">
        <v>0.58438621198922758</v>
      </c>
      <c r="H19">
        <v>0.35221324212813582</v>
      </c>
      <c r="I19">
        <v>0.58438621198922758</v>
      </c>
    </row>
    <row r="20" spans="1:9" x14ac:dyDescent="0.2">
      <c r="A20" t="s">
        <v>20</v>
      </c>
      <c r="B20">
        <v>0.11972347411754491</v>
      </c>
      <c r="C20">
        <v>0.58974552078973308</v>
      </c>
      <c r="D20">
        <v>0.20300870442766947</v>
      </c>
      <c r="E20">
        <v>0.83942509730199211</v>
      </c>
      <c r="F20">
        <v>-1.046308232705865</v>
      </c>
      <c r="G20">
        <v>1.2857551809409546</v>
      </c>
      <c r="H20">
        <v>-1.046308232705865</v>
      </c>
      <c r="I20">
        <v>1.2857551809409546</v>
      </c>
    </row>
    <row r="21" spans="1:9" ht="17" thickBot="1" x14ac:dyDescent="0.25">
      <c r="A21" s="2" t="s">
        <v>51</v>
      </c>
      <c r="B21" s="2">
        <v>3.6052260484030896</v>
      </c>
      <c r="C21" s="2">
        <v>1.7712174496789195</v>
      </c>
      <c r="D21" s="2">
        <v>2.0354508414856873</v>
      </c>
      <c r="E21" s="2">
        <v>4.3705759513070562E-2</v>
      </c>
      <c r="F21" s="2">
        <v>0.10321436166935527</v>
      </c>
      <c r="G21" s="2">
        <v>7.1072377351368239</v>
      </c>
      <c r="H21" s="2">
        <v>0.10321436166935527</v>
      </c>
      <c r="I21" s="2">
        <v>7.1072377351368239</v>
      </c>
    </row>
    <row r="25" spans="1:9" x14ac:dyDescent="0.2">
      <c r="A25" t="s">
        <v>45</v>
      </c>
      <c r="F25" t="s">
        <v>48</v>
      </c>
    </row>
    <row r="26" spans="1:9" ht="17" thickBot="1" x14ac:dyDescent="0.25"/>
    <row r="27" spans="1:9" x14ac:dyDescent="0.2">
      <c r="A27" s="3" t="s">
        <v>46</v>
      </c>
      <c r="B27" s="3" t="s">
        <v>50</v>
      </c>
      <c r="C27" s="3" t="s">
        <v>47</v>
      </c>
      <c r="D27" s="3" t="s">
        <v>52</v>
      </c>
      <c r="F27" s="3" t="s">
        <v>49</v>
      </c>
      <c r="G27" s="3" t="s">
        <v>2</v>
      </c>
    </row>
    <row r="28" spans="1:9" x14ac:dyDescent="0.2">
      <c r="A28">
        <v>1</v>
      </c>
      <c r="B28">
        <v>-1.2997818465490814</v>
      </c>
      <c r="C28">
        <v>-1.8233693744648329</v>
      </c>
      <c r="D28">
        <v>-1.7268835885483387</v>
      </c>
      <c r="F28">
        <v>0.34722222222222221</v>
      </c>
      <c r="G28">
        <v>-7.0047284893671877</v>
      </c>
    </row>
    <row r="29" spans="1:9" x14ac:dyDescent="0.2">
      <c r="A29">
        <v>2</v>
      </c>
      <c r="B29">
        <v>2.0965265952065493</v>
      </c>
      <c r="C29">
        <v>1.3422875600239745</v>
      </c>
      <c r="D29">
        <v>1.2712587975754119</v>
      </c>
      <c r="F29">
        <v>1.0416666666666665</v>
      </c>
      <c r="G29">
        <v>-4.6868598995851904</v>
      </c>
    </row>
    <row r="30" spans="1:9" x14ac:dyDescent="0.2">
      <c r="A30">
        <v>3</v>
      </c>
      <c r="B30">
        <v>-0.5074823811379785</v>
      </c>
      <c r="C30">
        <v>-1.3348353114009159</v>
      </c>
      <c r="D30">
        <v>-1.264200893661281</v>
      </c>
      <c r="F30">
        <v>1.7361111111111112</v>
      </c>
      <c r="G30">
        <v>-4.1526948243374111</v>
      </c>
    </row>
    <row r="31" spans="1:9" x14ac:dyDescent="0.2">
      <c r="A31">
        <v>4</v>
      </c>
      <c r="B31">
        <v>1.0408831582253439</v>
      </c>
      <c r="C31">
        <v>-0.27611789649834595</v>
      </c>
      <c r="D31">
        <v>-0.26150678553950829</v>
      </c>
      <c r="F31">
        <v>2.4305555555555554</v>
      </c>
      <c r="G31">
        <v>-3.6875242113072275</v>
      </c>
    </row>
    <row r="32" spans="1:9" x14ac:dyDescent="0.2">
      <c r="A32">
        <v>5</v>
      </c>
      <c r="B32">
        <v>2.0733633655782189</v>
      </c>
      <c r="C32">
        <v>0.77049125797549856</v>
      </c>
      <c r="D32">
        <v>0.72971978533333359</v>
      </c>
      <c r="F32">
        <v>3.125</v>
      </c>
      <c r="G32">
        <v>-3.3442885744124804</v>
      </c>
    </row>
    <row r="33" spans="1:7" x14ac:dyDescent="0.2">
      <c r="A33">
        <v>6</v>
      </c>
      <c r="B33">
        <v>-0.30747920625336267</v>
      </c>
      <c r="C33">
        <v>-9.8394831741556998E-2</v>
      </c>
      <c r="D33">
        <v>-9.3188150745561998E-2</v>
      </c>
      <c r="F33">
        <v>3.8194444444444446</v>
      </c>
      <c r="G33">
        <v>-3.1231512210139143</v>
      </c>
    </row>
    <row r="34" spans="1:7" x14ac:dyDescent="0.2">
      <c r="A34">
        <v>7</v>
      </c>
      <c r="B34">
        <v>0.23159350822316593</v>
      </c>
      <c r="C34">
        <v>0.16304439522922459</v>
      </c>
      <c r="D34">
        <v>0.15441670473859731</v>
      </c>
      <c r="F34">
        <v>4.5138888888888884</v>
      </c>
      <c r="G34">
        <v>-2.9682787226250409</v>
      </c>
    </row>
    <row r="35" spans="1:7" x14ac:dyDescent="0.2">
      <c r="A35">
        <v>8</v>
      </c>
      <c r="B35">
        <v>1.1235541522266987</v>
      </c>
      <c r="C35">
        <v>-1.9684216341426264</v>
      </c>
      <c r="D35">
        <v>-1.8642602332520224</v>
      </c>
      <c r="F35">
        <v>5.208333333333333</v>
      </c>
      <c r="G35">
        <v>-2.5680570998352561</v>
      </c>
    </row>
    <row r="36" spans="1:7" x14ac:dyDescent="0.2">
      <c r="A36">
        <v>9</v>
      </c>
      <c r="B36">
        <v>1.146933364471012</v>
      </c>
      <c r="C36">
        <v>0.9851282757093387</v>
      </c>
      <c r="D36">
        <v>0.93299902683551994</v>
      </c>
      <c r="F36">
        <v>5.9027777777777777</v>
      </c>
      <c r="G36">
        <v>-2.5280472836281653</v>
      </c>
    </row>
    <row r="37" spans="1:7" x14ac:dyDescent="0.2">
      <c r="A37">
        <v>10</v>
      </c>
      <c r="B37">
        <v>9.4657117110362621E-2</v>
      </c>
      <c r="C37">
        <v>-0.51879721965685976</v>
      </c>
      <c r="D37">
        <v>-0.49134444010988726</v>
      </c>
      <c r="F37">
        <v>6.5972222222222223</v>
      </c>
      <c r="G37">
        <v>-2.5046976641667626</v>
      </c>
    </row>
    <row r="38" spans="1:7" x14ac:dyDescent="0.2">
      <c r="A38">
        <v>11</v>
      </c>
      <c r="B38">
        <v>0.95147371797114177</v>
      </c>
      <c r="C38">
        <v>-0.20627336403705909</v>
      </c>
      <c r="D38">
        <v>-0.19535816061120567</v>
      </c>
      <c r="F38">
        <v>7.291666666666667</v>
      </c>
      <c r="G38">
        <v>-2.2568118607420633</v>
      </c>
    </row>
    <row r="39" spans="1:7" x14ac:dyDescent="0.2">
      <c r="A39">
        <v>12</v>
      </c>
      <c r="B39">
        <v>0.81785778127664388</v>
      </c>
      <c r="C39">
        <v>0.57152585585346083</v>
      </c>
      <c r="D39">
        <v>0.54128287703310896</v>
      </c>
      <c r="F39">
        <v>7.9861111111111107</v>
      </c>
      <c r="G39">
        <v>-1.9001782009329338</v>
      </c>
    </row>
    <row r="40" spans="1:7" x14ac:dyDescent="0.2">
      <c r="A40">
        <v>13</v>
      </c>
      <c r="B40">
        <v>0.44636703258913557</v>
      </c>
      <c r="C40">
        <v>-0.60597124625905407</v>
      </c>
      <c r="D40">
        <v>-0.57390554813068506</v>
      </c>
      <c r="F40">
        <v>8.6805555555555536</v>
      </c>
      <c r="G40">
        <v>-1.8423176925388944</v>
      </c>
    </row>
    <row r="41" spans="1:7" x14ac:dyDescent="0.2">
      <c r="A41">
        <v>14</v>
      </c>
      <c r="B41">
        <v>-0.36508584578219416</v>
      </c>
      <c r="C41">
        <v>0.36726028562186686</v>
      </c>
      <c r="D41">
        <v>0.34782626540062539</v>
      </c>
      <c r="F41">
        <v>9.3749999999999982</v>
      </c>
      <c r="G41">
        <v>-1.8267949190726551</v>
      </c>
    </row>
    <row r="42" spans="1:7" x14ac:dyDescent="0.2">
      <c r="A42">
        <v>15</v>
      </c>
      <c r="B42">
        <v>1.8956342673251079</v>
      </c>
      <c r="C42">
        <v>0.25717680348974947</v>
      </c>
      <c r="D42">
        <v>0.24356798327388768</v>
      </c>
      <c r="F42">
        <v>10.069444444444443</v>
      </c>
      <c r="G42">
        <v>-1.7163787658669345</v>
      </c>
    </row>
    <row r="43" spans="1:7" x14ac:dyDescent="0.2">
      <c r="A43">
        <v>16</v>
      </c>
      <c r="B43">
        <v>-0.85699520095041692</v>
      </c>
      <c r="C43">
        <v>0.22377597916231684</v>
      </c>
      <c r="D43">
        <v>0.21193460378271428</v>
      </c>
      <c r="F43">
        <v>10.763888888888888</v>
      </c>
      <c r="G43">
        <v>-1.7024670003016547</v>
      </c>
    </row>
    <row r="44" spans="1:7" x14ac:dyDescent="0.2">
      <c r="A44">
        <v>17</v>
      </c>
      <c r="B44">
        <v>0.95868004420233832</v>
      </c>
      <c r="C44">
        <v>-0.41556724588944516</v>
      </c>
      <c r="D44">
        <v>-0.39357700470062151</v>
      </c>
      <c r="F44">
        <v>11.458333333333332</v>
      </c>
      <c r="G44">
        <v>-1.4912303020014905</v>
      </c>
    </row>
    <row r="45" spans="1:7" x14ac:dyDescent="0.2">
      <c r="A45">
        <v>18</v>
      </c>
      <c r="B45">
        <v>0.72173202880512599</v>
      </c>
      <c r="C45">
        <v>1.9318572039424127</v>
      </c>
      <c r="D45">
        <v>1.8296306539020331</v>
      </c>
      <c r="F45">
        <v>12.152777777777777</v>
      </c>
      <c r="G45">
        <v>-1.4816122688402813</v>
      </c>
    </row>
    <row r="46" spans="1:7" x14ac:dyDescent="0.2">
      <c r="A46">
        <v>19</v>
      </c>
      <c r="B46">
        <v>-3.4128016355769453E-2</v>
      </c>
      <c r="C46">
        <v>-0.15239138339739863</v>
      </c>
      <c r="D46">
        <v>-0.14432740985483797</v>
      </c>
      <c r="F46">
        <v>12.847222222222221</v>
      </c>
      <c r="G46">
        <v>-1.3850399013585131</v>
      </c>
    </row>
    <row r="47" spans="1:7" x14ac:dyDescent="0.2">
      <c r="A47">
        <v>20</v>
      </c>
      <c r="B47">
        <v>2.610078667470896</v>
      </c>
      <c r="C47">
        <v>-0.20537689679656346</v>
      </c>
      <c r="D47">
        <v>-0.19450913101415129</v>
      </c>
      <c r="F47">
        <v>13.541666666666666</v>
      </c>
      <c r="G47">
        <v>-1.3845334693391671</v>
      </c>
    </row>
    <row r="48" spans="1:7" x14ac:dyDescent="0.2">
      <c r="A48">
        <v>21</v>
      </c>
      <c r="B48">
        <v>-0.2918154766732981</v>
      </c>
      <c r="C48">
        <v>1.1138830023427444</v>
      </c>
      <c r="D48">
        <v>1.0549405420792513</v>
      </c>
      <c r="F48">
        <v>14.236111111111111</v>
      </c>
      <c r="G48">
        <v>-1.3312319193447704</v>
      </c>
    </row>
    <row r="49" spans="1:7" x14ac:dyDescent="0.2">
      <c r="A49">
        <v>22</v>
      </c>
      <c r="B49">
        <v>0.10655468573893878</v>
      </c>
      <c r="C49">
        <v>0.69135292107207458</v>
      </c>
      <c r="D49">
        <v>0.65476914881535253</v>
      </c>
      <c r="F49">
        <v>14.930555555555554</v>
      </c>
      <c r="G49">
        <v>-1.2793531068196276</v>
      </c>
    </row>
    <row r="50" spans="1:7" x14ac:dyDescent="0.2">
      <c r="A50">
        <v>23</v>
      </c>
      <c r="B50">
        <v>-0.36956494702040199</v>
      </c>
      <c r="C50">
        <v>0.13538988592939127</v>
      </c>
      <c r="D50">
        <v>0.12822556709636496</v>
      </c>
      <c r="F50">
        <v>15.624999999999998</v>
      </c>
      <c r="G50">
        <v>-1.1425691586862545</v>
      </c>
    </row>
    <row r="51" spans="1:7" x14ac:dyDescent="0.2">
      <c r="A51">
        <v>24</v>
      </c>
      <c r="B51">
        <v>0.14319430125059818</v>
      </c>
      <c r="C51">
        <v>0.30586899464914158</v>
      </c>
      <c r="D51">
        <v>0.28968356850921184</v>
      </c>
      <c r="F51">
        <v>16.319444444444443</v>
      </c>
      <c r="G51">
        <v>-1.1072210028407516</v>
      </c>
    </row>
    <row r="52" spans="1:7" x14ac:dyDescent="0.2">
      <c r="A52">
        <v>25</v>
      </c>
      <c r="B52">
        <v>-2.0511049461992883</v>
      </c>
      <c r="C52">
        <v>-1.2931836282131921</v>
      </c>
      <c r="D52">
        <v>-1.2247532594410309</v>
      </c>
      <c r="F52">
        <v>17.013888888888886</v>
      </c>
      <c r="G52">
        <v>-1.0801430002995103</v>
      </c>
    </row>
    <row r="53" spans="1:7" x14ac:dyDescent="0.2">
      <c r="A53">
        <v>26</v>
      </c>
      <c r="B53">
        <v>1.0042662290801281</v>
      </c>
      <c r="C53">
        <v>0.95089389164737637</v>
      </c>
      <c r="D53">
        <v>0.90057619642683484</v>
      </c>
      <c r="F53">
        <v>17.708333333333332</v>
      </c>
      <c r="G53">
        <v>-0.94912629185626851</v>
      </c>
    </row>
    <row r="54" spans="1:7" x14ac:dyDescent="0.2">
      <c r="A54">
        <v>27</v>
      </c>
      <c r="B54">
        <v>-1.492484858330978</v>
      </c>
      <c r="C54">
        <v>-1.4757938642940629</v>
      </c>
      <c r="D54">
        <v>-1.3977004550039427</v>
      </c>
      <c r="F54">
        <v>18.402777777777775</v>
      </c>
      <c r="G54">
        <v>-0.93339874585644023</v>
      </c>
    </row>
    <row r="55" spans="1:7" x14ac:dyDescent="0.2">
      <c r="A55">
        <v>28</v>
      </c>
      <c r="B55">
        <v>-1.1461706943039049</v>
      </c>
      <c r="C55">
        <v>0.19704440244763644</v>
      </c>
      <c r="D55">
        <v>0.18661756063661486</v>
      </c>
      <c r="F55">
        <v>19.097222222222221</v>
      </c>
      <c r="G55">
        <v>-0.8739297602339734</v>
      </c>
    </row>
    <row r="56" spans="1:7" x14ac:dyDescent="0.2">
      <c r="A56">
        <v>29</v>
      </c>
      <c r="B56">
        <v>1.6664104306083221</v>
      </c>
      <c r="C56">
        <v>1.0169808499038819</v>
      </c>
      <c r="D56">
        <v>0.96316608371378931</v>
      </c>
      <c r="F56">
        <v>19.791666666666664</v>
      </c>
      <c r="G56">
        <v>-0.85098504001589137</v>
      </c>
    </row>
    <row r="57" spans="1:7" x14ac:dyDescent="0.2">
      <c r="A57">
        <v>30</v>
      </c>
      <c r="B57">
        <v>-0.11070559854325923</v>
      </c>
      <c r="C57">
        <v>1.1956157803123202</v>
      </c>
      <c r="D57">
        <v>1.1323483316904766</v>
      </c>
      <c r="F57">
        <v>20.486111111111111</v>
      </c>
      <c r="G57">
        <v>-0.84486748191592764</v>
      </c>
    </row>
    <row r="58" spans="1:7" x14ac:dyDescent="0.2">
      <c r="A58">
        <v>31</v>
      </c>
      <c r="B58">
        <v>-1.5532950358546256</v>
      </c>
      <c r="C58">
        <v>0.95123567462756031</v>
      </c>
      <c r="D58">
        <v>0.90089989354909128</v>
      </c>
      <c r="F58">
        <v>21.180555555555554</v>
      </c>
      <c r="G58">
        <v>-0.83998798555617005</v>
      </c>
    </row>
    <row r="59" spans="1:7" x14ac:dyDescent="0.2">
      <c r="A59">
        <v>32</v>
      </c>
      <c r="B59">
        <v>-0.55726369228210315</v>
      </c>
      <c r="C59">
        <v>-0.82726977705706395</v>
      </c>
      <c r="D59">
        <v>-0.78349380071231411</v>
      </c>
      <c r="F59">
        <v>21.875</v>
      </c>
      <c r="G59">
        <v>-0.82038765576752415</v>
      </c>
    </row>
    <row r="60" spans="1:7" x14ac:dyDescent="0.2">
      <c r="A60">
        <v>33</v>
      </c>
      <c r="B60">
        <v>1.2736286225712989E-2</v>
      </c>
      <c r="C60">
        <v>0.49995586313816787</v>
      </c>
      <c r="D60">
        <v>0.47350009665771808</v>
      </c>
      <c r="F60">
        <v>22.569444444444443</v>
      </c>
      <c r="G60">
        <v>-0.73047275946122014</v>
      </c>
    </row>
    <row r="61" spans="1:7" x14ac:dyDescent="0.2">
      <c r="A61">
        <v>34</v>
      </c>
      <c r="B61">
        <v>3.0397674448803294</v>
      </c>
      <c r="C61">
        <v>-0.92703493090827305</v>
      </c>
      <c r="D61">
        <v>-0.87797976132313049</v>
      </c>
      <c r="F61">
        <v>23.263888888888886</v>
      </c>
      <c r="G61">
        <v>-0.72114034769675106</v>
      </c>
    </row>
    <row r="62" spans="1:7" x14ac:dyDescent="0.2">
      <c r="A62">
        <v>35</v>
      </c>
      <c r="B62">
        <v>1.4925474673782539</v>
      </c>
      <c r="C62">
        <v>-1.0459049711432613</v>
      </c>
      <c r="D62">
        <v>-0.99055965025108339</v>
      </c>
      <c r="F62">
        <v>23.958333333333332</v>
      </c>
      <c r="G62">
        <v>-0.70844610563042631</v>
      </c>
    </row>
    <row r="63" spans="1:7" x14ac:dyDescent="0.2">
      <c r="A63">
        <v>36</v>
      </c>
      <c r="B63">
        <v>0.49757337052364542</v>
      </c>
      <c r="C63">
        <v>0.31152233969793391</v>
      </c>
      <c r="D63">
        <v>0.29503775999771698</v>
      </c>
      <c r="F63">
        <v>24.652777777777775</v>
      </c>
      <c r="G63">
        <v>-0.63980558944311527</v>
      </c>
    </row>
    <row r="64" spans="1:7" x14ac:dyDescent="0.2">
      <c r="A64">
        <v>37</v>
      </c>
      <c r="B64">
        <v>1.731218919228362</v>
      </c>
      <c r="C64">
        <v>1.6638630230596014</v>
      </c>
      <c r="D64">
        <v>1.5758177077847308</v>
      </c>
      <c r="F64">
        <v>25.347222222222221</v>
      </c>
      <c r="G64">
        <v>-0.63321922178810008</v>
      </c>
    </row>
    <row r="65" spans="1:7" x14ac:dyDescent="0.2">
      <c r="A65">
        <v>38</v>
      </c>
      <c r="B65">
        <v>3.0571620891224951</v>
      </c>
      <c r="C65">
        <v>5.2348809243694117E-2</v>
      </c>
      <c r="D65">
        <v>4.9578708970866546E-2</v>
      </c>
      <c r="F65">
        <v>26.041666666666664</v>
      </c>
      <c r="G65">
        <v>-0.62523746935851443</v>
      </c>
    </row>
    <row r="66" spans="1:7" x14ac:dyDescent="0.2">
      <c r="A66">
        <v>39</v>
      </c>
      <c r="B66">
        <v>2.3851622856818162</v>
      </c>
      <c r="C66">
        <v>-0.80991465639771865</v>
      </c>
      <c r="D66">
        <v>-0.76705704715946033</v>
      </c>
      <c r="F66">
        <v>26.736111111111111</v>
      </c>
      <c r="G66">
        <v>-0.60205936122706527</v>
      </c>
    </row>
    <row r="67" spans="1:7" x14ac:dyDescent="0.2">
      <c r="A67">
        <v>40</v>
      </c>
      <c r="B67">
        <v>-0.46001432201262005</v>
      </c>
      <c r="C67">
        <v>0.85415837302083775</v>
      </c>
      <c r="D67">
        <v>0.80895955424487875</v>
      </c>
      <c r="F67">
        <v>27.430555555555554</v>
      </c>
      <c r="G67">
        <v>-0.49649597275839152</v>
      </c>
    </row>
    <row r="68" spans="1:7" x14ac:dyDescent="0.2">
      <c r="A68">
        <v>41</v>
      </c>
      <c r="B68">
        <v>-1.0835760066720277</v>
      </c>
      <c r="C68">
        <v>1.3760633999350986</v>
      </c>
      <c r="D68">
        <v>1.3032473482491203</v>
      </c>
      <c r="F68">
        <v>28.125</v>
      </c>
      <c r="G68">
        <v>-0.45287219230992509</v>
      </c>
    </row>
    <row r="69" spans="1:7" x14ac:dyDescent="0.2">
      <c r="A69">
        <v>42</v>
      </c>
      <c r="B69">
        <v>-0.62054435113073381</v>
      </c>
      <c r="C69">
        <v>-0.31285439472570642</v>
      </c>
      <c r="D69">
        <v>-0.29629932772980572</v>
      </c>
      <c r="F69">
        <v>28.819444444444443</v>
      </c>
      <c r="G69">
        <v>-0.44945692130845749</v>
      </c>
    </row>
    <row r="70" spans="1:7" x14ac:dyDescent="0.2">
      <c r="A70">
        <v>43</v>
      </c>
      <c r="B70">
        <v>2.3416733628617399</v>
      </c>
      <c r="C70">
        <v>0.51926271106058985</v>
      </c>
      <c r="D70">
        <v>0.49178529947550415</v>
      </c>
      <c r="F70">
        <v>29.513888888888886</v>
      </c>
      <c r="G70">
        <v>-0.42414010254649709</v>
      </c>
    </row>
    <row r="71" spans="1:7" x14ac:dyDescent="0.2">
      <c r="A71">
        <v>44</v>
      </c>
      <c r="B71">
        <v>0.16602425929008635</v>
      </c>
      <c r="C71">
        <v>-0.61548118059854384</v>
      </c>
      <c r="D71">
        <v>-0.58291225284396198</v>
      </c>
      <c r="F71">
        <v>30.208333333333332</v>
      </c>
      <c r="G71">
        <v>-0.40587403799491967</v>
      </c>
    </row>
    <row r="72" spans="1:7" x14ac:dyDescent="0.2">
      <c r="A72">
        <v>45</v>
      </c>
      <c r="B72">
        <v>1.789235365877242</v>
      </c>
      <c r="C72">
        <v>0.73646892117853646</v>
      </c>
      <c r="D72">
        <v>0.69749778145330121</v>
      </c>
      <c r="F72">
        <v>30.902777777777775</v>
      </c>
      <c r="G72">
        <v>-0.38364685529762182</v>
      </c>
    </row>
    <row r="73" spans="1:7" x14ac:dyDescent="0.2">
      <c r="A73">
        <v>46</v>
      </c>
      <c r="B73">
        <v>0.18842753607888407</v>
      </c>
      <c r="C73">
        <v>0.13352356225244139</v>
      </c>
      <c r="D73">
        <v>0.1264580021839676</v>
      </c>
      <c r="F73">
        <v>31.597222222222221</v>
      </c>
      <c r="G73">
        <v>-0.34952011853591453</v>
      </c>
    </row>
    <row r="74" spans="1:7" x14ac:dyDescent="0.2">
      <c r="A74">
        <v>47</v>
      </c>
      <c r="B74">
        <v>1.0758850612129391</v>
      </c>
      <c r="C74">
        <v>-1.4595319165105609</v>
      </c>
      <c r="D74">
        <v>-1.3822990277679488</v>
      </c>
      <c r="F74">
        <v>32.291666666666664</v>
      </c>
      <c r="G74">
        <v>-0.32059917407416511</v>
      </c>
    </row>
    <row r="75" spans="1:7" x14ac:dyDescent="0.2">
      <c r="A75">
        <v>48</v>
      </c>
      <c r="B75">
        <v>1.1917897228087584</v>
      </c>
      <c r="C75">
        <v>0.61839905627757186</v>
      </c>
      <c r="D75">
        <v>0.58567572561810399</v>
      </c>
      <c r="F75">
        <v>32.986111111111107</v>
      </c>
      <c r="G75">
        <v>-0.25809067214290327</v>
      </c>
    </row>
    <row r="76" spans="1:7" x14ac:dyDescent="0.2">
      <c r="A76">
        <v>49</v>
      </c>
      <c r="B76">
        <v>-0.11420483527783942</v>
      </c>
      <c r="C76">
        <v>-0.75972492495613397</v>
      </c>
      <c r="D76">
        <v>-0.71952316578912101</v>
      </c>
      <c r="F76">
        <v>33.68055555555555</v>
      </c>
      <c r="G76">
        <v>-0.23417506109101072</v>
      </c>
    </row>
    <row r="77" spans="1:7" x14ac:dyDescent="0.2">
      <c r="A77">
        <v>50</v>
      </c>
      <c r="B77">
        <v>0.99121498899728622</v>
      </c>
      <c r="C77">
        <v>-0.21207956013341156</v>
      </c>
      <c r="D77">
        <v>-0.2008571148500457</v>
      </c>
      <c r="F77">
        <v>34.375</v>
      </c>
      <c r="G77">
        <v>-0.18651939975316809</v>
      </c>
    </row>
    <row r="78" spans="1:7" x14ac:dyDescent="0.2">
      <c r="A78">
        <v>51</v>
      </c>
      <c r="B78">
        <v>0.56313360755873854</v>
      </c>
      <c r="C78">
        <v>0.56210727740644972</v>
      </c>
      <c r="D78">
        <v>0.53236269400526115</v>
      </c>
      <c r="F78">
        <v>35.069444444444443</v>
      </c>
      <c r="G78">
        <v>-0.16023377056929605</v>
      </c>
    </row>
    <row r="79" spans="1:7" x14ac:dyDescent="0.2">
      <c r="A79">
        <v>52</v>
      </c>
      <c r="B79">
        <v>-0.19474533120019455</v>
      </c>
      <c r="C79">
        <v>-0.88539766909931572</v>
      </c>
      <c r="D79">
        <v>-0.83854578535702506</v>
      </c>
      <c r="F79">
        <v>35.763888888888886</v>
      </c>
      <c r="G79">
        <v>-0.15960421366991845</v>
      </c>
    </row>
    <row r="80" spans="1:7" x14ac:dyDescent="0.2">
      <c r="A80">
        <v>53</v>
      </c>
      <c r="B80">
        <v>0.47109761576609377</v>
      </c>
      <c r="C80">
        <v>0.82221039259360662</v>
      </c>
      <c r="D80">
        <v>0.77870213966960011</v>
      </c>
      <c r="F80">
        <v>36.458333333333329</v>
      </c>
      <c r="G80">
        <v>-0.12574664360828455</v>
      </c>
    </row>
    <row r="81" spans="1:7" x14ac:dyDescent="0.2">
      <c r="A81">
        <v>54</v>
      </c>
      <c r="B81">
        <v>-1.7576468554700853E-2</v>
      </c>
      <c r="C81">
        <v>-0.33194364998121367</v>
      </c>
      <c r="D81">
        <v>-0.31437845205864384</v>
      </c>
      <c r="F81">
        <v>37.152777777777779</v>
      </c>
      <c r="G81">
        <v>-3.7635693365227305E-2</v>
      </c>
    </row>
    <row r="82" spans="1:7" x14ac:dyDescent="0.2">
      <c r="A82">
        <v>55</v>
      </c>
      <c r="B82">
        <v>0.80763365855744973</v>
      </c>
      <c r="C82">
        <v>1.3861332797550794</v>
      </c>
      <c r="D82">
        <v>1.3127843682535738</v>
      </c>
      <c r="F82">
        <v>37.847222222222221</v>
      </c>
      <c r="G82">
        <v>-2.8872892422191813E-2</v>
      </c>
    </row>
    <row r="83" spans="1:7" x14ac:dyDescent="0.2">
      <c r="A83">
        <v>56</v>
      </c>
      <c r="B83">
        <v>-5.3747407211260922E-3</v>
      </c>
      <c r="C83">
        <v>-0.70307136490930022</v>
      </c>
      <c r="D83">
        <v>-0.66586749708708981</v>
      </c>
      <c r="F83">
        <v>38.541666666666664</v>
      </c>
      <c r="G83">
        <v>-2.1093949631446327E-2</v>
      </c>
    </row>
    <row r="84" spans="1:7" x14ac:dyDescent="0.2">
      <c r="A84">
        <v>57</v>
      </c>
      <c r="B84">
        <v>-0.61127603614540782</v>
      </c>
      <c r="C84">
        <v>-0.53129312254084671</v>
      </c>
      <c r="D84">
        <v>-0.50317910724681025</v>
      </c>
      <c r="F84">
        <v>39.236111111111107</v>
      </c>
      <c r="G84">
        <v>2.1744398396726858E-3</v>
      </c>
    </row>
    <row r="85" spans="1:7" x14ac:dyDescent="0.2">
      <c r="A85">
        <v>58</v>
      </c>
      <c r="B85">
        <v>0.14141618915112764</v>
      </c>
      <c r="C85">
        <v>-1.6326464911526182</v>
      </c>
      <c r="D85">
        <v>-1.5462530362505351</v>
      </c>
      <c r="F85">
        <v>39.93055555555555</v>
      </c>
      <c r="G85">
        <v>1.3361896540353232E-2</v>
      </c>
    </row>
    <row r="86" spans="1:7" x14ac:dyDescent="0.2">
      <c r="A86">
        <v>59</v>
      </c>
      <c r="B86">
        <v>0.55924767864999092</v>
      </c>
      <c r="C86">
        <v>1.9118746085409746</v>
      </c>
      <c r="D86">
        <v>1.8107054615967313</v>
      </c>
      <c r="F86">
        <v>40.625</v>
      </c>
      <c r="G86">
        <v>1.5244628300109645E-2</v>
      </c>
    </row>
    <row r="87" spans="1:7" x14ac:dyDescent="0.2">
      <c r="A87">
        <v>60</v>
      </c>
      <c r="B87">
        <v>5.7556738437674948E-2</v>
      </c>
      <c r="C87">
        <v>1.5056811163748738</v>
      </c>
      <c r="D87">
        <v>1.4260061871545158</v>
      </c>
      <c r="F87">
        <v>41.319444444444443</v>
      </c>
      <c r="G87">
        <v>4.5162099813618559E-2</v>
      </c>
    </row>
    <row r="88" spans="1:7" x14ac:dyDescent="0.2">
      <c r="A88">
        <v>61</v>
      </c>
      <c r="B88">
        <v>-0.1047831373051743</v>
      </c>
      <c r="C88">
        <v>0.27528897919647199</v>
      </c>
      <c r="D88">
        <v>0.26072173139473848</v>
      </c>
      <c r="F88">
        <v>42.013888888888886</v>
      </c>
      <c r="G88">
        <v>5.5182858323510636E-2</v>
      </c>
    </row>
    <row r="89" spans="1:7" x14ac:dyDescent="0.2">
      <c r="A89">
        <v>62</v>
      </c>
      <c r="B89">
        <v>1.0549970406199769</v>
      </c>
      <c r="C89">
        <v>0.2732781065337786</v>
      </c>
      <c r="D89">
        <v>0.25881726648022552</v>
      </c>
      <c r="F89">
        <v>42.708333333333329</v>
      </c>
      <c r="G89">
        <v>6.2862567183433013E-2</v>
      </c>
    </row>
    <row r="90" spans="1:7" x14ac:dyDescent="0.2">
      <c r="A90">
        <v>63</v>
      </c>
      <c r="B90">
        <v>0.53663605068319764</v>
      </c>
      <c r="C90">
        <v>-0.52327415414284439</v>
      </c>
      <c r="D90">
        <v>-0.49558447221699781</v>
      </c>
      <c r="F90">
        <v>43.402777777777779</v>
      </c>
      <c r="G90">
        <v>6.4450144874432388E-2</v>
      </c>
    </row>
    <row r="91" spans="1:7" x14ac:dyDescent="0.2">
      <c r="A91">
        <v>64</v>
      </c>
      <c r="B91">
        <v>3.7309865128964836E-2</v>
      </c>
      <c r="C91">
        <v>7.8522346846537222E-3</v>
      </c>
      <c r="D91">
        <v>7.4367242316650418E-3</v>
      </c>
      <c r="F91">
        <v>44.097222222222221</v>
      </c>
      <c r="G91">
        <v>0.17050584189129772</v>
      </c>
    </row>
    <row r="92" spans="1:7" x14ac:dyDescent="0.2">
      <c r="A92">
        <v>65</v>
      </c>
      <c r="B92">
        <v>-0.47088860421806589</v>
      </c>
      <c r="C92">
        <v>-2.0571586794100996</v>
      </c>
      <c r="D92">
        <v>-1.9483016509234399</v>
      </c>
      <c r="F92">
        <v>44.791666666666664</v>
      </c>
      <c r="G92">
        <v>0.20128346879376346</v>
      </c>
    </row>
    <row r="93" spans="1:7" x14ac:dyDescent="0.2">
      <c r="A93">
        <v>66</v>
      </c>
      <c r="B93">
        <v>-0.9803663884464876</v>
      </c>
      <c r="C93">
        <v>0.12938134843059623</v>
      </c>
      <c r="D93">
        <v>0.12253497859402605</v>
      </c>
      <c r="F93">
        <v>45.486111111111107</v>
      </c>
      <c r="G93">
        <v>0.25176219913533959</v>
      </c>
    </row>
    <row r="94" spans="1:7" x14ac:dyDescent="0.2">
      <c r="A94">
        <v>67</v>
      </c>
      <c r="B94">
        <v>0.13927170460120974</v>
      </c>
      <c r="C94">
        <v>-2.6439693687679724</v>
      </c>
      <c r="D94">
        <v>-2.5040605460920462</v>
      </c>
      <c r="F94">
        <v>46.18055555555555</v>
      </c>
      <c r="G94">
        <v>0.27937046819359035</v>
      </c>
    </row>
    <row r="95" spans="1:7" x14ac:dyDescent="0.2">
      <c r="A95">
        <v>68</v>
      </c>
      <c r="B95">
        <v>1.0475980791113462</v>
      </c>
      <c r="C95">
        <v>-2.3269511859309739</v>
      </c>
      <c r="D95">
        <v>-2.2038177621123549</v>
      </c>
      <c r="F95">
        <v>46.875</v>
      </c>
      <c r="G95">
        <v>0.29248739326307094</v>
      </c>
    </row>
    <row r="96" spans="1:7" x14ac:dyDescent="0.2">
      <c r="A96">
        <v>69</v>
      </c>
      <c r="B96">
        <v>0.41044846206981689</v>
      </c>
      <c r="C96">
        <v>0.9097244305345672</v>
      </c>
      <c r="D96">
        <v>0.86158526691977555</v>
      </c>
      <c r="F96">
        <v>47.569444444444443</v>
      </c>
      <c r="G96">
        <v>0.32195109833132546</v>
      </c>
    </row>
    <row r="97" spans="1:7" x14ac:dyDescent="0.2">
      <c r="A97">
        <v>70</v>
      </c>
      <c r="B97">
        <v>0.24540946507927008</v>
      </c>
      <c r="C97">
        <v>-1.08539745063544</v>
      </c>
      <c r="D97">
        <v>-1.0279623376391733</v>
      </c>
      <c r="F97">
        <v>48.263888888888886</v>
      </c>
      <c r="G97">
        <v>0.3416951439283733</v>
      </c>
    </row>
    <row r="98" spans="1:7" x14ac:dyDescent="0.2">
      <c r="A98">
        <v>71</v>
      </c>
      <c r="B98">
        <v>0.50843511521338303</v>
      </c>
      <c r="C98">
        <v>0.79886465926903716</v>
      </c>
      <c r="D98">
        <v>0.75659177393382715</v>
      </c>
      <c r="F98">
        <v>48.958333333333329</v>
      </c>
      <c r="G98">
        <v>0.3941440510082177</v>
      </c>
    </row>
    <row r="99" spans="1:7" x14ac:dyDescent="0.2">
      <c r="A99">
        <v>72</v>
      </c>
      <c r="B99">
        <v>0.8625701060086981</v>
      </c>
      <c r="C99">
        <v>-6.3269673450349395E-2</v>
      </c>
      <c r="D99">
        <v>-5.9921682498527772E-2</v>
      </c>
      <c r="F99">
        <v>49.652777777777779</v>
      </c>
      <c r="G99">
        <v>0.39463790345239053</v>
      </c>
    </row>
    <row r="100" spans="1:7" x14ac:dyDescent="0.2">
      <c r="A100">
        <v>73</v>
      </c>
      <c r="B100">
        <v>1.1555380760756238</v>
      </c>
      <c r="C100">
        <v>-1.1766320257070702</v>
      </c>
      <c r="D100">
        <v>-1.1143691253179571</v>
      </c>
      <c r="F100">
        <v>50.347222222222221</v>
      </c>
      <c r="G100">
        <v>0.44664249623499269</v>
      </c>
    </row>
    <row r="101" spans="1:7" x14ac:dyDescent="0.2">
      <c r="A101">
        <v>74</v>
      </c>
      <c r="B101">
        <v>-0.98543975626747671</v>
      </c>
      <c r="C101">
        <v>-3.1672550680699345</v>
      </c>
      <c r="D101">
        <v>-2.9996559525421658</v>
      </c>
      <c r="F101">
        <v>51.041666666666664</v>
      </c>
      <c r="G101">
        <v>0.44906329589973976</v>
      </c>
    </row>
    <row r="102" spans="1:7" x14ac:dyDescent="0.2">
      <c r="A102">
        <v>75</v>
      </c>
      <c r="B102">
        <v>-7.9213772540778447</v>
      </c>
      <c r="C102">
        <v>0.91664876471065693</v>
      </c>
      <c r="D102">
        <v>0.86814319161554554</v>
      </c>
      <c r="F102">
        <v>51.736111111111107</v>
      </c>
      <c r="G102">
        <v>0.51269214936388086</v>
      </c>
    </row>
    <row r="103" spans="1:7" x14ac:dyDescent="0.2">
      <c r="A103">
        <v>76</v>
      </c>
      <c r="B103">
        <v>5.3031707061378555</v>
      </c>
      <c r="C103">
        <v>-0.80128846249216235</v>
      </c>
      <c r="D103">
        <v>-0.75888731869096882</v>
      </c>
      <c r="F103">
        <v>52.43055555555555</v>
      </c>
      <c r="G103">
        <v>0.54311279831289316</v>
      </c>
    </row>
    <row r="104" spans="1:7" x14ac:dyDescent="0.2">
      <c r="A104">
        <v>77</v>
      </c>
      <c r="B104">
        <v>2.1745999465428261</v>
      </c>
      <c r="C104">
        <v>0.53241812098372643</v>
      </c>
      <c r="D104">
        <v>0.50424457504250675</v>
      </c>
      <c r="F104">
        <v>53.125</v>
      </c>
      <c r="G104">
        <v>0.64991632276644051</v>
      </c>
    </row>
    <row r="105" spans="1:7" x14ac:dyDescent="0.2">
      <c r="A105">
        <v>78</v>
      </c>
      <c r="B105">
        <v>1.0422956107498642</v>
      </c>
      <c r="C105">
        <v>0.4147643587626062</v>
      </c>
      <c r="D105">
        <v>0.39281660331283258</v>
      </c>
      <c r="F105">
        <v>53.819444444444443</v>
      </c>
      <c r="G105">
        <v>0.74520035393408268</v>
      </c>
    </row>
    <row r="106" spans="1:7" x14ac:dyDescent="0.2">
      <c r="A106">
        <v>79</v>
      </c>
      <c r="B106">
        <v>2.3876877104536733</v>
      </c>
      <c r="C106">
        <v>-2.8405599027635984</v>
      </c>
      <c r="D106">
        <v>-2.6902482552722784</v>
      </c>
      <c r="F106">
        <v>54.513888888888886</v>
      </c>
      <c r="G106">
        <v>0.76476526172699799</v>
      </c>
    </row>
    <row r="107" spans="1:7" x14ac:dyDescent="0.2">
      <c r="A107">
        <v>80</v>
      </c>
      <c r="B107">
        <v>0.45137623668813703</v>
      </c>
      <c r="C107">
        <v>1.0232739245437603</v>
      </c>
      <c r="D107">
        <v>0.96912615273178815</v>
      </c>
      <c r="F107">
        <v>55.208333333333329</v>
      </c>
      <c r="G107">
        <v>0.76715041455256716</v>
      </c>
    </row>
    <row r="108" spans="1:7" x14ac:dyDescent="0.2">
      <c r="A108">
        <v>81</v>
      </c>
      <c r="B108">
        <v>-0.22366106246305217</v>
      </c>
      <c r="C108">
        <v>-9.6938111611112932E-2</v>
      </c>
      <c r="D108">
        <v>-9.1808514714815243E-2</v>
      </c>
      <c r="F108">
        <v>55.902777777777779</v>
      </c>
      <c r="G108">
        <v>0.77913542886387466</v>
      </c>
    </row>
    <row r="109" spans="1:7" x14ac:dyDescent="0.2">
      <c r="A109">
        <v>82</v>
      </c>
      <c r="B109">
        <v>0.43347386859428083</v>
      </c>
      <c r="C109">
        <v>-2.3336520695272145</v>
      </c>
      <c r="D109">
        <v>-2.2101640603847588</v>
      </c>
      <c r="F109">
        <v>56.597222222222221</v>
      </c>
      <c r="G109">
        <v>0.79790760681101336</v>
      </c>
    </row>
    <row r="110" spans="1:7" x14ac:dyDescent="0.2">
      <c r="A110">
        <v>83</v>
      </c>
      <c r="B110">
        <v>3.1232747119403257</v>
      </c>
      <c r="C110">
        <v>2.4634275845124352</v>
      </c>
      <c r="D110">
        <v>2.333072347735567</v>
      </c>
      <c r="F110">
        <v>57.291666666666664</v>
      </c>
      <c r="G110">
        <v>0.79930043255834871</v>
      </c>
    </row>
    <row r="111" spans="1:7" x14ac:dyDescent="0.2">
      <c r="A111">
        <v>84</v>
      </c>
      <c r="B111">
        <v>1.3975308543551597</v>
      </c>
      <c r="C111">
        <v>0.45442266496381101</v>
      </c>
      <c r="D111">
        <v>0.43037634248997331</v>
      </c>
      <c r="F111">
        <v>57.986111111111107</v>
      </c>
      <c r="G111">
        <v>0.80909571022157933</v>
      </c>
    </row>
    <row r="112" spans="1:7" x14ac:dyDescent="0.2">
      <c r="A112">
        <v>85</v>
      </c>
      <c r="B112">
        <v>-0.17403245931822164</v>
      </c>
      <c r="C112">
        <v>-0.54710788837852942</v>
      </c>
      <c r="D112">
        <v>-0.51815701570808681</v>
      </c>
      <c r="F112">
        <v>58.68055555555555</v>
      </c>
      <c r="G112">
        <v>0.8173714702258239</v>
      </c>
    </row>
    <row r="113" spans="1:7" x14ac:dyDescent="0.2">
      <c r="A113">
        <v>86</v>
      </c>
      <c r="B113">
        <v>-0.77468471140250195</v>
      </c>
      <c r="C113">
        <v>0.74581181898031013</v>
      </c>
      <c r="D113">
        <v>0.70634628856837922</v>
      </c>
      <c r="F113">
        <v>59.375</v>
      </c>
      <c r="G113">
        <v>0.8220675256694463</v>
      </c>
    </row>
    <row r="114" spans="1:7" x14ac:dyDescent="0.2">
      <c r="A114">
        <v>87</v>
      </c>
      <c r="B114">
        <v>0.79875154656996084</v>
      </c>
      <c r="C114">
        <v>1.356663390903085</v>
      </c>
      <c r="D114">
        <v>1.2848739140540293</v>
      </c>
      <c r="F114">
        <v>60.069444444444443</v>
      </c>
      <c r="G114">
        <v>0.94080499762717185</v>
      </c>
    </row>
    <row r="115" spans="1:7" x14ac:dyDescent="0.2">
      <c r="A115">
        <v>88</v>
      </c>
      <c r="B115">
        <v>0.84260777591024194</v>
      </c>
      <c r="C115">
        <v>1.4683638378703523</v>
      </c>
      <c r="D115">
        <v>1.3906635973747241</v>
      </c>
      <c r="F115">
        <v>60.763888888888886</v>
      </c>
      <c r="G115">
        <v>0.98384974618307341</v>
      </c>
    </row>
    <row r="116" spans="1:7" x14ac:dyDescent="0.2">
      <c r="A116">
        <v>89</v>
      </c>
      <c r="B116">
        <v>0.78391815443547808</v>
      </c>
      <c r="C116">
        <v>-0.53215595530013848</v>
      </c>
      <c r="D116">
        <v>-0.50399628217173198</v>
      </c>
      <c r="F116">
        <v>61.458333333333329</v>
      </c>
      <c r="G116">
        <v>1.084910181769061</v>
      </c>
    </row>
    <row r="117" spans="1:7" x14ac:dyDescent="0.2">
      <c r="A117">
        <v>90</v>
      </c>
      <c r="B117">
        <v>1.0513493798430791</v>
      </c>
      <c r="C117">
        <v>0.14216261483465864</v>
      </c>
      <c r="D117">
        <v>0.13463990889676178</v>
      </c>
      <c r="F117">
        <v>62.152777777777771</v>
      </c>
      <c r="G117">
        <v>1.088562294937061</v>
      </c>
    </row>
    <row r="118" spans="1:7" x14ac:dyDescent="0.2">
      <c r="A118">
        <v>91</v>
      </c>
      <c r="B118">
        <v>1.2178655916285586</v>
      </c>
      <c r="C118">
        <v>-0.12930329669149754</v>
      </c>
      <c r="D118">
        <v>-0.12246105705668163</v>
      </c>
      <c r="F118">
        <v>62.847222222222221</v>
      </c>
      <c r="G118">
        <v>1.1252408849651883</v>
      </c>
    </row>
    <row r="119" spans="1:7" x14ac:dyDescent="0.2">
      <c r="A119">
        <v>92</v>
      </c>
      <c r="B119">
        <v>0.59259095861008393</v>
      </c>
      <c r="C119">
        <v>0.88732577673910962</v>
      </c>
      <c r="D119">
        <v>0.84037186485948023</v>
      </c>
      <c r="F119">
        <v>63.541666666666664</v>
      </c>
      <c r="G119">
        <v>1.1573512190828252</v>
      </c>
    </row>
    <row r="120" spans="1:7" x14ac:dyDescent="0.2">
      <c r="A120">
        <v>93</v>
      </c>
      <c r="B120">
        <v>-0.5175097498731589</v>
      </c>
      <c r="C120">
        <v>-0.81372216947161147</v>
      </c>
      <c r="D120">
        <v>-0.77066308109453097</v>
      </c>
      <c r="F120">
        <v>64.236111111111114</v>
      </c>
      <c r="G120">
        <v>1.1607317321410837</v>
      </c>
    </row>
    <row r="121" spans="1:7" x14ac:dyDescent="0.2">
      <c r="A121">
        <v>94</v>
      </c>
      <c r="B121">
        <v>0.86814407013074013</v>
      </c>
      <c r="C121">
        <v>0.84486803864410498</v>
      </c>
      <c r="D121">
        <v>0.80016082909791564</v>
      </c>
      <c r="F121">
        <v>64.930555555555557</v>
      </c>
      <c r="G121">
        <v>1.1935119946777377</v>
      </c>
    </row>
    <row r="122" spans="1:7" x14ac:dyDescent="0.2">
      <c r="A122">
        <v>95</v>
      </c>
      <c r="B122">
        <v>0.63160990083713475</v>
      </c>
      <c r="C122">
        <v>-0.28991475690876145</v>
      </c>
      <c r="D122">
        <v>-0.2745735684689033</v>
      </c>
      <c r="F122">
        <v>65.625</v>
      </c>
      <c r="G122">
        <v>1.2933080083597004</v>
      </c>
    </row>
    <row r="123" spans="1:7" x14ac:dyDescent="0.2">
      <c r="A123">
        <v>96</v>
      </c>
      <c r="B123">
        <v>1.1111669578128722</v>
      </c>
      <c r="C123">
        <v>0.24812613532024286</v>
      </c>
      <c r="D123">
        <v>0.23499624210822007</v>
      </c>
      <c r="F123">
        <v>66.319444444444443</v>
      </c>
      <c r="G123">
        <v>1.3006576888791135</v>
      </c>
    </row>
    <row r="124" spans="1:7" x14ac:dyDescent="0.2">
      <c r="A124">
        <v>97</v>
      </c>
      <c r="B124">
        <v>-1.7718878197852961</v>
      </c>
      <c r="C124">
        <v>-0.48492404095676722</v>
      </c>
      <c r="D124">
        <v>-0.45926370144643158</v>
      </c>
      <c r="F124">
        <v>67.013888888888886</v>
      </c>
      <c r="G124">
        <v>1.3072997744824202</v>
      </c>
    </row>
    <row r="125" spans="1:7" x14ac:dyDescent="0.2">
      <c r="A125">
        <v>98</v>
      </c>
      <c r="B125">
        <v>-0.78475620738579233</v>
      </c>
      <c r="C125">
        <v>-0.32246479545495932</v>
      </c>
      <c r="D125">
        <v>-0.30540118253286269</v>
      </c>
      <c r="F125">
        <v>67.708333333333343</v>
      </c>
      <c r="G125">
        <v>1.3201728926043841</v>
      </c>
    </row>
    <row r="126" spans="1:7" x14ac:dyDescent="0.2">
      <c r="A126">
        <v>99</v>
      </c>
      <c r="B126">
        <v>0.70381514991642014</v>
      </c>
      <c r="C126">
        <v>1.2927337833147621</v>
      </c>
      <c r="D126">
        <v>1.2243272186270466</v>
      </c>
      <c r="F126">
        <v>68.402777777777786</v>
      </c>
      <c r="G126">
        <v>1.3282751471537555</v>
      </c>
    </row>
    <row r="127" spans="1:7" x14ac:dyDescent="0.2">
      <c r="A127">
        <v>100</v>
      </c>
      <c r="B127">
        <v>-2.1967430034524549</v>
      </c>
      <c r="C127">
        <v>0.48036423758552038</v>
      </c>
      <c r="D127">
        <v>0.45494518556090252</v>
      </c>
      <c r="F127">
        <v>69.097222222222229</v>
      </c>
      <c r="G127">
        <v>1.3592930931331151</v>
      </c>
    </row>
    <row r="128" spans="1:7" x14ac:dyDescent="0.2">
      <c r="A128">
        <v>101</v>
      </c>
      <c r="B128">
        <v>0.5872750932781674</v>
      </c>
      <c r="C128">
        <v>-1.4076627490456914</v>
      </c>
      <c r="D128">
        <v>-1.3331745797536576</v>
      </c>
      <c r="F128">
        <v>69.791666666666671</v>
      </c>
      <c r="G128">
        <v>1.3893836371301047</v>
      </c>
    </row>
    <row r="129" spans="1:7" x14ac:dyDescent="0.2">
      <c r="A129">
        <v>102</v>
      </c>
      <c r="B129">
        <v>-3.8806422004577583</v>
      </c>
      <c r="C129">
        <v>0.1931179891505308</v>
      </c>
      <c r="D129">
        <v>0.18289891822680704</v>
      </c>
      <c r="F129">
        <v>70.486111111111114</v>
      </c>
      <c r="G129">
        <v>1.4570599695124704</v>
      </c>
    </row>
    <row r="130" spans="1:7" x14ac:dyDescent="0.2">
      <c r="A130">
        <v>103</v>
      </c>
      <c r="B130">
        <v>5.0584918554271994</v>
      </c>
      <c r="C130">
        <v>-1.2370029692702547</v>
      </c>
      <c r="D130">
        <v>-1.1715454677115766</v>
      </c>
      <c r="F130">
        <v>71.180555555555557</v>
      </c>
      <c r="G130">
        <v>1.4746501612318974</v>
      </c>
    </row>
    <row r="131" spans="1:7" x14ac:dyDescent="0.2">
      <c r="A131">
        <v>104</v>
      </c>
      <c r="B131">
        <v>-3.8352777350749516</v>
      </c>
      <c r="C131">
        <v>2.0084828160022967</v>
      </c>
      <c r="D131">
        <v>1.90220152943707</v>
      </c>
      <c r="F131">
        <v>71.875</v>
      </c>
      <c r="G131">
        <v>1.4799167353491935</v>
      </c>
    </row>
    <row r="132" spans="1:7" x14ac:dyDescent="0.2">
      <c r="A132">
        <v>105</v>
      </c>
      <c r="B132">
        <v>-3.7862252851791838</v>
      </c>
      <c r="C132">
        <v>-0.90063461440600667</v>
      </c>
      <c r="D132">
        <v>-0.85297644935644423</v>
      </c>
      <c r="F132">
        <v>72.569444444444443</v>
      </c>
      <c r="G132">
        <v>1.5120608050198472</v>
      </c>
    </row>
    <row r="133" spans="1:7" x14ac:dyDescent="0.2">
      <c r="A133">
        <v>106</v>
      </c>
      <c r="B133">
        <v>3.2288882005098563</v>
      </c>
      <c r="C133">
        <v>-0.98473125657480498</v>
      </c>
      <c r="D133">
        <v>-0.93262301644652945</v>
      </c>
      <c r="F133">
        <v>73.263888888888886</v>
      </c>
      <c r="G133">
        <v>1.5632378548125487</v>
      </c>
    </row>
    <row r="134" spans="1:7" x14ac:dyDescent="0.2">
      <c r="A134">
        <v>107</v>
      </c>
      <c r="B134">
        <v>2.7402886601761427</v>
      </c>
      <c r="C134">
        <v>-0.22042052643485244</v>
      </c>
      <c r="D134">
        <v>-0.20875670887652789</v>
      </c>
      <c r="F134">
        <v>73.958333333333343</v>
      </c>
      <c r="G134">
        <v>1.5752476292840976</v>
      </c>
    </row>
    <row r="135" spans="1:7" x14ac:dyDescent="0.2">
      <c r="A135">
        <v>108</v>
      </c>
      <c r="B135">
        <v>-0.56508723176469178</v>
      </c>
      <c r="C135">
        <v>-0.81995266959382129</v>
      </c>
      <c r="D135">
        <v>-0.7765638868008079</v>
      </c>
      <c r="F135">
        <v>74.652777777777786</v>
      </c>
      <c r="G135">
        <v>1.7130121087748451</v>
      </c>
    </row>
    <row r="136" spans="1:7" x14ac:dyDescent="0.2">
      <c r="A136">
        <v>109</v>
      </c>
      <c r="B136">
        <v>2.5197855829875819</v>
      </c>
      <c r="C136">
        <v>0.5500857997502524</v>
      </c>
      <c r="D136">
        <v>0.52097734731395751</v>
      </c>
      <c r="F136">
        <v>75.347222222222229</v>
      </c>
      <c r="G136">
        <v>1.8101887790863302</v>
      </c>
    </row>
    <row r="137" spans="1:7" x14ac:dyDescent="0.2">
      <c r="A137">
        <v>110</v>
      </c>
      <c r="B137">
        <v>-1.3463126511790171</v>
      </c>
      <c r="C137">
        <v>1.1860788806097211</v>
      </c>
      <c r="D137">
        <v>1.1233160885187476</v>
      </c>
      <c r="F137">
        <v>76.041666666666671</v>
      </c>
      <c r="G137">
        <v>1.8519535193189707</v>
      </c>
    </row>
    <row r="138" spans="1:7" x14ac:dyDescent="0.2">
      <c r="A138">
        <v>111</v>
      </c>
      <c r="B138">
        <v>0.97911060012324624</v>
      </c>
      <c r="C138">
        <v>-1.2372012722661494</v>
      </c>
      <c r="D138">
        <v>-1.1717332772656728</v>
      </c>
      <c r="F138">
        <v>76.736111111111114</v>
      </c>
      <c r="G138">
        <v>1.9551601207275044</v>
      </c>
    </row>
    <row r="139" spans="1:7" x14ac:dyDescent="0.2">
      <c r="A139">
        <v>112</v>
      </c>
      <c r="B139">
        <v>0.2522607466414819</v>
      </c>
      <c r="C139">
        <v>0.68854425098568994</v>
      </c>
      <c r="D139">
        <v>0.65210910288842794</v>
      </c>
      <c r="F139">
        <v>77.430555555555557</v>
      </c>
      <c r="G139">
        <v>1.9636320377819911</v>
      </c>
    </row>
    <row r="140" spans="1:7" x14ac:dyDescent="0.2">
      <c r="A140">
        <v>113</v>
      </c>
      <c r="B140">
        <v>-1.1793605841721591</v>
      </c>
      <c r="C140">
        <v>-0.30225168466812224</v>
      </c>
      <c r="D140">
        <v>-0.28625767284133719</v>
      </c>
      <c r="F140">
        <v>78.125</v>
      </c>
      <c r="G140">
        <v>1.9965489332311821</v>
      </c>
    </row>
    <row r="141" spans="1:7" x14ac:dyDescent="0.2">
      <c r="A141">
        <v>114</v>
      </c>
      <c r="B141">
        <v>0.27822346787710606</v>
      </c>
      <c r="C141">
        <v>0.4889269466754611</v>
      </c>
      <c r="D141">
        <v>0.46305478858923699</v>
      </c>
      <c r="F141">
        <v>78.819444444444443</v>
      </c>
      <c r="G141">
        <v>2.1127325139720563</v>
      </c>
    </row>
    <row r="142" spans="1:7" x14ac:dyDescent="0.2">
      <c r="A142">
        <v>115</v>
      </c>
      <c r="B142">
        <v>1.3773970317590614</v>
      </c>
      <c r="C142">
        <v>0.58623500602292977</v>
      </c>
      <c r="D142">
        <v>0.55521367481049522</v>
      </c>
      <c r="F142">
        <v>79.513888888888886</v>
      </c>
      <c r="G142">
        <v>2.1320616401803507</v>
      </c>
    </row>
    <row r="143" spans="1:7" x14ac:dyDescent="0.2">
      <c r="A143">
        <v>116</v>
      </c>
      <c r="B143">
        <v>1.7891775020191014E-2</v>
      </c>
      <c r="C143">
        <v>-0.64312924437870544</v>
      </c>
      <c r="D143">
        <v>-0.60909728603895696</v>
      </c>
      <c r="F143">
        <v>80.208333333333343</v>
      </c>
      <c r="G143">
        <v>2.1528110708148573</v>
      </c>
    </row>
    <row r="144" spans="1:7" x14ac:dyDescent="0.2">
      <c r="A144">
        <v>117</v>
      </c>
      <c r="B144">
        <v>-0.15000546537551185</v>
      </c>
      <c r="C144">
        <v>0.4293759335691022</v>
      </c>
      <c r="D144">
        <v>0.40665498904506531</v>
      </c>
      <c r="F144">
        <v>80.902777777777786</v>
      </c>
      <c r="G144">
        <v>2.1554149374730458</v>
      </c>
    </row>
    <row r="145" spans="1:7" x14ac:dyDescent="0.2">
      <c r="A145">
        <v>118</v>
      </c>
      <c r="B145">
        <v>-0.26002890759939778</v>
      </c>
      <c r="C145">
        <v>-1.4424380927022569</v>
      </c>
      <c r="D145">
        <v>-1.3661097442286434</v>
      </c>
      <c r="F145">
        <v>81.597222222222229</v>
      </c>
      <c r="G145">
        <v>2.1937669383125291</v>
      </c>
    </row>
    <row r="146" spans="1:7" x14ac:dyDescent="0.2">
      <c r="A146">
        <v>119</v>
      </c>
      <c r="B146">
        <v>3.2265030748419425</v>
      </c>
      <c r="C146">
        <v>-5.9815718543426044E-2</v>
      </c>
      <c r="D146">
        <v>-5.6650497774312157E-2</v>
      </c>
      <c r="F146">
        <v>82.291666666666671</v>
      </c>
      <c r="G146">
        <v>2.2441569439350513</v>
      </c>
    </row>
    <row r="147" spans="1:7" x14ac:dyDescent="0.2">
      <c r="A147">
        <v>120</v>
      </c>
      <c r="B147">
        <v>3.3119558529910309</v>
      </c>
      <c r="C147">
        <v>0.2681155266263211</v>
      </c>
      <c r="D147">
        <v>0.25392787070468531</v>
      </c>
      <c r="F147">
        <v>82.986111111111114</v>
      </c>
      <c r="G147">
        <v>2.3109716137805942</v>
      </c>
    </row>
    <row r="148" spans="1:7" x14ac:dyDescent="0.2">
      <c r="A148">
        <v>121</v>
      </c>
      <c r="B148">
        <v>-0.32705592265729377</v>
      </c>
      <c r="C148">
        <v>0.38223878098080444</v>
      </c>
      <c r="D148">
        <v>0.36201215564246875</v>
      </c>
      <c r="F148">
        <v>83.680555555555557</v>
      </c>
      <c r="G148">
        <v>2.3644571963769208</v>
      </c>
    </row>
    <row r="149" spans="1:7" x14ac:dyDescent="0.2">
      <c r="A149">
        <v>122</v>
      </c>
      <c r="B149">
        <v>-2.5602232678404446E-2</v>
      </c>
      <c r="C149">
        <v>0.84297370290422835</v>
      </c>
      <c r="D149">
        <v>0.7983667344146298</v>
      </c>
      <c r="F149">
        <v>84.375</v>
      </c>
      <c r="G149">
        <v>2.3878145236429944</v>
      </c>
    </row>
    <row r="150" spans="1:7" x14ac:dyDescent="0.2">
      <c r="A150">
        <v>123</v>
      </c>
      <c r="B150">
        <v>1.2479265780494904</v>
      </c>
      <c r="C150">
        <v>1.2863902171220534</v>
      </c>
      <c r="D150">
        <v>1.218319329877531</v>
      </c>
      <c r="F150">
        <v>85.069444444444443</v>
      </c>
      <c r="G150">
        <v>2.4047017706743326</v>
      </c>
    </row>
    <row r="151" spans="1:7" x14ac:dyDescent="0.2">
      <c r="A151">
        <v>124</v>
      </c>
      <c r="B151">
        <v>-0.60826715108719331</v>
      </c>
      <c r="C151">
        <v>0.11177117832880179</v>
      </c>
      <c r="D151">
        <v>0.10585667184706804</v>
      </c>
      <c r="F151">
        <v>85.763888888888886</v>
      </c>
      <c r="G151">
        <v>2.4711222871909655</v>
      </c>
    </row>
    <row r="152" spans="1:7" x14ac:dyDescent="0.2">
      <c r="A152">
        <v>125</v>
      </c>
      <c r="B152">
        <v>1.1298496372975668</v>
      </c>
      <c r="C152">
        <v>2.7501581785258411E-2</v>
      </c>
      <c r="D152">
        <v>2.6046302471226815E-2</v>
      </c>
      <c r="F152">
        <v>86.458333333333343</v>
      </c>
      <c r="G152">
        <v>2.5118747000438195</v>
      </c>
    </row>
    <row r="153" spans="1:7" x14ac:dyDescent="0.2">
      <c r="A153">
        <v>126</v>
      </c>
      <c r="B153">
        <v>0.67622586772203652</v>
      </c>
      <c r="C153">
        <v>0.48450586441904719</v>
      </c>
      <c r="D153">
        <v>0.45886765322371936</v>
      </c>
      <c r="F153">
        <v>87.152777777777786</v>
      </c>
      <c r="G153">
        <v>2.5198681337412903</v>
      </c>
    </row>
    <row r="154" spans="1:7" x14ac:dyDescent="0.2">
      <c r="A154">
        <v>127</v>
      </c>
      <c r="B154">
        <v>1.440757068887494</v>
      </c>
      <c r="C154">
        <v>-0.45690732270442058</v>
      </c>
      <c r="D154">
        <v>-0.43272952157453354</v>
      </c>
      <c r="F154">
        <v>87.847222222222229</v>
      </c>
      <c r="G154">
        <v>2.5257042870557784</v>
      </c>
    </row>
    <row r="155" spans="1:7" x14ac:dyDescent="0.2">
      <c r="A155">
        <v>128</v>
      </c>
      <c r="B155">
        <v>0.94921592306632763</v>
      </c>
      <c r="C155">
        <v>-0.74793245427256416</v>
      </c>
      <c r="D155">
        <v>-0.7083547078907475</v>
      </c>
      <c r="F155">
        <v>88.541666666666671</v>
      </c>
      <c r="G155">
        <v>2.5343167951715437</v>
      </c>
    </row>
    <row r="156" spans="1:7" x14ac:dyDescent="0.2">
      <c r="A156">
        <v>129</v>
      </c>
      <c r="B156">
        <v>0.9449528580672466</v>
      </c>
      <c r="C156">
        <v>-0.88209029088381363</v>
      </c>
      <c r="D156">
        <v>-0.83541342104211536</v>
      </c>
      <c r="F156">
        <v>89.236111111111114</v>
      </c>
      <c r="G156">
        <v>2.6303236664701828</v>
      </c>
    </row>
    <row r="157" spans="1:7" x14ac:dyDescent="0.2">
      <c r="A157">
        <v>130</v>
      </c>
      <c r="B157">
        <v>-0.47982224856460465</v>
      </c>
      <c r="C157">
        <v>0.49506687686471429</v>
      </c>
      <c r="D157">
        <v>0.46886981697961227</v>
      </c>
      <c r="F157">
        <v>89.930555555555557</v>
      </c>
      <c r="G157">
        <v>2.6535892327475388</v>
      </c>
    </row>
    <row r="158" spans="1:7" x14ac:dyDescent="0.2">
      <c r="A158">
        <v>131</v>
      </c>
      <c r="B158">
        <v>1.5186063218328554</v>
      </c>
      <c r="C158">
        <v>0.99326837821096414</v>
      </c>
      <c r="D158">
        <v>0.94070838601200835</v>
      </c>
      <c r="F158">
        <v>90.625</v>
      </c>
      <c r="G158">
        <v>2.664630651168546</v>
      </c>
    </row>
    <row r="159" spans="1:7" x14ac:dyDescent="0.2">
      <c r="A159">
        <v>132</v>
      </c>
      <c r="B159">
        <v>0.12127614442290868</v>
      </c>
      <c r="C159">
        <v>-0.85174890388412883</v>
      </c>
      <c r="D159">
        <v>-0.80667758506871146</v>
      </c>
      <c r="F159">
        <v>91.319444444444443</v>
      </c>
      <c r="G159">
        <v>2.683391280512204</v>
      </c>
    </row>
    <row r="160" spans="1:7" x14ac:dyDescent="0.2">
      <c r="A160">
        <v>133</v>
      </c>
      <c r="B160">
        <v>1.1362595063981762</v>
      </c>
      <c r="C160">
        <v>1.5283711447703698</v>
      </c>
      <c r="D160">
        <v>1.4474955453770526</v>
      </c>
      <c r="F160">
        <v>92.013888888888886</v>
      </c>
      <c r="G160">
        <v>2.7070180675265525</v>
      </c>
    </row>
    <row r="161" spans="1:7" x14ac:dyDescent="0.2">
      <c r="A161">
        <v>134</v>
      </c>
      <c r="B161">
        <v>0.71605052290547322</v>
      </c>
      <c r="C161">
        <v>-1.3558561123485884</v>
      </c>
      <c r="D161">
        <v>-1.2841093536162649</v>
      </c>
      <c r="F161">
        <v>92.708333333333343</v>
      </c>
      <c r="G161">
        <v>2.8438546235537174</v>
      </c>
    </row>
    <row r="162" spans="1:7" x14ac:dyDescent="0.2">
      <c r="A162">
        <v>135</v>
      </c>
      <c r="B162">
        <v>-0.72444846941699881</v>
      </c>
      <c r="C162">
        <v>-1.8436086304182573</v>
      </c>
      <c r="D162">
        <v>-1.7460518599034809</v>
      </c>
      <c r="F162">
        <v>93.402777777777786</v>
      </c>
      <c r="G162">
        <v>2.8609360739223297</v>
      </c>
    </row>
    <row r="163" spans="1:7" x14ac:dyDescent="0.2">
      <c r="A163">
        <v>136</v>
      </c>
      <c r="B163">
        <v>1.0758029196501353</v>
      </c>
      <c r="C163">
        <v>-1.2015495632584199</v>
      </c>
      <c r="D163">
        <v>-1.1379681213672859</v>
      </c>
      <c r="F163">
        <v>94.097222222222229</v>
      </c>
      <c r="G163">
        <v>3.0698713827378343</v>
      </c>
    </row>
    <row r="164" spans="1:7" x14ac:dyDescent="0.2">
      <c r="A164">
        <v>137</v>
      </c>
      <c r="B164">
        <v>0.71768314021107305</v>
      </c>
      <c r="C164">
        <v>1.6701313834319214</v>
      </c>
      <c r="D164">
        <v>1.5817543703203969</v>
      </c>
      <c r="F164">
        <v>94.791666666666671</v>
      </c>
      <c r="G164">
        <v>3.1095108983661892</v>
      </c>
    </row>
    <row r="165" spans="1:7" x14ac:dyDescent="0.2">
      <c r="A165">
        <v>138</v>
      </c>
      <c r="B165">
        <v>1.0915683391442266</v>
      </c>
      <c r="C165">
        <v>0.20908934973488691</v>
      </c>
      <c r="D165">
        <v>0.19802513503518543</v>
      </c>
      <c r="F165">
        <v>95.486111111111114</v>
      </c>
      <c r="G165">
        <v>3.1666873562985165</v>
      </c>
    </row>
    <row r="166" spans="1:7" x14ac:dyDescent="0.2">
      <c r="A166">
        <v>139</v>
      </c>
      <c r="B166">
        <v>0.68962071999246388</v>
      </c>
      <c r="C166">
        <v>1.6748364763844568</v>
      </c>
      <c r="D166">
        <v>1.5862104876140815</v>
      </c>
      <c r="F166">
        <v>96.180555555555557</v>
      </c>
      <c r="G166">
        <v>3.3950819422879635</v>
      </c>
    </row>
    <row r="167" spans="1:7" x14ac:dyDescent="0.2">
      <c r="A167">
        <v>140</v>
      </c>
      <c r="B167">
        <v>0.12735191743658558</v>
      </c>
      <c r="C167">
        <v>-0.1649876108018129</v>
      </c>
      <c r="D167">
        <v>-0.15625709271939206</v>
      </c>
      <c r="F167">
        <v>96.875</v>
      </c>
      <c r="G167">
        <v>3.4388141552305238</v>
      </c>
    </row>
    <row r="168" spans="1:7" x14ac:dyDescent="0.2">
      <c r="A168">
        <v>141</v>
      </c>
      <c r="B168">
        <v>0.79950786977612154</v>
      </c>
      <c r="C168">
        <v>0.71255293524372565</v>
      </c>
      <c r="D168">
        <v>0.67484733871078262</v>
      </c>
      <c r="F168">
        <v>97.569444444444443</v>
      </c>
      <c r="G168">
        <v>3.580071379617352</v>
      </c>
    </row>
    <row r="169" spans="1:7" x14ac:dyDescent="0.2">
      <c r="A169">
        <v>142</v>
      </c>
      <c r="B169">
        <v>0.97485736380086496</v>
      </c>
      <c r="C169">
        <v>1.6554663026693177</v>
      </c>
      <c r="D169">
        <v>1.5678653099641489</v>
      </c>
      <c r="F169">
        <v>98.263888888888886</v>
      </c>
      <c r="G169">
        <v>3.8214888861569447</v>
      </c>
    </row>
    <row r="170" spans="1:7" x14ac:dyDescent="0.2">
      <c r="A170">
        <v>143</v>
      </c>
      <c r="B170">
        <v>7.6399124725960998E-2</v>
      </c>
      <c r="C170">
        <v>-1.194897985152861E-2</v>
      </c>
      <c r="D170">
        <v>-1.1316685195261567E-2</v>
      </c>
      <c r="F170">
        <v>98.958333333333343</v>
      </c>
      <c r="G170">
        <v>4.5018822436456931</v>
      </c>
    </row>
    <row r="171" spans="1:7" ht="17" thickBot="1" x14ac:dyDescent="0.25">
      <c r="A171" s="2">
        <v>144</v>
      </c>
      <c r="B171" s="2">
        <v>0.47674198091842407</v>
      </c>
      <c r="C171" s="2">
        <v>0.17317434184801644</v>
      </c>
      <c r="D171" s="2">
        <v>0.16401061303487804</v>
      </c>
      <c r="F171" s="2">
        <v>99.652777777777786</v>
      </c>
      <c r="G171" s="2">
        <v>5.5867022964527608</v>
      </c>
    </row>
  </sheetData>
  <sortState xmlns:xlrd2="http://schemas.microsoft.com/office/spreadsheetml/2017/richdata2" ref="G28:G171">
    <sortCondition ref="G28"/>
  </sortState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CFE90-6592-A949-96E5-9D5A6C827148}">
  <dimension ref="A1:I171"/>
  <sheetViews>
    <sheetView topLeftCell="A3" workbookViewId="0">
      <selection activeCell="J23" sqref="J23"/>
    </sheetView>
  </sheetViews>
  <sheetFormatPr baseColWidth="10" defaultRowHeight="16" x14ac:dyDescent="0.2"/>
  <cols>
    <col min="1" max="1" width="24.1640625" bestFit="1" customWidth="1"/>
    <col min="2" max="2" width="25" bestFit="1" customWidth="1"/>
    <col min="3" max="3" width="13.5" bestFit="1" customWidth="1"/>
    <col min="4" max="4" width="17.5" bestFit="1" customWidth="1"/>
    <col min="5" max="5" width="12.1640625" bestFit="1" customWidth="1"/>
    <col min="6" max="6" width="19.6640625" bestFit="1" customWidth="1"/>
    <col min="7" max="7" width="16.6640625" bestFit="1" customWidth="1"/>
    <col min="8" max="8" width="12.83203125" bestFit="1" customWidth="1"/>
    <col min="9" max="9" width="12.33203125" bestFit="1" customWidth="1"/>
  </cols>
  <sheetData>
    <row r="1" spans="1:9" x14ac:dyDescent="0.2">
      <c r="A1" t="s">
        <v>21</v>
      </c>
    </row>
    <row r="2" spans="1:9" ht="17" thickBot="1" x14ac:dyDescent="0.25"/>
    <row r="3" spans="1:9" x14ac:dyDescent="0.2">
      <c r="A3" s="4" t="s">
        <v>22</v>
      </c>
      <c r="B3" s="4"/>
    </row>
    <row r="4" spans="1:9" x14ac:dyDescent="0.2">
      <c r="A4" t="s">
        <v>23</v>
      </c>
      <c r="B4">
        <v>0.82511698227172681</v>
      </c>
    </row>
    <row r="5" spans="1:9" x14ac:dyDescent="0.2">
      <c r="A5" t="s">
        <v>24</v>
      </c>
      <c r="B5">
        <v>0.68081803443320121</v>
      </c>
    </row>
    <row r="6" spans="1:9" x14ac:dyDescent="0.2">
      <c r="A6" t="s">
        <v>25</v>
      </c>
      <c r="B6">
        <v>0.67163294189890488</v>
      </c>
    </row>
    <row r="7" spans="1:9" x14ac:dyDescent="0.2">
      <c r="A7" t="s">
        <v>26</v>
      </c>
      <c r="B7">
        <v>1.0707836672702216</v>
      </c>
    </row>
    <row r="8" spans="1:9" ht="17" thickBot="1" x14ac:dyDescent="0.25">
      <c r="A8" s="2" t="s">
        <v>27</v>
      </c>
      <c r="B8" s="2">
        <v>144</v>
      </c>
    </row>
    <row r="10" spans="1:9" ht="17" thickBot="1" x14ac:dyDescent="0.25">
      <c r="A10" t="s">
        <v>28</v>
      </c>
    </row>
    <row r="11" spans="1:9" x14ac:dyDescent="0.2">
      <c r="A11" s="3"/>
      <c r="B11" s="3" t="s">
        <v>33</v>
      </c>
      <c r="C11" s="3" t="s">
        <v>34</v>
      </c>
      <c r="D11" s="3" t="s">
        <v>35</v>
      </c>
      <c r="E11" s="3" t="s">
        <v>36</v>
      </c>
      <c r="F11" s="3" t="s">
        <v>37</v>
      </c>
    </row>
    <row r="12" spans="1:9" x14ac:dyDescent="0.2">
      <c r="A12" t="s">
        <v>29</v>
      </c>
      <c r="B12">
        <v>4</v>
      </c>
      <c r="C12">
        <v>339.94682027043609</v>
      </c>
      <c r="D12">
        <v>84.986705067609023</v>
      </c>
      <c r="E12">
        <v>74.122065933585702</v>
      </c>
      <c r="F12">
        <v>1.6396970305765696E-33</v>
      </c>
    </row>
    <row r="13" spans="1:9" x14ac:dyDescent="0.2">
      <c r="A13" t="s">
        <v>30</v>
      </c>
      <c r="B13">
        <v>139</v>
      </c>
      <c r="C13">
        <v>159.37429503088035</v>
      </c>
      <c r="D13">
        <v>1.1465776620926644</v>
      </c>
    </row>
    <row r="14" spans="1:9" ht="17" thickBot="1" x14ac:dyDescent="0.25">
      <c r="A14" s="2" t="s">
        <v>31</v>
      </c>
      <c r="B14" s="2">
        <v>143</v>
      </c>
      <c r="C14" s="2">
        <v>499.32111530131647</v>
      </c>
      <c r="D14" s="2"/>
      <c r="E14" s="2"/>
      <c r="F14" s="2"/>
    </row>
    <row r="15" spans="1:9" ht="17" thickBot="1" x14ac:dyDescent="0.25"/>
    <row r="16" spans="1:9" x14ac:dyDescent="0.2">
      <c r="A16" s="3"/>
      <c r="B16" s="3" t="s">
        <v>38</v>
      </c>
      <c r="C16" s="3" t="s">
        <v>26</v>
      </c>
      <c r="D16" s="3" t="s">
        <v>39</v>
      </c>
      <c r="E16" s="3" t="s">
        <v>40</v>
      </c>
      <c r="F16" s="3" t="s">
        <v>41</v>
      </c>
      <c r="G16" s="3" t="s">
        <v>42</v>
      </c>
      <c r="H16" s="3" t="s">
        <v>43</v>
      </c>
      <c r="I16" s="3" t="s">
        <v>44</v>
      </c>
    </row>
    <row r="17" spans="1:9" x14ac:dyDescent="0.2">
      <c r="A17" t="s">
        <v>32</v>
      </c>
      <c r="B17">
        <v>-0.54832066092383469</v>
      </c>
      <c r="C17">
        <v>0.45636629095632009</v>
      </c>
      <c r="D17">
        <v>-1.201492467322298</v>
      </c>
      <c r="E17">
        <v>0.23160338107302966</v>
      </c>
      <c r="F17">
        <v>-1.4506379256109443</v>
      </c>
      <c r="G17">
        <v>0.3539966037632748</v>
      </c>
      <c r="H17">
        <v>-1.4506379256109443</v>
      </c>
      <c r="I17">
        <v>0.3539966037632748</v>
      </c>
    </row>
    <row r="18" spans="1:9" x14ac:dyDescent="0.2">
      <c r="A18" t="s">
        <v>1</v>
      </c>
      <c r="B18">
        <v>0.18091902355989803</v>
      </c>
      <c r="C18">
        <v>0.61569467530601407</v>
      </c>
      <c r="D18">
        <v>0.29384536007230727</v>
      </c>
      <c r="E18">
        <v>0.76931438220453963</v>
      </c>
      <c r="F18">
        <v>-1.0364187735424604</v>
      </c>
      <c r="G18">
        <v>1.3982568206622565</v>
      </c>
      <c r="H18">
        <v>-1.0364187735424604</v>
      </c>
      <c r="I18">
        <v>1.3982568206622565</v>
      </c>
    </row>
    <row r="19" spans="1:9" x14ac:dyDescent="0.2">
      <c r="A19" t="s">
        <v>17</v>
      </c>
      <c r="B19">
        <v>0.81511097354699236</v>
      </c>
      <c r="C19">
        <v>4.8425127243208937E-2</v>
      </c>
      <c r="D19">
        <v>16.832397144837699</v>
      </c>
      <c r="E19">
        <v>2.3527801052944257E-35</v>
      </c>
      <c r="F19">
        <v>0.71936589065610979</v>
      </c>
      <c r="G19">
        <v>0.91085605643787493</v>
      </c>
      <c r="H19">
        <v>0.71936589065610979</v>
      </c>
      <c r="I19">
        <v>0.91085605643787493</v>
      </c>
    </row>
    <row r="20" spans="1:9" x14ac:dyDescent="0.2">
      <c r="A20" t="s">
        <v>18</v>
      </c>
      <c r="B20">
        <v>0.46748662473976738</v>
      </c>
      <c r="C20">
        <v>5.8711961189687321E-2</v>
      </c>
      <c r="D20">
        <v>7.9623745360746145</v>
      </c>
      <c r="E20">
        <v>5.4098829435041864E-13</v>
      </c>
      <c r="F20">
        <v>0.35140264291437673</v>
      </c>
      <c r="G20">
        <v>0.58357060656515802</v>
      </c>
      <c r="H20">
        <v>0.35140264291437673</v>
      </c>
      <c r="I20">
        <v>0.58357060656515802</v>
      </c>
    </row>
    <row r="21" spans="1:9" ht="17" thickBot="1" x14ac:dyDescent="0.25">
      <c r="A21" s="2" t="s">
        <v>51</v>
      </c>
      <c r="B21" s="2">
        <v>3.2834844048107366</v>
      </c>
      <c r="C21" s="2">
        <v>1.7592946372373732</v>
      </c>
      <c r="D21" s="2">
        <v>1.8663641298690048</v>
      </c>
      <c r="E21" s="2">
        <v>6.4097449097355388E-2</v>
      </c>
      <c r="F21" s="2">
        <v>-0.19495376275029619</v>
      </c>
      <c r="G21" s="2">
        <v>6.7619225723717697</v>
      </c>
      <c r="H21" s="2">
        <v>-0.19495376275029619</v>
      </c>
      <c r="I21" s="2">
        <v>6.7619225723717697</v>
      </c>
    </row>
    <row r="25" spans="1:9" x14ac:dyDescent="0.2">
      <c r="A25" t="s">
        <v>45</v>
      </c>
      <c r="F25" t="s">
        <v>48</v>
      </c>
    </row>
    <row r="26" spans="1:9" ht="17" thickBot="1" x14ac:dyDescent="0.25"/>
    <row r="27" spans="1:9" x14ac:dyDescent="0.2">
      <c r="A27" s="3" t="s">
        <v>46</v>
      </c>
      <c r="B27" s="3" t="s">
        <v>50</v>
      </c>
      <c r="C27" s="3" t="s">
        <v>47</v>
      </c>
      <c r="D27" s="3" t="s">
        <v>52</v>
      </c>
      <c r="F27" s="3" t="s">
        <v>49</v>
      </c>
      <c r="G27" s="3" t="s">
        <v>2</v>
      </c>
    </row>
    <row r="28" spans="1:9" x14ac:dyDescent="0.2">
      <c r="A28">
        <v>1</v>
      </c>
      <c r="B28">
        <v>-1.30424107333507</v>
      </c>
      <c r="C28">
        <v>-1.8189101476788443</v>
      </c>
      <c r="D28">
        <v>-1.7229398908651654</v>
      </c>
      <c r="F28">
        <v>0.34722222222222221</v>
      </c>
      <c r="G28">
        <v>-7.0047284893671877</v>
      </c>
    </row>
    <row r="29" spans="1:9" x14ac:dyDescent="0.2">
      <c r="A29">
        <v>2</v>
      </c>
      <c r="B29">
        <v>2.0728548268939786</v>
      </c>
      <c r="C29">
        <v>1.3659593283365452</v>
      </c>
      <c r="D29">
        <v>1.2938878916551964</v>
      </c>
      <c r="F29">
        <v>1.0416666666666665</v>
      </c>
      <c r="G29">
        <v>-4.6868598995851904</v>
      </c>
    </row>
    <row r="30" spans="1:9" x14ac:dyDescent="0.2">
      <c r="A30">
        <v>3</v>
      </c>
      <c r="B30">
        <v>-0.52686428326597357</v>
      </c>
      <c r="C30">
        <v>-1.3154534092729209</v>
      </c>
      <c r="D30">
        <v>-1.2460467914279134</v>
      </c>
      <c r="F30">
        <v>1.7361111111111112</v>
      </c>
      <c r="G30">
        <v>-4.1526948243374111</v>
      </c>
    </row>
    <row r="31" spans="1:9" x14ac:dyDescent="0.2">
      <c r="A31">
        <v>4</v>
      </c>
      <c r="B31">
        <v>1.0169001727714904</v>
      </c>
      <c r="C31">
        <v>-0.25213491104449237</v>
      </c>
      <c r="D31">
        <v>-0.238831641393975</v>
      </c>
      <c r="F31">
        <v>2.4305555555555554</v>
      </c>
      <c r="G31">
        <v>-3.6875242113072275</v>
      </c>
    </row>
    <row r="32" spans="1:9" x14ac:dyDescent="0.2">
      <c r="A32">
        <v>5</v>
      </c>
      <c r="B32">
        <v>2.044180322298327</v>
      </c>
      <c r="C32">
        <v>0.79967430125539041</v>
      </c>
      <c r="D32">
        <v>0.75748148147442695</v>
      </c>
      <c r="F32">
        <v>3.125</v>
      </c>
      <c r="G32">
        <v>-3.3442885744124804</v>
      </c>
    </row>
    <row r="33" spans="1:7" x14ac:dyDescent="0.2">
      <c r="A33">
        <v>6</v>
      </c>
      <c r="B33">
        <v>-0.32687205767137251</v>
      </c>
      <c r="C33">
        <v>-7.9001980323547161E-2</v>
      </c>
      <c r="D33">
        <v>-7.483363789601416E-2</v>
      </c>
      <c r="F33">
        <v>3.8194444444444446</v>
      </c>
      <c r="G33">
        <v>-3.1231512210139143</v>
      </c>
    </row>
    <row r="34" spans="1:7" x14ac:dyDescent="0.2">
      <c r="A34">
        <v>7</v>
      </c>
      <c r="B34">
        <v>0.20702206172412874</v>
      </c>
      <c r="C34">
        <v>0.18761584172826179</v>
      </c>
      <c r="D34">
        <v>0.17771675983246107</v>
      </c>
      <c r="F34">
        <v>4.5138888888888884</v>
      </c>
      <c r="G34">
        <v>-2.9682787226250409</v>
      </c>
    </row>
    <row r="35" spans="1:7" x14ac:dyDescent="0.2">
      <c r="A35">
        <v>8</v>
      </c>
      <c r="B35">
        <v>1.0995120299196333</v>
      </c>
      <c r="C35">
        <v>-1.9443795118355609</v>
      </c>
      <c r="D35">
        <v>-1.8417891769956334</v>
      </c>
      <c r="F35">
        <v>5.208333333333333</v>
      </c>
      <c r="G35">
        <v>-2.5680570998352561</v>
      </c>
    </row>
    <row r="36" spans="1:7" x14ac:dyDescent="0.2">
      <c r="A36">
        <v>9</v>
      </c>
      <c r="B36">
        <v>1.1216129901570797</v>
      </c>
      <c r="C36">
        <v>1.010448650023271</v>
      </c>
      <c r="D36">
        <v>0.9571348474896394</v>
      </c>
      <c r="F36">
        <v>5.9027777777777777</v>
      </c>
      <c r="G36">
        <v>-2.5280472836281653</v>
      </c>
    </row>
    <row r="37" spans="1:7" x14ac:dyDescent="0.2">
      <c r="A37">
        <v>10</v>
      </c>
      <c r="B37">
        <v>7.0516046708169577E-2</v>
      </c>
      <c r="C37">
        <v>-0.49465614925466667</v>
      </c>
      <c r="D37">
        <v>-0.46855685142018244</v>
      </c>
      <c r="F37">
        <v>6.5972222222222223</v>
      </c>
      <c r="G37">
        <v>-2.5046976641667626</v>
      </c>
    </row>
    <row r="38" spans="1:7" x14ac:dyDescent="0.2">
      <c r="A38">
        <v>11</v>
      </c>
      <c r="B38">
        <v>0.92215677860053635</v>
      </c>
      <c r="C38">
        <v>-0.17695642466645367</v>
      </c>
      <c r="D38">
        <v>-0.16761976032284009</v>
      </c>
      <c r="F38">
        <v>7.291666666666667</v>
      </c>
      <c r="G38">
        <v>-2.2568118607420633</v>
      </c>
    </row>
    <row r="39" spans="1:7" x14ac:dyDescent="0.2">
      <c r="A39">
        <v>12</v>
      </c>
      <c r="B39">
        <v>0.79261274498775947</v>
      </c>
      <c r="C39">
        <v>0.59677089214234524</v>
      </c>
      <c r="D39">
        <v>0.56528376461660368</v>
      </c>
      <c r="F39">
        <v>7.9861111111111107</v>
      </c>
      <c r="G39">
        <v>-1.9001782009329338</v>
      </c>
    </row>
    <row r="40" spans="1:7" x14ac:dyDescent="0.2">
      <c r="A40">
        <v>13</v>
      </c>
      <c r="B40">
        <v>0.42349233969983513</v>
      </c>
      <c r="C40">
        <v>-0.58309655336975363</v>
      </c>
      <c r="D40">
        <v>-0.55233091821978308</v>
      </c>
      <c r="F40">
        <v>8.6805555555555536</v>
      </c>
      <c r="G40">
        <v>-1.8423176925388944</v>
      </c>
    </row>
    <row r="41" spans="1:7" x14ac:dyDescent="0.2">
      <c r="A41">
        <v>14</v>
      </c>
      <c r="B41">
        <v>-0.386915749060874</v>
      </c>
      <c r="C41">
        <v>0.3890901889005467</v>
      </c>
      <c r="D41">
        <v>0.36856081563814547</v>
      </c>
      <c r="F41">
        <v>9.3749999999999982</v>
      </c>
      <c r="G41">
        <v>-1.8267949190726551</v>
      </c>
    </row>
    <row r="42" spans="1:7" x14ac:dyDescent="0.2">
      <c r="A42">
        <v>15</v>
      </c>
      <c r="B42">
        <v>1.8656762746041227</v>
      </c>
      <c r="C42">
        <v>0.28713479621073468</v>
      </c>
      <c r="D42">
        <v>0.27198484492388691</v>
      </c>
      <c r="F42">
        <v>10.069444444444443</v>
      </c>
      <c r="G42">
        <v>-1.7163787658669345</v>
      </c>
    </row>
    <row r="43" spans="1:7" x14ac:dyDescent="0.2">
      <c r="A43">
        <v>16</v>
      </c>
      <c r="B43">
        <v>-0.8740351762702685</v>
      </c>
      <c r="C43">
        <v>0.24081595448216842</v>
      </c>
      <c r="D43">
        <v>0.22810990134041337</v>
      </c>
      <c r="F43">
        <v>10.763888888888888</v>
      </c>
      <c r="G43">
        <v>-1.7024670003016547</v>
      </c>
    </row>
    <row r="44" spans="1:7" x14ac:dyDescent="0.2">
      <c r="A44">
        <v>17</v>
      </c>
      <c r="B44">
        <v>0.94326098008118242</v>
      </c>
      <c r="C44">
        <v>-0.40014818176828926</v>
      </c>
      <c r="D44">
        <v>-0.37903536109551683</v>
      </c>
      <c r="F44">
        <v>11.458333333333332</v>
      </c>
      <c r="G44">
        <v>-1.4912303020014905</v>
      </c>
    </row>
    <row r="45" spans="1:7" x14ac:dyDescent="0.2">
      <c r="A45">
        <v>18</v>
      </c>
      <c r="B45">
        <v>0.70696044382050782</v>
      </c>
      <c r="C45">
        <v>1.9466287889270308</v>
      </c>
      <c r="D45">
        <v>1.8439197765920172</v>
      </c>
      <c r="F45">
        <v>12.152777777777777</v>
      </c>
      <c r="G45">
        <v>-1.4816122688402813</v>
      </c>
    </row>
    <row r="46" spans="1:7" x14ac:dyDescent="0.2">
      <c r="A46">
        <v>19</v>
      </c>
      <c r="B46">
        <v>-4.67404645363525E-2</v>
      </c>
      <c r="C46">
        <v>-0.13977893521681559</v>
      </c>
      <c r="D46">
        <v>-0.13240384836768282</v>
      </c>
      <c r="F46">
        <v>12.847222222222221</v>
      </c>
      <c r="G46">
        <v>-1.3850399013585131</v>
      </c>
    </row>
    <row r="47" spans="1:7" x14ac:dyDescent="0.2">
      <c r="A47">
        <v>20</v>
      </c>
      <c r="B47">
        <v>2.5979597947701962</v>
      </c>
      <c r="C47">
        <v>-0.19325802409586368</v>
      </c>
      <c r="D47">
        <v>-0.18306124652141753</v>
      </c>
      <c r="F47">
        <v>13.541666666666666</v>
      </c>
      <c r="G47">
        <v>-1.3845334693391671</v>
      </c>
    </row>
    <row r="48" spans="1:7" x14ac:dyDescent="0.2">
      <c r="A48">
        <v>21</v>
      </c>
      <c r="B48">
        <v>-0.29466593602622448</v>
      </c>
      <c r="C48">
        <v>1.1167334616956708</v>
      </c>
      <c r="D48">
        <v>1.0578118061932653</v>
      </c>
      <c r="F48">
        <v>14.236111111111111</v>
      </c>
      <c r="G48">
        <v>-1.3312319193447704</v>
      </c>
    </row>
    <row r="49" spans="1:7" x14ac:dyDescent="0.2">
      <c r="A49">
        <v>22</v>
      </c>
      <c r="B49">
        <v>9.455451581178187E-2</v>
      </c>
      <c r="C49">
        <v>0.70335309099923149</v>
      </c>
      <c r="D49">
        <v>0.66624241961173558</v>
      </c>
      <c r="F49">
        <v>14.930555555555554</v>
      </c>
      <c r="G49">
        <v>-1.2793531068196276</v>
      </c>
    </row>
    <row r="50" spans="1:7" x14ac:dyDescent="0.2">
      <c r="A50">
        <v>23</v>
      </c>
      <c r="B50">
        <v>-0.38247069833118874</v>
      </c>
      <c r="C50">
        <v>0.14829563724017802</v>
      </c>
      <c r="D50">
        <v>0.14047118785302726</v>
      </c>
      <c r="F50">
        <v>15.624999999999998</v>
      </c>
      <c r="G50">
        <v>-1.1425691586862545</v>
      </c>
    </row>
    <row r="51" spans="1:7" x14ac:dyDescent="0.2">
      <c r="A51">
        <v>24</v>
      </c>
      <c r="B51">
        <v>0.12972321773294659</v>
      </c>
      <c r="C51">
        <v>0.31934007816679316</v>
      </c>
      <c r="D51">
        <v>0.30249089551108199</v>
      </c>
      <c r="F51">
        <v>16.319444444444443</v>
      </c>
      <c r="G51">
        <v>-1.1072210028407516</v>
      </c>
    </row>
    <row r="52" spans="1:7" x14ac:dyDescent="0.2">
      <c r="A52">
        <v>25</v>
      </c>
      <c r="B52">
        <v>-2.0589124953294498</v>
      </c>
      <c r="C52">
        <v>-1.2853760790830306</v>
      </c>
      <c r="D52">
        <v>-1.2175564165399533</v>
      </c>
      <c r="F52">
        <v>17.013888888888886</v>
      </c>
      <c r="G52">
        <v>-1.0801430002995103</v>
      </c>
    </row>
    <row r="53" spans="1:7" x14ac:dyDescent="0.2">
      <c r="A53">
        <v>26</v>
      </c>
      <c r="B53">
        <v>0.99075318825919634</v>
      </c>
      <c r="C53">
        <v>0.96440693246830811</v>
      </c>
      <c r="D53">
        <v>0.9135224063140136</v>
      </c>
      <c r="F53">
        <v>17.708333333333332</v>
      </c>
      <c r="G53">
        <v>-0.94912629185626851</v>
      </c>
    </row>
    <row r="54" spans="1:7" x14ac:dyDescent="0.2">
      <c r="A54">
        <v>27</v>
      </c>
      <c r="B54">
        <v>-1.491358255139422</v>
      </c>
      <c r="C54">
        <v>-1.4769204674856189</v>
      </c>
      <c r="D54">
        <v>-1.3989944430809214</v>
      </c>
      <c r="F54">
        <v>18.402777777777775</v>
      </c>
      <c r="G54">
        <v>-0.93339874585644023</v>
      </c>
    </row>
    <row r="55" spans="1:7" x14ac:dyDescent="0.2">
      <c r="A55">
        <v>28</v>
      </c>
      <c r="B55">
        <v>-1.1505595705463869</v>
      </c>
      <c r="C55">
        <v>0.2014332786901184</v>
      </c>
      <c r="D55">
        <v>0.19080515419953728</v>
      </c>
      <c r="F55">
        <v>19.097222222222221</v>
      </c>
      <c r="G55">
        <v>-0.8739297602339734</v>
      </c>
    </row>
    <row r="56" spans="1:7" x14ac:dyDescent="0.2">
      <c r="A56">
        <v>29</v>
      </c>
      <c r="B56">
        <v>1.6575649490915887</v>
      </c>
      <c r="C56">
        <v>1.0258263314206153</v>
      </c>
      <c r="D56">
        <v>0.9717011638864721</v>
      </c>
      <c r="F56">
        <v>19.791666666666664</v>
      </c>
      <c r="G56">
        <v>-0.85098504001589137</v>
      </c>
    </row>
    <row r="57" spans="1:7" x14ac:dyDescent="0.2">
      <c r="A57">
        <v>30</v>
      </c>
      <c r="B57">
        <v>-0.11951765401559578</v>
      </c>
      <c r="C57">
        <v>1.2044278357846567</v>
      </c>
      <c r="D57">
        <v>1.1408792053801788</v>
      </c>
      <c r="F57">
        <v>20.486111111111111</v>
      </c>
      <c r="G57">
        <v>-0.84486748191592764</v>
      </c>
    </row>
    <row r="58" spans="1:7" x14ac:dyDescent="0.2">
      <c r="A58">
        <v>31</v>
      </c>
      <c r="B58">
        <v>-1.5514480598784428</v>
      </c>
      <c r="C58">
        <v>0.94938869865137754</v>
      </c>
      <c r="D58">
        <v>0.89929657214262793</v>
      </c>
      <c r="F58">
        <v>21.180555555555554</v>
      </c>
      <c r="G58">
        <v>-0.83998798555617005</v>
      </c>
    </row>
    <row r="59" spans="1:7" x14ac:dyDescent="0.2">
      <c r="A59">
        <v>32</v>
      </c>
      <c r="B59">
        <v>-0.55785578010288717</v>
      </c>
      <c r="C59">
        <v>-0.82667768923627993</v>
      </c>
      <c r="D59">
        <v>-0.78306010304633666</v>
      </c>
      <c r="F59">
        <v>21.875</v>
      </c>
      <c r="G59">
        <v>-0.82038765576752415</v>
      </c>
    </row>
    <row r="60" spans="1:7" x14ac:dyDescent="0.2">
      <c r="A60">
        <v>33</v>
      </c>
      <c r="B60">
        <v>2.0817803135718793E-2</v>
      </c>
      <c r="C60">
        <v>0.49187434622816206</v>
      </c>
      <c r="D60">
        <v>0.46592182329138204</v>
      </c>
      <c r="F60">
        <v>22.569444444444443</v>
      </c>
      <c r="G60">
        <v>-0.73047275946122014</v>
      </c>
    </row>
    <row r="61" spans="1:7" x14ac:dyDescent="0.2">
      <c r="A61">
        <v>34</v>
      </c>
      <c r="B61">
        <v>3.0263674188714726</v>
      </c>
      <c r="C61">
        <v>-0.91363490489941634</v>
      </c>
      <c r="D61">
        <v>-0.8654292381329568</v>
      </c>
      <c r="F61">
        <v>23.263888888888886</v>
      </c>
      <c r="G61">
        <v>-0.72114034769675106</v>
      </c>
    </row>
    <row r="62" spans="1:7" x14ac:dyDescent="0.2">
      <c r="A62">
        <v>35</v>
      </c>
      <c r="B62">
        <v>1.4828217147143432</v>
      </c>
      <c r="C62">
        <v>-1.0361792184793506</v>
      </c>
      <c r="D62">
        <v>-0.98150780668401738</v>
      </c>
      <c r="F62">
        <v>23.958333333333332</v>
      </c>
      <c r="G62">
        <v>-0.70844610563042631</v>
      </c>
    </row>
    <row r="63" spans="1:7" x14ac:dyDescent="0.2">
      <c r="A63">
        <v>36</v>
      </c>
      <c r="B63">
        <v>0.49218060214167769</v>
      </c>
      <c r="C63">
        <v>0.31691510807990164</v>
      </c>
      <c r="D63">
        <v>0.30019387292192773</v>
      </c>
      <c r="F63">
        <v>24.652777777777775</v>
      </c>
      <c r="G63">
        <v>-0.63980558944311527</v>
      </c>
    </row>
    <row r="64" spans="1:7" x14ac:dyDescent="0.2">
      <c r="A64">
        <v>37</v>
      </c>
      <c r="B64">
        <v>1.715637668397834</v>
      </c>
      <c r="C64">
        <v>1.6794442738901294</v>
      </c>
      <c r="D64">
        <v>1.5908325860202366</v>
      </c>
      <c r="F64">
        <v>25.347222222222221</v>
      </c>
      <c r="G64">
        <v>-0.63321922178810008</v>
      </c>
    </row>
    <row r="65" spans="1:7" x14ac:dyDescent="0.2">
      <c r="A65">
        <v>38</v>
      </c>
      <c r="B65">
        <v>3.0343534386854039</v>
      </c>
      <c r="C65">
        <v>7.5157459680785355E-2</v>
      </c>
      <c r="D65">
        <v>7.1191963795112709E-2</v>
      </c>
      <c r="F65">
        <v>26.041666666666664</v>
      </c>
      <c r="G65">
        <v>-0.62523746935851443</v>
      </c>
    </row>
    <row r="66" spans="1:7" x14ac:dyDescent="0.2">
      <c r="A66">
        <v>39</v>
      </c>
      <c r="B66">
        <v>2.3567700058028906</v>
      </c>
      <c r="C66">
        <v>-0.78152237651879308</v>
      </c>
      <c r="D66">
        <v>-0.74028729776800473</v>
      </c>
      <c r="F66">
        <v>26.736111111111111</v>
      </c>
      <c r="G66">
        <v>-0.60205936122706527</v>
      </c>
    </row>
    <row r="67" spans="1:7" x14ac:dyDescent="0.2">
      <c r="A67">
        <v>40</v>
      </c>
      <c r="B67">
        <v>-0.4768368936430285</v>
      </c>
      <c r="C67">
        <v>0.8709809446512462</v>
      </c>
      <c r="D67">
        <v>0.82502580770032541</v>
      </c>
      <c r="F67">
        <v>27.430555555555554</v>
      </c>
      <c r="G67">
        <v>-0.49649597275839152</v>
      </c>
    </row>
    <row r="68" spans="1:7" x14ac:dyDescent="0.2">
      <c r="A68">
        <v>41</v>
      </c>
      <c r="B68">
        <v>-1.1098959689768999</v>
      </c>
      <c r="C68">
        <v>1.4023833622399708</v>
      </c>
      <c r="D68">
        <v>1.3283901022666014</v>
      </c>
      <c r="F68">
        <v>28.125</v>
      </c>
      <c r="G68">
        <v>-0.45287219230992509</v>
      </c>
    </row>
    <row r="69" spans="1:7" x14ac:dyDescent="0.2">
      <c r="A69">
        <v>42</v>
      </c>
      <c r="B69">
        <v>-0.64611740871781775</v>
      </c>
      <c r="C69">
        <v>-0.28728133713862247</v>
      </c>
      <c r="D69">
        <v>-0.27212365398524957</v>
      </c>
      <c r="F69">
        <v>28.819444444444443</v>
      </c>
      <c r="G69">
        <v>-0.44945692130845749</v>
      </c>
    </row>
    <row r="70" spans="1:7" x14ac:dyDescent="0.2">
      <c r="A70">
        <v>43</v>
      </c>
      <c r="B70">
        <v>2.305567593898795</v>
      </c>
      <c r="C70">
        <v>0.55536848002353478</v>
      </c>
      <c r="D70">
        <v>0.52606584749817498</v>
      </c>
      <c r="F70">
        <v>29.513888888888886</v>
      </c>
      <c r="G70">
        <v>-0.42414010254649709</v>
      </c>
    </row>
    <row r="71" spans="1:7" x14ac:dyDescent="0.2">
      <c r="A71">
        <v>44</v>
      </c>
      <c r="B71">
        <v>0.13223226141571909</v>
      </c>
      <c r="C71">
        <v>-0.58168918272417658</v>
      </c>
      <c r="D71">
        <v>-0.55099780397574438</v>
      </c>
      <c r="F71">
        <v>30.208333333333332</v>
      </c>
      <c r="G71">
        <v>-0.40587403799491967</v>
      </c>
    </row>
    <row r="72" spans="1:7" x14ac:dyDescent="0.2">
      <c r="A72">
        <v>45</v>
      </c>
      <c r="B72">
        <v>1.7565935665924837</v>
      </c>
      <c r="C72">
        <v>0.76911072046329476</v>
      </c>
      <c r="D72">
        <v>0.72853051178437289</v>
      </c>
      <c r="F72">
        <v>30.902777777777775</v>
      </c>
      <c r="G72">
        <v>-0.38364685529762182</v>
      </c>
    </row>
    <row r="73" spans="1:7" x14ac:dyDescent="0.2">
      <c r="A73">
        <v>46</v>
      </c>
      <c r="B73">
        <v>0.15516504696037414</v>
      </c>
      <c r="C73">
        <v>0.16678605137095132</v>
      </c>
      <c r="D73">
        <v>0.15798600140507701</v>
      </c>
      <c r="F73">
        <v>31.597222222222221</v>
      </c>
      <c r="G73">
        <v>-0.34952011853591453</v>
      </c>
    </row>
    <row r="74" spans="1:7" x14ac:dyDescent="0.2">
      <c r="A74">
        <v>47</v>
      </c>
      <c r="B74">
        <v>1.0470451098919134</v>
      </c>
      <c r="C74">
        <v>-1.4306919651895351</v>
      </c>
      <c r="D74">
        <v>-1.3552050723951199</v>
      </c>
      <c r="F74">
        <v>32.291666666666664</v>
      </c>
      <c r="G74">
        <v>-0.32059917407416511</v>
      </c>
    </row>
    <row r="75" spans="1:7" x14ac:dyDescent="0.2">
      <c r="A75">
        <v>48</v>
      </c>
      <c r="B75">
        <v>1.1639264760351153</v>
      </c>
      <c r="C75">
        <v>0.6462623030512149</v>
      </c>
      <c r="D75">
        <v>0.61216388468130667</v>
      </c>
      <c r="F75">
        <v>32.986111111111107</v>
      </c>
      <c r="G75">
        <v>-0.25809067214290327</v>
      </c>
    </row>
    <row r="76" spans="1:7" x14ac:dyDescent="0.2">
      <c r="A76">
        <v>49</v>
      </c>
      <c r="B76">
        <v>-0.13389656274395501</v>
      </c>
      <c r="C76">
        <v>-0.74003319749001839</v>
      </c>
      <c r="D76">
        <v>-0.70098719177918278</v>
      </c>
      <c r="F76">
        <v>33.68055555555555</v>
      </c>
      <c r="G76">
        <v>-0.23417506109101072</v>
      </c>
    </row>
    <row r="77" spans="1:7" x14ac:dyDescent="0.2">
      <c r="A77">
        <v>50</v>
      </c>
      <c r="B77">
        <v>0.97107871028045767</v>
      </c>
      <c r="C77">
        <v>-0.19194328141658301</v>
      </c>
      <c r="D77">
        <v>-0.18181587296008667</v>
      </c>
      <c r="F77">
        <v>34.375</v>
      </c>
      <c r="G77">
        <v>-0.18651939975316809</v>
      </c>
    </row>
    <row r="78" spans="1:7" x14ac:dyDescent="0.2">
      <c r="A78">
        <v>51</v>
      </c>
      <c r="B78">
        <v>0.54210556915850927</v>
      </c>
      <c r="C78">
        <v>0.58313531580667899</v>
      </c>
      <c r="D78">
        <v>0.55236763545341394</v>
      </c>
      <c r="F78">
        <v>35.069444444444443</v>
      </c>
      <c r="G78">
        <v>-0.16023377056929605</v>
      </c>
    </row>
    <row r="79" spans="1:7" x14ac:dyDescent="0.2">
      <c r="A79">
        <v>52</v>
      </c>
      <c r="B79">
        <v>-0.21330284008709699</v>
      </c>
      <c r="C79">
        <v>-0.86684016021241328</v>
      </c>
      <c r="D79">
        <v>-0.82110350142354582</v>
      </c>
      <c r="F79">
        <v>35.763888888888886</v>
      </c>
      <c r="G79">
        <v>-0.15960421366991845</v>
      </c>
    </row>
    <row r="80" spans="1:7" x14ac:dyDescent="0.2">
      <c r="A80">
        <v>53</v>
      </c>
      <c r="B80">
        <v>0.45177268602945408</v>
      </c>
      <c r="C80">
        <v>0.8415353223302463</v>
      </c>
      <c r="D80">
        <v>0.79713381019129947</v>
      </c>
      <c r="F80">
        <v>36.458333333333329</v>
      </c>
      <c r="G80">
        <v>-0.12574664360828455</v>
      </c>
    </row>
    <row r="81" spans="1:7" x14ac:dyDescent="0.2">
      <c r="A81">
        <v>54</v>
      </c>
      <c r="B81">
        <v>-3.0607196995800168E-2</v>
      </c>
      <c r="C81">
        <v>-0.31891292154011436</v>
      </c>
      <c r="D81">
        <v>-0.30208627673830118</v>
      </c>
      <c r="F81">
        <v>37.152777777777779</v>
      </c>
      <c r="G81">
        <v>-3.7635693365227305E-2</v>
      </c>
    </row>
    <row r="82" spans="1:7" x14ac:dyDescent="0.2">
      <c r="A82">
        <v>55</v>
      </c>
      <c r="B82">
        <v>0.79482200977068329</v>
      </c>
      <c r="C82">
        <v>1.3989449285418458</v>
      </c>
      <c r="D82">
        <v>1.325133088945655</v>
      </c>
      <c r="F82">
        <v>37.847222222222221</v>
      </c>
      <c r="G82">
        <v>-2.8872892422191813E-2</v>
      </c>
    </row>
    <row r="83" spans="1:7" x14ac:dyDescent="0.2">
      <c r="A83">
        <v>56</v>
      </c>
      <c r="B83">
        <v>-1.5507783713536782E-2</v>
      </c>
      <c r="C83">
        <v>-0.69293832191688953</v>
      </c>
      <c r="D83">
        <v>-0.65637715984119949</v>
      </c>
      <c r="F83">
        <v>38.541666666666664</v>
      </c>
      <c r="G83">
        <v>-2.1093949631446327E-2</v>
      </c>
    </row>
    <row r="84" spans="1:7" x14ac:dyDescent="0.2">
      <c r="A84">
        <v>57</v>
      </c>
      <c r="B84">
        <v>-0.61685941579077896</v>
      </c>
      <c r="C84">
        <v>-0.52570974289547556</v>
      </c>
      <c r="D84">
        <v>-0.49797197965328593</v>
      </c>
      <c r="F84">
        <v>39.236111111111107</v>
      </c>
      <c r="G84">
        <v>2.1744398396726858E-3</v>
      </c>
    </row>
    <row r="85" spans="1:7" x14ac:dyDescent="0.2">
      <c r="A85">
        <v>58</v>
      </c>
      <c r="B85">
        <v>0.12567289521850122</v>
      </c>
      <c r="C85">
        <v>-1.6169031972199917</v>
      </c>
      <c r="D85">
        <v>-1.5315913332567919</v>
      </c>
      <c r="F85">
        <v>39.93055555555555</v>
      </c>
      <c r="G85">
        <v>1.3361896540353232E-2</v>
      </c>
    </row>
    <row r="86" spans="1:7" x14ac:dyDescent="0.2">
      <c r="A86">
        <v>59</v>
      </c>
      <c r="B86">
        <v>0.54835599512153099</v>
      </c>
      <c r="C86">
        <v>1.9227662920694346</v>
      </c>
      <c r="D86">
        <v>1.8213163248579867</v>
      </c>
      <c r="F86">
        <v>40.625</v>
      </c>
      <c r="G86">
        <v>1.5244628300109645E-2</v>
      </c>
    </row>
    <row r="87" spans="1:7" x14ac:dyDescent="0.2">
      <c r="A87">
        <v>60</v>
      </c>
      <c r="B87">
        <v>4.6132504286285014E-2</v>
      </c>
      <c r="C87">
        <v>1.5171053505262637</v>
      </c>
      <c r="D87">
        <v>1.4370590710059632</v>
      </c>
      <c r="F87">
        <v>41.319444444444443</v>
      </c>
      <c r="G87">
        <v>4.5162099813618559E-2</v>
      </c>
    </row>
    <row r="88" spans="1:7" x14ac:dyDescent="0.2">
      <c r="A88">
        <v>61</v>
      </c>
      <c r="B88">
        <v>-0.11288290987249416</v>
      </c>
      <c r="C88">
        <v>0.28338875176379186</v>
      </c>
      <c r="D88">
        <v>0.26843645116797316</v>
      </c>
      <c r="F88">
        <v>42.013888888888886</v>
      </c>
      <c r="G88">
        <v>5.5182858323510636E-2</v>
      </c>
    </row>
    <row r="89" spans="1:7" x14ac:dyDescent="0.2">
      <c r="A89">
        <v>62</v>
      </c>
      <c r="B89">
        <v>1.0456822902139462</v>
      </c>
      <c r="C89">
        <v>0.28259285693980929</v>
      </c>
      <c r="D89">
        <v>0.2676825497490809</v>
      </c>
      <c r="F89">
        <v>42.708333333333329</v>
      </c>
      <c r="G89">
        <v>6.2862567183433013E-2</v>
      </c>
    </row>
    <row r="90" spans="1:7" x14ac:dyDescent="0.2">
      <c r="A90">
        <v>63</v>
      </c>
      <c r="B90">
        <v>0.52994201015819276</v>
      </c>
      <c r="C90">
        <v>-0.51658011361783951</v>
      </c>
      <c r="D90">
        <v>-0.4893240524913407</v>
      </c>
      <c r="F90">
        <v>43.402777777777779</v>
      </c>
      <c r="G90">
        <v>6.4450144874432388E-2</v>
      </c>
    </row>
    <row r="91" spans="1:7" x14ac:dyDescent="0.2">
      <c r="A91">
        <v>64</v>
      </c>
      <c r="B91">
        <v>2.658385039366884E-2</v>
      </c>
      <c r="C91">
        <v>1.8578249419949719E-2</v>
      </c>
      <c r="D91">
        <v>1.7598014431291026E-2</v>
      </c>
      <c r="F91">
        <v>44.097222222222221</v>
      </c>
      <c r="G91">
        <v>0.17050584189129772</v>
      </c>
    </row>
    <row r="92" spans="1:7" x14ac:dyDescent="0.2">
      <c r="A92">
        <v>65</v>
      </c>
      <c r="B92">
        <v>-0.47284583771455246</v>
      </c>
      <c r="C92">
        <v>-2.055201445913613</v>
      </c>
      <c r="D92">
        <v>-1.9467638681586732</v>
      </c>
      <c r="F92">
        <v>44.791666666666664</v>
      </c>
      <c r="G92">
        <v>0.20128346879376346</v>
      </c>
    </row>
    <row r="93" spans="1:7" x14ac:dyDescent="0.2">
      <c r="A93">
        <v>66</v>
      </c>
      <c r="B93">
        <v>-0.98207801705894393</v>
      </c>
      <c r="C93">
        <v>0.13109297704305256</v>
      </c>
      <c r="D93">
        <v>0.12417618311051751</v>
      </c>
      <c r="F93">
        <v>45.486111111111107</v>
      </c>
      <c r="G93">
        <v>0.25176219913533959</v>
      </c>
    </row>
    <row r="94" spans="1:7" x14ac:dyDescent="0.2">
      <c r="A94">
        <v>67</v>
      </c>
      <c r="B94">
        <v>0.12937803749584909</v>
      </c>
      <c r="C94">
        <v>-2.6340757016626117</v>
      </c>
      <c r="D94">
        <v>-2.4950952677594707</v>
      </c>
      <c r="F94">
        <v>46.18055555555555</v>
      </c>
      <c r="G94">
        <v>0.27937046819359035</v>
      </c>
    </row>
    <row r="95" spans="1:7" x14ac:dyDescent="0.2">
      <c r="A95">
        <v>68</v>
      </c>
      <c r="B95">
        <v>1.0292497865889243</v>
      </c>
      <c r="C95">
        <v>-2.3086028934085521</v>
      </c>
      <c r="D95">
        <v>-2.1867952203665628</v>
      </c>
      <c r="F95">
        <v>46.875</v>
      </c>
      <c r="G95">
        <v>0.29248739326307094</v>
      </c>
    </row>
    <row r="96" spans="1:7" x14ac:dyDescent="0.2">
      <c r="A96">
        <v>69</v>
      </c>
      <c r="B96">
        <v>0.39163535392180449</v>
      </c>
      <c r="C96">
        <v>0.9285375386825796</v>
      </c>
      <c r="D96">
        <v>0.87954557161800162</v>
      </c>
      <c r="F96">
        <v>47.569444444444443</v>
      </c>
      <c r="G96">
        <v>0.32195109833132546</v>
      </c>
    </row>
    <row r="97" spans="1:7" x14ac:dyDescent="0.2">
      <c r="A97">
        <v>70</v>
      </c>
      <c r="B97">
        <v>0.23862119010454286</v>
      </c>
      <c r="C97">
        <v>-1.0786091756607128</v>
      </c>
      <c r="D97">
        <v>-1.0216990530129029</v>
      </c>
      <c r="F97">
        <v>48.263888888888886</v>
      </c>
      <c r="G97">
        <v>0.3416951439283733</v>
      </c>
    </row>
    <row r="98" spans="1:7" x14ac:dyDescent="0.2">
      <c r="A98">
        <v>71</v>
      </c>
      <c r="B98">
        <v>0.50137895044878389</v>
      </c>
      <c r="C98">
        <v>0.8059208240336363</v>
      </c>
      <c r="D98">
        <v>0.76339842205973951</v>
      </c>
      <c r="F98">
        <v>48.958333333333329</v>
      </c>
      <c r="G98">
        <v>0.3941440510082177</v>
      </c>
    </row>
    <row r="99" spans="1:7" x14ac:dyDescent="0.2">
      <c r="A99">
        <v>72</v>
      </c>
      <c r="B99">
        <v>0.85401098169588219</v>
      </c>
      <c r="C99">
        <v>-5.4710549137533482E-2</v>
      </c>
      <c r="D99">
        <v>-5.1823883483462063E-2</v>
      </c>
      <c r="F99">
        <v>49.652777777777779</v>
      </c>
      <c r="G99">
        <v>0.39463790345239053</v>
      </c>
    </row>
    <row r="100" spans="1:7" x14ac:dyDescent="0.2">
      <c r="A100">
        <v>73</v>
      </c>
      <c r="B100">
        <v>1.1441489448635638</v>
      </c>
      <c r="C100">
        <v>-1.1652428944950102</v>
      </c>
      <c r="D100">
        <v>-1.1037617597739202</v>
      </c>
      <c r="F100">
        <v>50.347222222222221</v>
      </c>
      <c r="G100">
        <v>0.44664249623499269</v>
      </c>
    </row>
    <row r="101" spans="1:7" x14ac:dyDescent="0.2">
      <c r="A101">
        <v>74</v>
      </c>
      <c r="B101">
        <v>-0.98410730689892356</v>
      </c>
      <c r="C101">
        <v>-3.1685875174384877</v>
      </c>
      <c r="D101">
        <v>-3.0014049008737023</v>
      </c>
      <c r="F101">
        <v>51.041666666666664</v>
      </c>
      <c r="G101">
        <v>0.44906329589973976</v>
      </c>
    </row>
    <row r="102" spans="1:7" x14ac:dyDescent="0.2">
      <c r="A102">
        <v>75</v>
      </c>
      <c r="B102">
        <v>-7.9151163565647789</v>
      </c>
      <c r="C102">
        <v>0.91038786719759113</v>
      </c>
      <c r="D102">
        <v>0.86235352227598772</v>
      </c>
      <c r="F102">
        <v>51.736111111111107</v>
      </c>
      <c r="G102">
        <v>0.51269214936388086</v>
      </c>
    </row>
    <row r="103" spans="1:7" x14ac:dyDescent="0.2">
      <c r="A103">
        <v>76</v>
      </c>
      <c r="B103">
        <v>5.269232047903305</v>
      </c>
      <c r="C103">
        <v>-0.7673498042576119</v>
      </c>
      <c r="D103">
        <v>-0.72686250592981561</v>
      </c>
      <c r="F103">
        <v>52.43055555555555</v>
      </c>
      <c r="G103">
        <v>0.54311279831289316</v>
      </c>
    </row>
    <row r="104" spans="1:7" x14ac:dyDescent="0.2">
      <c r="A104">
        <v>77</v>
      </c>
      <c r="B104">
        <v>2.1431767384700886</v>
      </c>
      <c r="C104">
        <v>0.56384132905646389</v>
      </c>
      <c r="D104">
        <v>0.53409164778673845</v>
      </c>
      <c r="F104">
        <v>53.125</v>
      </c>
      <c r="G104">
        <v>0.64991632276644051</v>
      </c>
    </row>
    <row r="105" spans="1:7" x14ac:dyDescent="0.2">
      <c r="A105">
        <v>78</v>
      </c>
      <c r="B105">
        <v>1.0175863336076598</v>
      </c>
      <c r="C105">
        <v>0.43947363590481059</v>
      </c>
      <c r="D105">
        <v>0.41628590573878327</v>
      </c>
      <c r="F105">
        <v>53.819444444444443</v>
      </c>
      <c r="G105">
        <v>0.74520035393408268</v>
      </c>
    </row>
    <row r="106" spans="1:7" x14ac:dyDescent="0.2">
      <c r="A106">
        <v>79</v>
      </c>
      <c r="B106">
        <v>2.3549902985109159</v>
      </c>
      <c r="C106">
        <v>-2.8078624908208409</v>
      </c>
      <c r="D106">
        <v>-2.6597126304852705</v>
      </c>
      <c r="F106">
        <v>54.513888888888886</v>
      </c>
      <c r="G106">
        <v>0.76476526172699799</v>
      </c>
    </row>
    <row r="107" spans="1:7" x14ac:dyDescent="0.2">
      <c r="A107">
        <v>80</v>
      </c>
      <c r="B107">
        <v>0.4184176136032679</v>
      </c>
      <c r="C107">
        <v>1.0562325476286296</v>
      </c>
      <c r="D107">
        <v>1.0005030719421903</v>
      </c>
      <c r="F107">
        <v>55.208333333333329</v>
      </c>
      <c r="G107">
        <v>0.76715041455256716</v>
      </c>
    </row>
    <row r="108" spans="1:7" x14ac:dyDescent="0.2">
      <c r="A108">
        <v>81</v>
      </c>
      <c r="B108">
        <v>-0.25516402971912333</v>
      </c>
      <c r="C108">
        <v>-6.5435144355041774E-2</v>
      </c>
      <c r="D108">
        <v>-6.1982622185979518E-2</v>
      </c>
      <c r="F108">
        <v>55.902777777777779</v>
      </c>
      <c r="G108">
        <v>0.77913542886387466</v>
      </c>
    </row>
    <row r="109" spans="1:7" x14ac:dyDescent="0.2">
      <c r="A109">
        <v>82</v>
      </c>
      <c r="B109">
        <v>0.39932325590005197</v>
      </c>
      <c r="C109">
        <v>-2.2995014568329859</v>
      </c>
      <c r="D109">
        <v>-2.1781739983890871</v>
      </c>
      <c r="F109">
        <v>56.597222222222221</v>
      </c>
      <c r="G109">
        <v>0.79790760681101336</v>
      </c>
    </row>
    <row r="110" spans="1:7" x14ac:dyDescent="0.2">
      <c r="A110">
        <v>83</v>
      </c>
      <c r="B110">
        <v>3.0823653674633644</v>
      </c>
      <c r="C110">
        <v>2.5043369289893964</v>
      </c>
      <c r="D110">
        <v>2.3722018378031722</v>
      </c>
      <c r="F110">
        <v>57.291666666666664</v>
      </c>
      <c r="G110">
        <v>0.79930043255834871</v>
      </c>
    </row>
    <row r="111" spans="1:7" x14ac:dyDescent="0.2">
      <c r="A111">
        <v>84</v>
      </c>
      <c r="B111">
        <v>1.3636598237278548</v>
      </c>
      <c r="C111">
        <v>0.48829369559111591</v>
      </c>
      <c r="D111">
        <v>0.46253009675354767</v>
      </c>
      <c r="F111">
        <v>57.986111111111107</v>
      </c>
      <c r="G111">
        <v>0.80909571022157933</v>
      </c>
    </row>
    <row r="112" spans="1:7" x14ac:dyDescent="0.2">
      <c r="A112">
        <v>85</v>
      </c>
      <c r="B112">
        <v>-0.20842355027519455</v>
      </c>
      <c r="C112">
        <v>-0.51271679742155651</v>
      </c>
      <c r="D112">
        <v>-0.48566457453741557</v>
      </c>
      <c r="F112">
        <v>58.68055555555555</v>
      </c>
      <c r="G112">
        <v>0.8173714702258239</v>
      </c>
    </row>
    <row r="113" spans="1:7" x14ac:dyDescent="0.2">
      <c r="A113">
        <v>86</v>
      </c>
      <c r="B113">
        <v>-0.81007348135254897</v>
      </c>
      <c r="C113">
        <v>0.78120058893035715</v>
      </c>
      <c r="D113">
        <v>0.73998248849899873</v>
      </c>
      <c r="F113">
        <v>59.375</v>
      </c>
      <c r="G113">
        <v>0.8220675256694463</v>
      </c>
    </row>
    <row r="114" spans="1:7" x14ac:dyDescent="0.2">
      <c r="A114">
        <v>87</v>
      </c>
      <c r="B114">
        <v>0.75053696599154951</v>
      </c>
      <c r="C114">
        <v>1.4048779714814963</v>
      </c>
      <c r="D114">
        <v>1.3307530896741047</v>
      </c>
      <c r="F114">
        <v>60.069444444444443</v>
      </c>
      <c r="G114">
        <v>0.94080499762717185</v>
      </c>
    </row>
    <row r="115" spans="1:7" x14ac:dyDescent="0.2">
      <c r="A115">
        <v>88</v>
      </c>
      <c r="B115">
        <v>0.79809846663352269</v>
      </c>
      <c r="C115">
        <v>1.5128731471470716</v>
      </c>
      <c r="D115">
        <v>1.433050169281175</v>
      </c>
      <c r="F115">
        <v>60.763888888888886</v>
      </c>
      <c r="G115">
        <v>0.98384974618307341</v>
      </c>
    </row>
    <row r="116" spans="1:7" x14ac:dyDescent="0.2">
      <c r="A116">
        <v>89</v>
      </c>
      <c r="B116">
        <v>0.73291623952535223</v>
      </c>
      <c r="C116">
        <v>-0.48115404039001264</v>
      </c>
      <c r="D116">
        <v>-0.45576714764982112</v>
      </c>
      <c r="F116">
        <v>61.458333333333329</v>
      </c>
      <c r="G116">
        <v>1.084910181769061</v>
      </c>
    </row>
    <row r="117" spans="1:7" x14ac:dyDescent="0.2">
      <c r="A117">
        <v>90</v>
      </c>
      <c r="B117">
        <v>1.0082852317120703</v>
      </c>
      <c r="C117">
        <v>0.18522676296566742</v>
      </c>
      <c r="D117">
        <v>0.17545373485140556</v>
      </c>
      <c r="F117">
        <v>62.152777777777771</v>
      </c>
      <c r="G117">
        <v>1.088562294937061</v>
      </c>
    </row>
    <row r="118" spans="1:7" x14ac:dyDescent="0.2">
      <c r="A118">
        <v>91</v>
      </c>
      <c r="B118">
        <v>1.1684498920828801</v>
      </c>
      <c r="C118">
        <v>-7.9887597145819056E-2</v>
      </c>
      <c r="D118">
        <v>-7.5672527355760535E-2</v>
      </c>
      <c r="F118">
        <v>62.847222222222221</v>
      </c>
      <c r="G118">
        <v>1.1252408849651883</v>
      </c>
    </row>
    <row r="119" spans="1:7" x14ac:dyDescent="0.2">
      <c r="A119">
        <v>92</v>
      </c>
      <c r="B119">
        <v>0.54350556787130944</v>
      </c>
      <c r="C119">
        <v>0.93641116747788411</v>
      </c>
      <c r="D119">
        <v>0.88700376803007097</v>
      </c>
      <c r="F119">
        <v>63.541666666666664</v>
      </c>
      <c r="G119">
        <v>1.1573512190828252</v>
      </c>
    </row>
    <row r="120" spans="1:7" x14ac:dyDescent="0.2">
      <c r="A120">
        <v>93</v>
      </c>
      <c r="B120">
        <v>-0.57691041182925451</v>
      </c>
      <c r="C120">
        <v>-0.75432150751551585</v>
      </c>
      <c r="D120">
        <v>-0.71452161476725273</v>
      </c>
      <c r="F120">
        <v>64.236111111111114</v>
      </c>
      <c r="G120">
        <v>1.1607317321410837</v>
      </c>
    </row>
    <row r="121" spans="1:7" x14ac:dyDescent="0.2">
      <c r="A121">
        <v>94</v>
      </c>
      <c r="B121">
        <v>0.79516095487685257</v>
      </c>
      <c r="C121">
        <v>0.91785115389799254</v>
      </c>
      <c r="D121">
        <v>0.86942302727022525</v>
      </c>
      <c r="F121">
        <v>64.930555555555557</v>
      </c>
      <c r="G121">
        <v>1.1935119946777377</v>
      </c>
    </row>
    <row r="122" spans="1:7" x14ac:dyDescent="0.2">
      <c r="A122">
        <v>95</v>
      </c>
      <c r="B122">
        <v>0.55004916203744125</v>
      </c>
      <c r="C122">
        <v>-0.20835401810906795</v>
      </c>
      <c r="D122">
        <v>-0.19736073806628723</v>
      </c>
      <c r="F122">
        <v>65.625</v>
      </c>
      <c r="G122">
        <v>1.2933080083597004</v>
      </c>
    </row>
    <row r="123" spans="1:7" x14ac:dyDescent="0.2">
      <c r="A123">
        <v>96</v>
      </c>
      <c r="B123">
        <v>1.0458388401545975</v>
      </c>
      <c r="C123">
        <v>0.31345425297851759</v>
      </c>
      <c r="D123">
        <v>0.29691562120713683</v>
      </c>
      <c r="F123">
        <v>66.319444444444443</v>
      </c>
      <c r="G123">
        <v>1.3006576888791135</v>
      </c>
    </row>
    <row r="124" spans="1:7" x14ac:dyDescent="0.2">
      <c r="A124">
        <v>97</v>
      </c>
      <c r="B124">
        <v>-1.8377561264444022</v>
      </c>
      <c r="C124">
        <v>-0.41905573429766108</v>
      </c>
      <c r="D124">
        <v>-0.3969453037790821</v>
      </c>
      <c r="F124">
        <v>67.013888888888886</v>
      </c>
      <c r="G124">
        <v>1.3072997744824202</v>
      </c>
    </row>
    <row r="125" spans="1:7" x14ac:dyDescent="0.2">
      <c r="A125">
        <v>98</v>
      </c>
      <c r="B125">
        <v>-0.86047254528465889</v>
      </c>
      <c r="C125">
        <v>-0.24674845755609276</v>
      </c>
      <c r="D125">
        <v>-0.23372939068780535</v>
      </c>
      <c r="F125">
        <v>67.708333333333343</v>
      </c>
      <c r="G125">
        <v>1.3201728926043841</v>
      </c>
    </row>
    <row r="126" spans="1:7" x14ac:dyDescent="0.2">
      <c r="A126">
        <v>99</v>
      </c>
      <c r="B126">
        <v>0.61695439053069157</v>
      </c>
      <c r="C126">
        <v>1.3795945427004905</v>
      </c>
      <c r="D126">
        <v>1.3068036779452001</v>
      </c>
      <c r="F126">
        <v>68.402777777777786</v>
      </c>
      <c r="G126">
        <v>1.3282751471537555</v>
      </c>
    </row>
    <row r="127" spans="1:7" x14ac:dyDescent="0.2">
      <c r="A127">
        <v>100</v>
      </c>
      <c r="B127">
        <v>-2.2709166625862407</v>
      </c>
      <c r="C127">
        <v>0.5545378967193062</v>
      </c>
      <c r="D127">
        <v>0.52527908785016908</v>
      </c>
      <c r="F127">
        <v>69.097222222222229</v>
      </c>
      <c r="G127">
        <v>1.3592930931331151</v>
      </c>
    </row>
    <row r="128" spans="1:7" x14ac:dyDescent="0.2">
      <c r="A128">
        <v>101</v>
      </c>
      <c r="B128">
        <v>0.51946403188436929</v>
      </c>
      <c r="C128">
        <v>-1.3398516876518936</v>
      </c>
      <c r="D128">
        <v>-1.26915775550781</v>
      </c>
      <c r="F128">
        <v>69.791666666666671</v>
      </c>
      <c r="G128">
        <v>1.3893836371301047</v>
      </c>
    </row>
    <row r="129" spans="1:7" x14ac:dyDescent="0.2">
      <c r="A129">
        <v>102</v>
      </c>
      <c r="B129">
        <v>-3.8972452297936839</v>
      </c>
      <c r="C129">
        <v>0.20972101848645641</v>
      </c>
      <c r="D129">
        <v>0.19865561207863794</v>
      </c>
      <c r="F129">
        <v>70.486111111111114</v>
      </c>
      <c r="G129">
        <v>1.4570599695124704</v>
      </c>
    </row>
    <row r="130" spans="1:7" x14ac:dyDescent="0.2">
      <c r="A130">
        <v>103</v>
      </c>
      <c r="B130">
        <v>5.0190016916778806</v>
      </c>
      <c r="C130">
        <v>-1.1975128055209359</v>
      </c>
      <c r="D130">
        <v>-1.1343290294393231</v>
      </c>
      <c r="F130">
        <v>71.180555555555557</v>
      </c>
      <c r="G130">
        <v>1.4746501612318974</v>
      </c>
    </row>
    <row r="131" spans="1:7" x14ac:dyDescent="0.2">
      <c r="A131">
        <v>104</v>
      </c>
      <c r="B131">
        <v>-3.862580772985603</v>
      </c>
      <c r="C131">
        <v>2.0357858539129481</v>
      </c>
      <c r="D131">
        <v>1.9283726914392529</v>
      </c>
      <c r="F131">
        <v>71.875</v>
      </c>
      <c r="G131">
        <v>1.4799167353491935</v>
      </c>
    </row>
    <row r="132" spans="1:7" x14ac:dyDescent="0.2">
      <c r="A132">
        <v>105</v>
      </c>
      <c r="B132">
        <v>-3.7882728090109374</v>
      </c>
      <c r="C132">
        <v>-0.89858709057425301</v>
      </c>
      <c r="D132">
        <v>-0.851175384195069</v>
      </c>
      <c r="F132">
        <v>72.569444444444443</v>
      </c>
      <c r="G132">
        <v>1.5120608050198472</v>
      </c>
    </row>
    <row r="133" spans="1:7" x14ac:dyDescent="0.2">
      <c r="A133">
        <v>106</v>
      </c>
      <c r="B133">
        <v>3.2182601531069981</v>
      </c>
      <c r="C133">
        <v>-0.97410320917194682</v>
      </c>
      <c r="D133">
        <v>-0.92270708316398597</v>
      </c>
      <c r="F133">
        <v>73.263888888888886</v>
      </c>
      <c r="G133">
        <v>1.5632378548125487</v>
      </c>
    </row>
    <row r="134" spans="1:7" x14ac:dyDescent="0.2">
      <c r="A134">
        <v>107</v>
      </c>
      <c r="B134">
        <v>2.7532398642043407</v>
      </c>
      <c r="C134">
        <v>-0.23337173046305049</v>
      </c>
      <c r="D134">
        <v>-0.22105845323263168</v>
      </c>
      <c r="F134">
        <v>73.958333333333343</v>
      </c>
      <c r="G134">
        <v>1.5752476292840976</v>
      </c>
    </row>
    <row r="135" spans="1:7" x14ac:dyDescent="0.2">
      <c r="A135">
        <v>108</v>
      </c>
      <c r="B135">
        <v>-0.51491907830007766</v>
      </c>
      <c r="C135">
        <v>-0.87012082305843541</v>
      </c>
      <c r="D135">
        <v>-0.82421106827785351</v>
      </c>
      <c r="F135">
        <v>74.652777777777786</v>
      </c>
      <c r="G135">
        <v>1.7130121087748451</v>
      </c>
    </row>
    <row r="136" spans="1:7" x14ac:dyDescent="0.2">
      <c r="A136">
        <v>109</v>
      </c>
      <c r="B136">
        <v>2.5830084655108316</v>
      </c>
      <c r="C136">
        <v>0.4868629172270027</v>
      </c>
      <c r="D136">
        <v>0.46117480984085257</v>
      </c>
      <c r="F136">
        <v>75.347222222222229</v>
      </c>
      <c r="G136">
        <v>1.8101887790863302</v>
      </c>
    </row>
    <row r="137" spans="1:7" x14ac:dyDescent="0.2">
      <c r="A137">
        <v>110</v>
      </c>
      <c r="B137">
        <v>-1.2723787532304418</v>
      </c>
      <c r="C137">
        <v>1.1121449826611458</v>
      </c>
      <c r="D137">
        <v>1.0534654268093964</v>
      </c>
      <c r="F137">
        <v>76.041666666666671</v>
      </c>
      <c r="G137">
        <v>1.8519535193189707</v>
      </c>
    </row>
    <row r="138" spans="1:7" x14ac:dyDescent="0.2">
      <c r="A138">
        <v>111</v>
      </c>
      <c r="B138">
        <v>1.0389188686928799</v>
      </c>
      <c r="C138">
        <v>-1.2970095408357831</v>
      </c>
      <c r="D138">
        <v>-1.2285760677020789</v>
      </c>
      <c r="F138">
        <v>76.736111111111114</v>
      </c>
      <c r="G138">
        <v>1.9551601207275044</v>
      </c>
    </row>
    <row r="139" spans="1:7" x14ac:dyDescent="0.2">
      <c r="A139">
        <v>112</v>
      </c>
      <c r="B139">
        <v>0.3255866543408017</v>
      </c>
      <c r="C139">
        <v>0.61521834328637015</v>
      </c>
      <c r="D139">
        <v>0.58275788201673306</v>
      </c>
      <c r="F139">
        <v>77.430555555555557</v>
      </c>
      <c r="G139">
        <v>1.9636320377819911</v>
      </c>
    </row>
    <row r="140" spans="1:7" x14ac:dyDescent="0.2">
      <c r="A140">
        <v>113</v>
      </c>
      <c r="B140">
        <v>-1.1005811430260337</v>
      </c>
      <c r="C140">
        <v>-0.38103112581424758</v>
      </c>
      <c r="D140">
        <v>-0.36092696891289461</v>
      </c>
      <c r="F140">
        <v>78.125</v>
      </c>
      <c r="G140">
        <v>1.9965489332311821</v>
      </c>
    </row>
    <row r="141" spans="1:7" x14ac:dyDescent="0.2">
      <c r="A141">
        <v>114</v>
      </c>
      <c r="B141">
        <v>0.35255665584250417</v>
      </c>
      <c r="C141">
        <v>0.41459375871006299</v>
      </c>
      <c r="D141">
        <v>0.39271875320331573</v>
      </c>
      <c r="F141">
        <v>78.819444444444443</v>
      </c>
      <c r="G141">
        <v>2.1127325139720563</v>
      </c>
    </row>
    <row r="142" spans="1:7" x14ac:dyDescent="0.2">
      <c r="A142">
        <v>115</v>
      </c>
      <c r="B142">
        <v>1.4592253283620649</v>
      </c>
      <c r="C142">
        <v>0.50440670941992627</v>
      </c>
      <c r="D142">
        <v>0.47779294760032909</v>
      </c>
      <c r="F142">
        <v>79.513888888888886</v>
      </c>
      <c r="G142">
        <v>2.1320616401803507</v>
      </c>
    </row>
    <row r="143" spans="1:7" x14ac:dyDescent="0.2">
      <c r="A143">
        <v>116</v>
      </c>
      <c r="B143">
        <v>0.10811422449141306</v>
      </c>
      <c r="C143">
        <v>-0.73335169384992749</v>
      </c>
      <c r="D143">
        <v>-0.69465822101217489</v>
      </c>
      <c r="F143">
        <v>80.208333333333343</v>
      </c>
      <c r="G143">
        <v>2.1528110708148573</v>
      </c>
    </row>
    <row r="144" spans="1:7" x14ac:dyDescent="0.2">
      <c r="A144">
        <v>117</v>
      </c>
      <c r="B144">
        <v>-6.9505150399199023E-2</v>
      </c>
      <c r="C144">
        <v>0.34887561859278937</v>
      </c>
      <c r="D144">
        <v>0.33046806682058782</v>
      </c>
      <c r="F144">
        <v>80.902777777777786</v>
      </c>
      <c r="G144">
        <v>2.1554149374730458</v>
      </c>
    </row>
    <row r="145" spans="1:7" x14ac:dyDescent="0.2">
      <c r="A145">
        <v>118</v>
      </c>
      <c r="B145">
        <v>-0.17687150283920072</v>
      </c>
      <c r="C145">
        <v>-1.5255954974624539</v>
      </c>
      <c r="D145">
        <v>-1.4451012565170704</v>
      </c>
      <c r="F145">
        <v>81.597222222222229</v>
      </c>
      <c r="G145">
        <v>2.1937669383125291</v>
      </c>
    </row>
    <row r="146" spans="1:7" x14ac:dyDescent="0.2">
      <c r="A146">
        <v>119</v>
      </c>
      <c r="B146">
        <v>3.3026615711032408</v>
      </c>
      <c r="C146">
        <v>-0.13597421480472427</v>
      </c>
      <c r="D146">
        <v>-0.12879987453755906</v>
      </c>
      <c r="F146">
        <v>82.291666666666671</v>
      </c>
      <c r="G146">
        <v>2.2441569439350513</v>
      </c>
    </row>
    <row r="147" spans="1:7" x14ac:dyDescent="0.2">
      <c r="A147">
        <v>120</v>
      </c>
      <c r="B147">
        <v>3.3879722977049664</v>
      </c>
      <c r="C147">
        <v>0.19209908191238556</v>
      </c>
      <c r="D147">
        <v>0.1819634530313603</v>
      </c>
      <c r="F147">
        <v>82.986111111111114</v>
      </c>
      <c r="G147">
        <v>2.3109716137805942</v>
      </c>
    </row>
    <row r="148" spans="1:7" x14ac:dyDescent="0.2">
      <c r="A148">
        <v>121</v>
      </c>
      <c r="B148">
        <v>-0.24361107379585767</v>
      </c>
      <c r="C148">
        <v>0.29879393211936833</v>
      </c>
      <c r="D148">
        <v>0.28302881560910087</v>
      </c>
      <c r="F148">
        <v>83.680555555555557</v>
      </c>
      <c r="G148">
        <v>2.3644571963769208</v>
      </c>
    </row>
    <row r="149" spans="1:7" x14ac:dyDescent="0.2">
      <c r="A149">
        <v>122</v>
      </c>
      <c r="B149">
        <v>5.6297582011524461E-2</v>
      </c>
      <c r="C149">
        <v>0.76107388821429944</v>
      </c>
      <c r="D149">
        <v>0.72091772294174861</v>
      </c>
      <c r="F149">
        <v>84.375</v>
      </c>
      <c r="G149">
        <v>2.3878145236429944</v>
      </c>
    </row>
    <row r="150" spans="1:7" x14ac:dyDescent="0.2">
      <c r="A150">
        <v>123</v>
      </c>
      <c r="B150">
        <v>1.3177095424125416</v>
      </c>
      <c r="C150">
        <v>1.2166072527590022</v>
      </c>
      <c r="D150">
        <v>1.1524160057984727</v>
      </c>
      <c r="F150">
        <v>85.069444444444443</v>
      </c>
      <c r="G150">
        <v>2.4047017706743326</v>
      </c>
    </row>
    <row r="151" spans="1:7" x14ac:dyDescent="0.2">
      <c r="A151">
        <v>124</v>
      </c>
      <c r="B151">
        <v>-0.53834894822627</v>
      </c>
      <c r="C151">
        <v>4.1852975467878473E-2</v>
      </c>
      <c r="D151">
        <v>3.9644707616278085E-2</v>
      </c>
      <c r="F151">
        <v>85.763888888888886</v>
      </c>
      <c r="G151">
        <v>2.4711222871909655</v>
      </c>
    </row>
    <row r="152" spans="1:7" x14ac:dyDescent="0.2">
      <c r="A152">
        <v>125</v>
      </c>
      <c r="B152">
        <v>1.1943632324359035</v>
      </c>
      <c r="C152">
        <v>-3.7012013353078244E-2</v>
      </c>
      <c r="D152">
        <v>-3.505916679206527E-2</v>
      </c>
      <c r="F152">
        <v>86.458333333333343</v>
      </c>
      <c r="G152">
        <v>2.5118747000438195</v>
      </c>
    </row>
    <row r="153" spans="1:7" x14ac:dyDescent="0.2">
      <c r="A153">
        <v>126</v>
      </c>
      <c r="B153">
        <v>0.74981674514226238</v>
      </c>
      <c r="C153">
        <v>0.41091498699882134</v>
      </c>
      <c r="D153">
        <v>0.38923408270501048</v>
      </c>
      <c r="F153">
        <v>87.152777777777786</v>
      </c>
      <c r="G153">
        <v>2.5198681337412903</v>
      </c>
    </row>
    <row r="154" spans="1:7" x14ac:dyDescent="0.2">
      <c r="A154">
        <v>127</v>
      </c>
      <c r="B154">
        <v>1.5148399735641105</v>
      </c>
      <c r="C154">
        <v>-0.53099022738103707</v>
      </c>
      <c r="D154">
        <v>-0.50297385254672089</v>
      </c>
      <c r="F154">
        <v>87.847222222222229</v>
      </c>
      <c r="G154">
        <v>2.5257042870557784</v>
      </c>
    </row>
    <row r="155" spans="1:7" x14ac:dyDescent="0.2">
      <c r="A155">
        <v>128</v>
      </c>
      <c r="B155">
        <v>1.0253080915681698</v>
      </c>
      <c r="C155">
        <v>-0.82402462277440636</v>
      </c>
      <c r="D155">
        <v>-0.7805470190184578</v>
      </c>
      <c r="F155">
        <v>88.541666666666671</v>
      </c>
      <c r="G155">
        <v>2.5343167951715437</v>
      </c>
    </row>
    <row r="156" spans="1:7" x14ac:dyDescent="0.2">
      <c r="A156">
        <v>129</v>
      </c>
      <c r="B156">
        <v>1.0195263247400481</v>
      </c>
      <c r="C156">
        <v>-0.95666375755661515</v>
      </c>
      <c r="D156">
        <v>-0.90618778071179407</v>
      </c>
      <c r="F156">
        <v>89.236111111111114</v>
      </c>
      <c r="G156">
        <v>2.6303236664701828</v>
      </c>
    </row>
    <row r="157" spans="1:7" x14ac:dyDescent="0.2">
      <c r="A157">
        <v>130</v>
      </c>
      <c r="B157">
        <v>-0.41079714061406625</v>
      </c>
      <c r="C157">
        <v>0.42604176891417589</v>
      </c>
      <c r="D157">
        <v>0.40356273770517148</v>
      </c>
      <c r="F157">
        <v>89.930555555555557</v>
      </c>
      <c r="G157">
        <v>2.6535892327475388</v>
      </c>
    </row>
    <row r="158" spans="1:7" x14ac:dyDescent="0.2">
      <c r="A158">
        <v>131</v>
      </c>
      <c r="B158">
        <v>1.5744059004619313</v>
      </c>
      <c r="C158">
        <v>0.93746879958188822</v>
      </c>
      <c r="D158">
        <v>0.88800559681428759</v>
      </c>
      <c r="F158">
        <v>90.625</v>
      </c>
      <c r="G158">
        <v>2.664630651168546</v>
      </c>
    </row>
    <row r="159" spans="1:7" x14ac:dyDescent="0.2">
      <c r="A159">
        <v>132</v>
      </c>
      <c r="B159">
        <v>0.18117010673482703</v>
      </c>
      <c r="C159">
        <v>-0.91164286619604717</v>
      </c>
      <c r="D159">
        <v>-0.86354230438278667</v>
      </c>
      <c r="F159">
        <v>91.319444444444443</v>
      </c>
      <c r="G159">
        <v>2.683391280512204</v>
      </c>
    </row>
    <row r="160" spans="1:7" x14ac:dyDescent="0.2">
      <c r="A160">
        <v>133</v>
      </c>
      <c r="B160">
        <v>1.1854382147076752</v>
      </c>
      <c r="C160">
        <v>1.4791924364608708</v>
      </c>
      <c r="D160">
        <v>1.4011465372804424</v>
      </c>
      <c r="F160">
        <v>92.013888888888886</v>
      </c>
      <c r="G160">
        <v>2.7070180675265525</v>
      </c>
    </row>
    <row r="161" spans="1:7" x14ac:dyDescent="0.2">
      <c r="A161">
        <v>134</v>
      </c>
      <c r="B161">
        <v>0.76959499536673293</v>
      </c>
      <c r="C161">
        <v>-1.4094005848098483</v>
      </c>
      <c r="D161">
        <v>-1.3350370785914902</v>
      </c>
      <c r="F161">
        <v>92.708333333333343</v>
      </c>
      <c r="G161">
        <v>2.8438546235537174</v>
      </c>
    </row>
    <row r="162" spans="1:7" x14ac:dyDescent="0.2">
      <c r="A162">
        <v>135</v>
      </c>
      <c r="B162">
        <v>-0.67153896019457249</v>
      </c>
      <c r="C162">
        <v>-1.8965181396406836</v>
      </c>
      <c r="D162">
        <v>-1.7964530907181826</v>
      </c>
      <c r="F162">
        <v>93.402777777777786</v>
      </c>
      <c r="G162">
        <v>2.8609360739223297</v>
      </c>
    </row>
    <row r="163" spans="1:7" x14ac:dyDescent="0.2">
      <c r="A163">
        <v>136</v>
      </c>
      <c r="B163">
        <v>1.1333349539212321</v>
      </c>
      <c r="C163">
        <v>-1.2590815975295166</v>
      </c>
      <c r="D163">
        <v>-1.1926492977160901</v>
      </c>
      <c r="F163">
        <v>94.097222222222229</v>
      </c>
      <c r="G163">
        <v>3.0698713827378343</v>
      </c>
    </row>
    <row r="164" spans="1:7" x14ac:dyDescent="0.2">
      <c r="A164">
        <v>137</v>
      </c>
      <c r="B164">
        <v>0.7748129206810771</v>
      </c>
      <c r="C164">
        <v>1.6130016029619174</v>
      </c>
      <c r="D164">
        <v>1.5278955968875243</v>
      </c>
      <c r="F164">
        <v>94.791666666666671</v>
      </c>
      <c r="G164">
        <v>3.1095108983661892</v>
      </c>
    </row>
    <row r="165" spans="1:7" x14ac:dyDescent="0.2">
      <c r="A165">
        <v>138</v>
      </c>
      <c r="B165">
        <v>1.1557164969514726</v>
      </c>
      <c r="C165">
        <v>0.14494119192764088</v>
      </c>
      <c r="D165">
        <v>0.13729373148000559</v>
      </c>
      <c r="F165">
        <v>95.486111111111114</v>
      </c>
      <c r="G165">
        <v>3.1666873562985165</v>
      </c>
    </row>
    <row r="166" spans="1:7" x14ac:dyDescent="0.2">
      <c r="A166">
        <v>139</v>
      </c>
      <c r="B166">
        <v>0.75309761495024774</v>
      </c>
      <c r="C166">
        <v>1.611359581426673</v>
      </c>
      <c r="D166">
        <v>1.5263402125226933</v>
      </c>
      <c r="F166">
        <v>96.180555555555557</v>
      </c>
      <c r="G166">
        <v>3.3950819422879635</v>
      </c>
    </row>
    <row r="167" spans="1:7" x14ac:dyDescent="0.2">
      <c r="A167">
        <v>140</v>
      </c>
      <c r="B167">
        <v>0.19230159871549579</v>
      </c>
      <c r="C167">
        <v>-0.22993729208072311</v>
      </c>
      <c r="D167">
        <v>-0.21780522442461084</v>
      </c>
      <c r="F167">
        <v>96.875</v>
      </c>
      <c r="G167">
        <v>3.4388141552305238</v>
      </c>
    </row>
    <row r="168" spans="1:7" x14ac:dyDescent="0.2">
      <c r="A168">
        <v>141</v>
      </c>
      <c r="B168">
        <v>0.85933646761890681</v>
      </c>
      <c r="C168">
        <v>0.65272433740094038</v>
      </c>
      <c r="D168">
        <v>0.6182849659076064</v>
      </c>
      <c r="F168">
        <v>97.569444444444443</v>
      </c>
      <c r="G168">
        <v>3.580071379617352</v>
      </c>
    </row>
    <row r="169" spans="1:7" x14ac:dyDescent="0.2">
      <c r="A169">
        <v>142</v>
      </c>
      <c r="B169">
        <v>1.0384633428858319</v>
      </c>
      <c r="C169">
        <v>1.5918603235843509</v>
      </c>
      <c r="D169">
        <v>1.5078697843810531</v>
      </c>
      <c r="F169">
        <v>98.263888888888886</v>
      </c>
      <c r="G169">
        <v>3.8214888861569447</v>
      </c>
    </row>
    <row r="170" spans="1:7" x14ac:dyDescent="0.2">
      <c r="A170">
        <v>143</v>
      </c>
      <c r="B170">
        <v>0.13892106781819102</v>
      </c>
      <c r="C170">
        <v>-7.4470922943758636E-2</v>
      </c>
      <c r="D170">
        <v>-7.0541650456503194E-2</v>
      </c>
      <c r="F170">
        <v>98.958333333333343</v>
      </c>
      <c r="G170">
        <v>4.5018822436456931</v>
      </c>
    </row>
    <row r="171" spans="1:7" ht="17" thickBot="1" x14ac:dyDescent="0.25">
      <c r="A171" s="2">
        <v>144</v>
      </c>
      <c r="B171" s="2">
        <v>0.53799966193641169</v>
      </c>
      <c r="C171" s="2">
        <v>0.11191666083002882</v>
      </c>
      <c r="D171" s="2">
        <v>0.10601165738865834</v>
      </c>
      <c r="F171" s="2">
        <v>99.652777777777786</v>
      </c>
      <c r="G171" s="2">
        <v>5.5867022964527608</v>
      </c>
    </row>
  </sheetData>
  <sortState xmlns:xlrd2="http://schemas.microsoft.com/office/spreadsheetml/2017/richdata2" ref="G28:G171">
    <sortCondition ref="G28"/>
  </sortState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BD3EA-0C4A-0F49-892F-1C249D159ADA}">
  <dimension ref="A1:I170"/>
  <sheetViews>
    <sheetView workbookViewId="0">
      <selection activeCell="B19" sqref="B19"/>
    </sheetView>
  </sheetViews>
  <sheetFormatPr baseColWidth="10" defaultRowHeight="16" x14ac:dyDescent="0.2"/>
  <cols>
    <col min="1" max="1" width="24.1640625" bestFit="1" customWidth="1"/>
    <col min="2" max="2" width="25" bestFit="1" customWidth="1"/>
    <col min="3" max="3" width="13.5" bestFit="1" customWidth="1"/>
    <col min="4" max="4" width="17.5" bestFit="1" customWidth="1"/>
    <col min="5" max="5" width="12.1640625" bestFit="1" customWidth="1"/>
    <col min="6" max="6" width="19.6640625" bestFit="1" customWidth="1"/>
    <col min="7" max="7" width="16.6640625" bestFit="1" customWidth="1"/>
    <col min="8" max="8" width="12.83203125" bestFit="1" customWidth="1"/>
    <col min="9" max="9" width="12.33203125" bestFit="1" customWidth="1"/>
  </cols>
  <sheetData>
    <row r="1" spans="1:9" x14ac:dyDescent="0.2">
      <c r="A1" t="s">
        <v>21</v>
      </c>
    </row>
    <row r="2" spans="1:9" ht="17" thickBot="1" x14ac:dyDescent="0.25"/>
    <row r="3" spans="1:9" x14ac:dyDescent="0.2">
      <c r="A3" s="4" t="s">
        <v>22</v>
      </c>
      <c r="B3" s="4"/>
    </row>
    <row r="4" spans="1:9" x14ac:dyDescent="0.2">
      <c r="A4" t="s">
        <v>23</v>
      </c>
      <c r="B4">
        <v>0.82499682575745481</v>
      </c>
    </row>
    <row r="5" spans="1:9" x14ac:dyDescent="0.2">
      <c r="A5" t="s">
        <v>24</v>
      </c>
      <c r="B5">
        <v>0.68061976250987621</v>
      </c>
    </row>
    <row r="6" spans="1:9" x14ac:dyDescent="0.2">
      <c r="A6" t="s">
        <v>25</v>
      </c>
      <c r="B6">
        <v>0.67377590027794498</v>
      </c>
    </row>
    <row r="7" spans="1:9" x14ac:dyDescent="0.2">
      <c r="A7" t="s">
        <v>26</v>
      </c>
      <c r="B7">
        <v>1.067283923895364</v>
      </c>
    </row>
    <row r="8" spans="1:9" ht="17" thickBot="1" x14ac:dyDescent="0.25">
      <c r="A8" s="2" t="s">
        <v>27</v>
      </c>
      <c r="B8" s="2">
        <v>144</v>
      </c>
    </row>
    <row r="10" spans="1:9" ht="17" thickBot="1" x14ac:dyDescent="0.25">
      <c r="A10" t="s">
        <v>28</v>
      </c>
    </row>
    <row r="11" spans="1:9" x14ac:dyDescent="0.2">
      <c r="A11" s="3"/>
      <c r="B11" s="3" t="s">
        <v>33</v>
      </c>
      <c r="C11" s="3" t="s">
        <v>34</v>
      </c>
      <c r="D11" s="3" t="s">
        <v>35</v>
      </c>
      <c r="E11" s="3" t="s">
        <v>36</v>
      </c>
      <c r="F11" s="3" t="s">
        <v>37</v>
      </c>
    </row>
    <row r="12" spans="1:9" x14ac:dyDescent="0.2">
      <c r="A12" t="s">
        <v>29</v>
      </c>
      <c r="B12">
        <v>3</v>
      </c>
      <c r="C12">
        <v>339.84781891254852</v>
      </c>
      <c r="D12">
        <v>113.28260630418283</v>
      </c>
      <c r="E12">
        <v>99.449658605681279</v>
      </c>
      <c r="F12">
        <v>1.5731236251021655E-34</v>
      </c>
    </row>
    <row r="13" spans="1:9" x14ac:dyDescent="0.2">
      <c r="A13" t="s">
        <v>30</v>
      </c>
      <c r="B13">
        <v>140</v>
      </c>
      <c r="C13">
        <v>159.47329638876792</v>
      </c>
      <c r="D13">
        <v>1.1390949742054852</v>
      </c>
    </row>
    <row r="14" spans="1:9" ht="17" thickBot="1" x14ac:dyDescent="0.25">
      <c r="A14" s="2" t="s">
        <v>31</v>
      </c>
      <c r="B14" s="2">
        <v>143</v>
      </c>
      <c r="C14" s="2">
        <v>499.32111530131647</v>
      </c>
      <c r="D14" s="2"/>
      <c r="E14" s="2"/>
      <c r="F14" s="2"/>
    </row>
    <row r="15" spans="1:9" ht="17" thickBot="1" x14ac:dyDescent="0.25"/>
    <row r="16" spans="1:9" x14ac:dyDescent="0.2">
      <c r="A16" s="3"/>
      <c r="B16" s="3" t="s">
        <v>38</v>
      </c>
      <c r="C16" s="3" t="s">
        <v>26</v>
      </c>
      <c r="D16" s="3" t="s">
        <v>39</v>
      </c>
      <c r="E16" s="3" t="s">
        <v>40</v>
      </c>
      <c r="F16" s="3" t="s">
        <v>41</v>
      </c>
      <c r="G16" s="3" t="s">
        <v>42</v>
      </c>
      <c r="H16" s="3" t="s">
        <v>43</v>
      </c>
      <c r="I16" s="3" t="s">
        <v>44</v>
      </c>
    </row>
    <row r="17" spans="1:9" x14ac:dyDescent="0.2">
      <c r="A17" t="s">
        <v>32</v>
      </c>
      <c r="B17">
        <v>-0.57542787390648842</v>
      </c>
      <c r="C17">
        <v>0.4454845525427315</v>
      </c>
      <c r="D17">
        <v>-1.2916898478792764</v>
      </c>
      <c r="E17">
        <v>0.19859295534837165</v>
      </c>
      <c r="F17">
        <v>-1.4561747655608763</v>
      </c>
      <c r="G17">
        <v>0.30531901774789938</v>
      </c>
      <c r="H17">
        <v>-1.4561747655608763</v>
      </c>
      <c r="I17">
        <v>0.30531901774789938</v>
      </c>
    </row>
    <row r="18" spans="1:9" x14ac:dyDescent="0.2">
      <c r="A18" t="s">
        <v>17</v>
      </c>
      <c r="B18">
        <v>0.81656405806584753</v>
      </c>
      <c r="C18">
        <v>4.8014531034749695E-2</v>
      </c>
      <c r="D18">
        <v>17.0066028026989</v>
      </c>
      <c r="E18">
        <v>7.1351237124429687E-36</v>
      </c>
      <c r="F18">
        <v>0.72163675088600421</v>
      </c>
      <c r="G18">
        <v>0.91149136524569085</v>
      </c>
      <c r="H18">
        <v>0.72163675088600421</v>
      </c>
      <c r="I18">
        <v>0.91149136524569085</v>
      </c>
    </row>
    <row r="19" spans="1:9" x14ac:dyDescent="0.2">
      <c r="A19" t="s">
        <v>18</v>
      </c>
      <c r="B19">
        <v>0.46800366617889699</v>
      </c>
      <c r="C19">
        <v>5.8493780875315218E-2</v>
      </c>
      <c r="D19">
        <v>8.0009132454010636</v>
      </c>
      <c r="E19">
        <v>4.226806857055276E-13</v>
      </c>
      <c r="F19">
        <v>0.35235831912254745</v>
      </c>
      <c r="G19">
        <v>0.58364901323524654</v>
      </c>
      <c r="H19">
        <v>0.35235831912254745</v>
      </c>
      <c r="I19">
        <v>0.58364901323524654</v>
      </c>
    </row>
    <row r="20" spans="1:9" ht="17" thickBot="1" x14ac:dyDescent="0.25">
      <c r="A20" s="2" t="s">
        <v>51</v>
      </c>
      <c r="B20" s="2">
        <v>3.4699620168366296</v>
      </c>
      <c r="C20" s="2">
        <v>1.6354862299045421</v>
      </c>
      <c r="D20" s="2">
        <v>2.1216699678597477</v>
      </c>
      <c r="E20" s="2">
        <v>3.5626877342138041E-2</v>
      </c>
      <c r="F20" s="2">
        <v>0.23651788255588135</v>
      </c>
      <c r="G20" s="2">
        <v>6.7034061511173775</v>
      </c>
      <c r="H20" s="2">
        <v>0.23651788255588135</v>
      </c>
      <c r="I20" s="2">
        <v>6.7034061511173775</v>
      </c>
    </row>
    <row r="24" spans="1:9" x14ac:dyDescent="0.2">
      <c r="A24" t="s">
        <v>45</v>
      </c>
      <c r="F24" t="s">
        <v>48</v>
      </c>
    </row>
    <row r="25" spans="1:9" ht="17" thickBot="1" x14ac:dyDescent="0.25"/>
    <row r="26" spans="1:9" x14ac:dyDescent="0.2">
      <c r="A26" s="3" t="s">
        <v>46</v>
      </c>
      <c r="B26" s="3" t="s">
        <v>50</v>
      </c>
      <c r="C26" s="3" t="s">
        <v>47</v>
      </c>
      <c r="D26" s="3" t="s">
        <v>52</v>
      </c>
      <c r="F26" s="3" t="s">
        <v>49</v>
      </c>
      <c r="G26" s="3" t="s">
        <v>2</v>
      </c>
    </row>
    <row r="27" spans="1:9" x14ac:dyDescent="0.2">
      <c r="A27">
        <v>1</v>
      </c>
      <c r="B27">
        <v>-1.3053242533014768</v>
      </c>
      <c r="C27">
        <v>-1.8178269677124375</v>
      </c>
      <c r="D27">
        <v>-1.7213792953357945</v>
      </c>
      <c r="F27">
        <v>0.34722222222222221</v>
      </c>
      <c r="G27">
        <v>-7.0047284893671877</v>
      </c>
    </row>
    <row r="28" spans="1:9" x14ac:dyDescent="0.2">
      <c r="A28">
        <v>2</v>
      </c>
      <c r="B28">
        <v>2.0832193831419037</v>
      </c>
      <c r="C28">
        <v>1.3555947720886201</v>
      </c>
      <c r="D28">
        <v>1.2836715567462809</v>
      </c>
      <c r="F28">
        <v>1.0416666666666665</v>
      </c>
      <c r="G28">
        <v>-4.6868598995851904</v>
      </c>
    </row>
    <row r="29" spans="1:9" x14ac:dyDescent="0.2">
      <c r="A29">
        <v>3</v>
      </c>
      <c r="B29">
        <v>-0.51930431284800527</v>
      </c>
      <c r="C29">
        <v>-1.3230133796908892</v>
      </c>
      <c r="D29">
        <v>-1.2528188214294302</v>
      </c>
      <c r="F29">
        <v>1.7361111111111112</v>
      </c>
      <c r="G29">
        <v>-4.1526948243374111</v>
      </c>
    </row>
    <row r="30" spans="1:9" x14ac:dyDescent="0.2">
      <c r="A30">
        <v>4</v>
      </c>
      <c r="B30">
        <v>1.0272400433747633</v>
      </c>
      <c r="C30">
        <v>-0.26247478164776528</v>
      </c>
      <c r="D30">
        <v>-0.24854876877793136</v>
      </c>
      <c r="F30">
        <v>2.4305555555555554</v>
      </c>
      <c r="G30">
        <v>-3.6875242113072275</v>
      </c>
    </row>
    <row r="31" spans="1:9" x14ac:dyDescent="0.2">
      <c r="A31">
        <v>5</v>
      </c>
      <c r="B31">
        <v>2.0576689424711283</v>
      </c>
      <c r="C31">
        <v>0.78618568108258913</v>
      </c>
      <c r="D31">
        <v>0.74447336173479051</v>
      </c>
      <c r="F31">
        <v>3.125</v>
      </c>
      <c r="G31">
        <v>-3.3442885744124804</v>
      </c>
    </row>
    <row r="32" spans="1:9" x14ac:dyDescent="0.2">
      <c r="A32">
        <v>6</v>
      </c>
      <c r="B32">
        <v>-0.31925137387999891</v>
      </c>
      <c r="C32">
        <v>-8.6622664114920755E-2</v>
      </c>
      <c r="D32">
        <v>-8.2026762262138106E-2</v>
      </c>
      <c r="F32">
        <v>3.8194444444444446</v>
      </c>
      <c r="G32">
        <v>-3.1231512210139143</v>
      </c>
    </row>
    <row r="33" spans="1:7" x14ac:dyDescent="0.2">
      <c r="A33">
        <v>7</v>
      </c>
      <c r="B33">
        <v>0.21777767776890411</v>
      </c>
      <c r="C33">
        <v>0.17686022568348642</v>
      </c>
      <c r="D33">
        <v>0.16747662790099471</v>
      </c>
      <c r="F33">
        <v>4.5138888888888884</v>
      </c>
      <c r="G33">
        <v>-2.9682787226250409</v>
      </c>
    </row>
    <row r="34" spans="1:7" x14ac:dyDescent="0.2">
      <c r="A34">
        <v>8</v>
      </c>
      <c r="B34">
        <v>1.1098946557643197</v>
      </c>
      <c r="C34">
        <v>-1.9547621376802473</v>
      </c>
      <c r="D34">
        <v>-1.8510491542236862</v>
      </c>
      <c r="F34">
        <v>5.208333333333333</v>
      </c>
      <c r="G34">
        <v>-2.5680570998352561</v>
      </c>
    </row>
    <row r="35" spans="1:7" x14ac:dyDescent="0.2">
      <c r="A35">
        <v>9</v>
      </c>
      <c r="B35">
        <v>1.1327859522662873</v>
      </c>
      <c r="C35">
        <v>0.9992756879140634</v>
      </c>
      <c r="D35">
        <v>0.94625754269248463</v>
      </c>
      <c r="F35">
        <v>5.9027777777777777</v>
      </c>
      <c r="G35">
        <v>-2.5280472836281653</v>
      </c>
    </row>
    <row r="36" spans="1:7" x14ac:dyDescent="0.2">
      <c r="A36">
        <v>10</v>
      </c>
      <c r="B36">
        <v>8.1074224291372565E-2</v>
      </c>
      <c r="C36">
        <v>-0.50521432683786971</v>
      </c>
      <c r="D36">
        <v>-0.47840938514632736</v>
      </c>
      <c r="F36">
        <v>6.5972222222222223</v>
      </c>
      <c r="G36">
        <v>-2.5046976641667626</v>
      </c>
    </row>
    <row r="37" spans="1:7" x14ac:dyDescent="0.2">
      <c r="A37">
        <v>11</v>
      </c>
      <c r="B37">
        <v>0.93577809112907517</v>
      </c>
      <c r="C37">
        <v>-0.19057773719499249</v>
      </c>
      <c r="D37">
        <v>-0.18046633523774511</v>
      </c>
      <c r="F37">
        <v>7.291666666666667</v>
      </c>
      <c r="G37">
        <v>-2.2568118607420633</v>
      </c>
    </row>
    <row r="38" spans="1:7" x14ac:dyDescent="0.2">
      <c r="A38">
        <v>12</v>
      </c>
      <c r="B38">
        <v>0.80388081580693715</v>
      </c>
      <c r="C38">
        <v>0.58550282132316755</v>
      </c>
      <c r="D38">
        <v>0.55443804712321187</v>
      </c>
      <c r="F38">
        <v>7.9861111111111107</v>
      </c>
      <c r="G38">
        <v>-1.9001782009329338</v>
      </c>
    </row>
    <row r="39" spans="1:7" x14ac:dyDescent="0.2">
      <c r="A39">
        <v>13</v>
      </c>
      <c r="B39">
        <v>0.4334906472361959</v>
      </c>
      <c r="C39">
        <v>-0.59309486090611441</v>
      </c>
      <c r="D39">
        <v>-0.56162727909059784</v>
      </c>
      <c r="F39">
        <v>8.6805555555555536</v>
      </c>
      <c r="G39">
        <v>-1.8423176925388944</v>
      </c>
    </row>
    <row r="40" spans="1:7" x14ac:dyDescent="0.2">
      <c r="A40">
        <v>14</v>
      </c>
      <c r="B40">
        <v>-0.37766921949990817</v>
      </c>
      <c r="C40">
        <v>0.37984365933958086</v>
      </c>
      <c r="D40">
        <v>0.3596904558383528</v>
      </c>
      <c r="F40">
        <v>9.3749999999999982</v>
      </c>
      <c r="G40">
        <v>-1.8267949190726551</v>
      </c>
    </row>
    <row r="41" spans="1:7" x14ac:dyDescent="0.2">
      <c r="A41">
        <v>15</v>
      </c>
      <c r="B41">
        <v>1.8798139446147824</v>
      </c>
      <c r="C41">
        <v>0.27299712620007499</v>
      </c>
      <c r="D41">
        <v>0.25851283377006246</v>
      </c>
      <c r="F41">
        <v>10.069444444444443</v>
      </c>
      <c r="G41">
        <v>-1.7163787658669345</v>
      </c>
    </row>
    <row r="42" spans="1:7" x14ac:dyDescent="0.2">
      <c r="A42">
        <v>16</v>
      </c>
      <c r="B42">
        <v>-0.8676556946316043</v>
      </c>
      <c r="C42">
        <v>0.23443647284350422</v>
      </c>
      <c r="D42">
        <v>0.221998076600324</v>
      </c>
      <c r="F42">
        <v>10.763888888888888</v>
      </c>
      <c r="G42">
        <v>-1.7024670003016547</v>
      </c>
    </row>
    <row r="43" spans="1:7" x14ac:dyDescent="0.2">
      <c r="A43">
        <v>17</v>
      </c>
      <c r="B43">
        <v>0.94882269536982311</v>
      </c>
      <c r="C43">
        <v>-0.40570989705692995</v>
      </c>
      <c r="D43">
        <v>-0.38418431958101129</v>
      </c>
      <c r="F43">
        <v>11.458333333333332</v>
      </c>
      <c r="G43">
        <v>-1.4912303020014905</v>
      </c>
    </row>
    <row r="44" spans="1:7" x14ac:dyDescent="0.2">
      <c r="A44">
        <v>18</v>
      </c>
      <c r="B44">
        <v>0.71233885771127137</v>
      </c>
      <c r="C44">
        <v>1.9412503750362675</v>
      </c>
      <c r="D44">
        <v>1.8382542794242944</v>
      </c>
      <c r="F44">
        <v>12.152777777777777</v>
      </c>
      <c r="G44">
        <v>-1.4816122688402813</v>
      </c>
    </row>
    <row r="45" spans="1:7" x14ac:dyDescent="0.2">
      <c r="A45">
        <v>19</v>
      </c>
      <c r="B45">
        <v>-4.2420865165915034E-2</v>
      </c>
      <c r="C45">
        <v>-0.14409853458725305</v>
      </c>
      <c r="D45">
        <v>-0.13645315991701421</v>
      </c>
      <c r="F45">
        <v>12.847222222222221</v>
      </c>
      <c r="G45">
        <v>-1.3850399013585131</v>
      </c>
    </row>
    <row r="46" spans="1:7" x14ac:dyDescent="0.2">
      <c r="A46">
        <v>20</v>
      </c>
      <c r="B46">
        <v>2.602116598815714</v>
      </c>
      <c r="C46">
        <v>-0.19741482814138145</v>
      </c>
      <c r="D46">
        <v>-0.18694067355733349</v>
      </c>
      <c r="F46">
        <v>13.541666666666666</v>
      </c>
      <c r="G46">
        <v>-1.3845334693391671</v>
      </c>
    </row>
    <row r="47" spans="1:7" x14ac:dyDescent="0.2">
      <c r="A47">
        <v>21</v>
      </c>
      <c r="B47">
        <v>-0.29608023899273528</v>
      </c>
      <c r="C47">
        <v>1.1181477646621816</v>
      </c>
      <c r="D47">
        <v>1.0588226742161291</v>
      </c>
      <c r="F47">
        <v>14.236111111111111</v>
      </c>
      <c r="G47">
        <v>-1.3312319193447704</v>
      </c>
    </row>
    <row r="48" spans="1:7" x14ac:dyDescent="0.2">
      <c r="A48">
        <v>22</v>
      </c>
      <c r="B48">
        <v>9.8439380148697464E-2</v>
      </c>
      <c r="C48">
        <v>0.6994682266623159</v>
      </c>
      <c r="D48">
        <v>0.66235683841622051</v>
      </c>
      <c r="F48">
        <v>14.930555555555554</v>
      </c>
      <c r="G48">
        <v>-1.2793531068196276</v>
      </c>
    </row>
    <row r="49" spans="1:7" x14ac:dyDescent="0.2">
      <c r="A49">
        <v>23</v>
      </c>
      <c r="B49">
        <v>-0.37796470716450026</v>
      </c>
      <c r="C49">
        <v>0.14378964607348954</v>
      </c>
      <c r="D49">
        <v>0.13616065996976751</v>
      </c>
      <c r="F49">
        <v>15.624999999999998</v>
      </c>
      <c r="G49">
        <v>-1.1425691586862545</v>
      </c>
    </row>
    <row r="50" spans="1:7" x14ac:dyDescent="0.2">
      <c r="A50">
        <v>24</v>
      </c>
      <c r="B50">
        <v>0.13463689806057777</v>
      </c>
      <c r="C50">
        <v>0.31442639783916199</v>
      </c>
      <c r="D50">
        <v>0.29774401016201058</v>
      </c>
      <c r="F50">
        <v>16.319444444444443</v>
      </c>
      <c r="G50">
        <v>-1.1072210028407516</v>
      </c>
    </row>
    <row r="51" spans="1:7" x14ac:dyDescent="0.2">
      <c r="A51">
        <v>25</v>
      </c>
      <c r="B51">
        <v>-2.0573499655761691</v>
      </c>
      <c r="C51">
        <v>-1.2869386088363113</v>
      </c>
      <c r="D51">
        <v>-1.2186580543509229</v>
      </c>
      <c r="F51">
        <v>17.013888888888886</v>
      </c>
      <c r="G51">
        <v>-1.0801430002995103</v>
      </c>
    </row>
    <row r="52" spans="1:7" x14ac:dyDescent="0.2">
      <c r="A52">
        <v>26</v>
      </c>
      <c r="B52">
        <v>0.99593537680942723</v>
      </c>
      <c r="C52">
        <v>0.95922474391807722</v>
      </c>
      <c r="D52">
        <v>0.90833156460002507</v>
      </c>
      <c r="F52">
        <v>17.708333333333332</v>
      </c>
      <c r="G52">
        <v>-0.94912629185626851</v>
      </c>
    </row>
    <row r="53" spans="1:7" x14ac:dyDescent="0.2">
      <c r="A53">
        <v>27</v>
      </c>
      <c r="B53">
        <v>-1.4948698844431414</v>
      </c>
      <c r="C53">
        <v>-1.4734088381818995</v>
      </c>
      <c r="D53">
        <v>-1.3952348120364704</v>
      </c>
      <c r="F53">
        <v>18.402777777777775</v>
      </c>
      <c r="G53">
        <v>-0.93339874585644023</v>
      </c>
    </row>
    <row r="54" spans="1:7" x14ac:dyDescent="0.2">
      <c r="A54">
        <v>28</v>
      </c>
      <c r="B54">
        <v>-1.1509351329999296</v>
      </c>
      <c r="C54">
        <v>0.20180884114366104</v>
      </c>
      <c r="D54">
        <v>0.19110155528034953</v>
      </c>
      <c r="F54">
        <v>19.097222222222221</v>
      </c>
      <c r="G54">
        <v>-0.8739297602339734</v>
      </c>
    </row>
    <row r="55" spans="1:7" x14ac:dyDescent="0.2">
      <c r="A55">
        <v>29</v>
      </c>
      <c r="B55">
        <v>1.6600608934966714</v>
      </c>
      <c r="C55">
        <v>1.0233303870155326</v>
      </c>
      <c r="D55">
        <v>0.96903598185323092</v>
      </c>
      <c r="F55">
        <v>19.791666666666664</v>
      </c>
      <c r="G55">
        <v>-0.85098504001589137</v>
      </c>
    </row>
    <row r="56" spans="1:7" x14ac:dyDescent="0.2">
      <c r="A56">
        <v>30</v>
      </c>
      <c r="B56">
        <v>-0.1171110787575147</v>
      </c>
      <c r="C56">
        <v>1.2020212605265757</v>
      </c>
      <c r="D56">
        <v>1.1382461296784971</v>
      </c>
      <c r="F56">
        <v>20.486111111111111</v>
      </c>
      <c r="G56">
        <v>-0.84486748191592764</v>
      </c>
    </row>
    <row r="57" spans="1:7" x14ac:dyDescent="0.2">
      <c r="A57">
        <v>31</v>
      </c>
      <c r="B57">
        <v>-1.5545912796833647</v>
      </c>
      <c r="C57">
        <v>0.95253191845629948</v>
      </c>
      <c r="D57">
        <v>0.90199383753258133</v>
      </c>
      <c r="F57">
        <v>21.180555555555554</v>
      </c>
      <c r="G57">
        <v>-0.83998798555617005</v>
      </c>
    </row>
    <row r="58" spans="1:7" x14ac:dyDescent="0.2">
      <c r="A58">
        <v>32</v>
      </c>
      <c r="B58">
        <v>-0.55918177622151533</v>
      </c>
      <c r="C58">
        <v>-0.82535169311765177</v>
      </c>
      <c r="D58">
        <v>-0.781561359325051</v>
      </c>
      <c r="F58">
        <v>21.875</v>
      </c>
      <c r="G58">
        <v>-0.82038765576752415</v>
      </c>
    </row>
    <row r="59" spans="1:7" x14ac:dyDescent="0.2">
      <c r="A59">
        <v>33</v>
      </c>
      <c r="B59">
        <v>1.4749620628688676E-2</v>
      </c>
      <c r="C59">
        <v>0.49794252873519218</v>
      </c>
      <c r="D59">
        <v>0.47152340374317803</v>
      </c>
      <c r="F59">
        <v>22.569444444444443</v>
      </c>
      <c r="G59">
        <v>-0.73047275946122014</v>
      </c>
    </row>
    <row r="60" spans="1:7" x14ac:dyDescent="0.2">
      <c r="A60">
        <v>34</v>
      </c>
      <c r="B60">
        <v>3.0330777393749968</v>
      </c>
      <c r="C60">
        <v>-0.9203452254029405</v>
      </c>
      <c r="D60">
        <v>-0.87151486016483815</v>
      </c>
      <c r="F60">
        <v>23.263888888888886</v>
      </c>
      <c r="G60">
        <v>-0.72114034769675106</v>
      </c>
    </row>
    <row r="61" spans="1:7" x14ac:dyDescent="0.2">
      <c r="A61">
        <v>35</v>
      </c>
      <c r="B61">
        <v>1.4873856690550391</v>
      </c>
      <c r="C61">
        <v>-1.0407431728200465</v>
      </c>
      <c r="D61">
        <v>-0.98552490488627775</v>
      </c>
      <c r="F61">
        <v>23.958333333333332</v>
      </c>
      <c r="G61">
        <v>-0.70844610563042631</v>
      </c>
    </row>
    <row r="62" spans="1:7" x14ac:dyDescent="0.2">
      <c r="A62">
        <v>36</v>
      </c>
      <c r="B62">
        <v>0.49413890869234273</v>
      </c>
      <c r="C62">
        <v>0.31495680152923661</v>
      </c>
      <c r="D62">
        <v>0.29824627244906043</v>
      </c>
      <c r="F62">
        <v>24.652777777777775</v>
      </c>
      <c r="G62">
        <v>-0.63980558944311527</v>
      </c>
    </row>
    <row r="63" spans="1:7" x14ac:dyDescent="0.2">
      <c r="A63">
        <v>37</v>
      </c>
      <c r="B63">
        <v>1.7236974947543922</v>
      </c>
      <c r="C63">
        <v>1.6713844475335713</v>
      </c>
      <c r="D63">
        <v>1.5827065136738978</v>
      </c>
      <c r="F63">
        <v>25.347222222222221</v>
      </c>
      <c r="G63">
        <v>-0.63321922178810008</v>
      </c>
    </row>
    <row r="64" spans="1:7" x14ac:dyDescent="0.2">
      <c r="A64">
        <v>38</v>
      </c>
      <c r="B64">
        <v>3.0468530132377061</v>
      </c>
      <c r="C64">
        <v>6.2657885128483137E-2</v>
      </c>
      <c r="D64">
        <v>5.9333472363119623E-2</v>
      </c>
      <c r="F64">
        <v>26.041666666666664</v>
      </c>
      <c r="G64">
        <v>-0.62523746935851443</v>
      </c>
    </row>
    <row r="65" spans="1:7" x14ac:dyDescent="0.2">
      <c r="A65">
        <v>39</v>
      </c>
      <c r="B65">
        <v>2.3738391213504579</v>
      </c>
      <c r="C65">
        <v>-0.79859149206636038</v>
      </c>
      <c r="D65">
        <v>-0.75622096288089224</v>
      </c>
      <c r="F65">
        <v>26.736111111111111</v>
      </c>
      <c r="G65">
        <v>-0.60205936122706527</v>
      </c>
    </row>
    <row r="66" spans="1:7" x14ac:dyDescent="0.2">
      <c r="A66">
        <v>40</v>
      </c>
      <c r="B66">
        <v>-0.46653318046048486</v>
      </c>
      <c r="C66">
        <v>0.86067723146870256</v>
      </c>
      <c r="D66">
        <v>0.81501264561035203</v>
      </c>
      <c r="F66">
        <v>27.430555555555554</v>
      </c>
      <c r="G66">
        <v>-0.49649597275839152</v>
      </c>
    </row>
    <row r="67" spans="1:7" x14ac:dyDescent="0.2">
      <c r="A67">
        <v>41</v>
      </c>
      <c r="B67">
        <v>-1.0942179642362539</v>
      </c>
      <c r="C67">
        <v>1.3867053574993249</v>
      </c>
      <c r="D67">
        <v>1.3131315210569405</v>
      </c>
      <c r="F67">
        <v>28.125</v>
      </c>
      <c r="G67">
        <v>-0.45287219230992509</v>
      </c>
    </row>
    <row r="68" spans="1:7" x14ac:dyDescent="0.2">
      <c r="A68">
        <v>42</v>
      </c>
      <c r="B68">
        <v>-0.63080430591514269</v>
      </c>
      <c r="C68">
        <v>-0.30259443994129753</v>
      </c>
      <c r="D68">
        <v>-0.28653981542267354</v>
      </c>
      <c r="F68">
        <v>28.819444444444443</v>
      </c>
      <c r="G68">
        <v>-0.44945692130845749</v>
      </c>
    </row>
    <row r="69" spans="1:7" x14ac:dyDescent="0.2">
      <c r="A69">
        <v>43</v>
      </c>
      <c r="B69">
        <v>2.3280338911354632</v>
      </c>
      <c r="C69">
        <v>0.53290218278686652</v>
      </c>
      <c r="D69">
        <v>0.50462821829677862</v>
      </c>
      <c r="F69">
        <v>29.513888888888886</v>
      </c>
      <c r="G69">
        <v>-0.42414010254649709</v>
      </c>
    </row>
    <row r="70" spans="1:7" x14ac:dyDescent="0.2">
      <c r="A70">
        <v>44</v>
      </c>
      <c r="B70">
        <v>0.15377556074967835</v>
      </c>
      <c r="C70">
        <v>-0.60323248205813584</v>
      </c>
      <c r="D70">
        <v>-0.57122703278828224</v>
      </c>
      <c r="F70">
        <v>30.208333333333332</v>
      </c>
      <c r="G70">
        <v>-0.40587403799491967</v>
      </c>
    </row>
    <row r="71" spans="1:7" x14ac:dyDescent="0.2">
      <c r="A71">
        <v>45</v>
      </c>
      <c r="B71">
        <v>1.7776979747442945</v>
      </c>
      <c r="C71">
        <v>0.74800631231148396</v>
      </c>
      <c r="D71">
        <v>0.70831965949641174</v>
      </c>
      <c r="F71">
        <v>30.902777777777775</v>
      </c>
      <c r="G71">
        <v>-0.38364685529762182</v>
      </c>
    </row>
    <row r="72" spans="1:7" x14ac:dyDescent="0.2">
      <c r="A72">
        <v>46</v>
      </c>
      <c r="B72">
        <v>0.17723194724371061</v>
      </c>
      <c r="C72">
        <v>0.14471915108761485</v>
      </c>
      <c r="D72">
        <v>0.13704084863163976</v>
      </c>
      <c r="F72">
        <v>31.597222222222221</v>
      </c>
      <c r="G72">
        <v>-0.34952011853591453</v>
      </c>
    </row>
    <row r="73" spans="1:7" x14ac:dyDescent="0.2">
      <c r="A73">
        <v>47</v>
      </c>
      <c r="B73">
        <v>1.0672140797620586</v>
      </c>
      <c r="C73">
        <v>-1.4508609350596804</v>
      </c>
      <c r="D73">
        <v>-1.3738832234214835</v>
      </c>
      <c r="F73">
        <v>32.291666666666664</v>
      </c>
      <c r="G73">
        <v>-0.32059917407416511</v>
      </c>
    </row>
    <row r="74" spans="1:7" x14ac:dyDescent="0.2">
      <c r="A74">
        <v>48</v>
      </c>
      <c r="B74">
        <v>1.1835962834556977</v>
      </c>
      <c r="C74">
        <v>0.62659249563063257</v>
      </c>
      <c r="D74">
        <v>0.59334764405474472</v>
      </c>
      <c r="F74">
        <v>32.986111111111107</v>
      </c>
      <c r="G74">
        <v>-0.25809067214290327</v>
      </c>
    </row>
    <row r="75" spans="1:7" x14ac:dyDescent="0.2">
      <c r="A75">
        <v>49</v>
      </c>
      <c r="B75">
        <v>-0.11830221219940695</v>
      </c>
      <c r="C75">
        <v>-0.75562754803456644</v>
      </c>
      <c r="D75">
        <v>-0.71553653855674215</v>
      </c>
      <c r="F75">
        <v>33.68055555555555</v>
      </c>
      <c r="G75">
        <v>-0.23417506109101072</v>
      </c>
    </row>
    <row r="76" spans="1:7" x14ac:dyDescent="0.2">
      <c r="A76">
        <v>50</v>
      </c>
      <c r="B76">
        <v>0.98765562383521499</v>
      </c>
      <c r="C76">
        <v>-0.20852019497134033</v>
      </c>
      <c r="D76">
        <v>-0.19745682766206463</v>
      </c>
      <c r="F76">
        <v>34.375</v>
      </c>
      <c r="G76">
        <v>-0.18651939975316809</v>
      </c>
    </row>
    <row r="77" spans="1:7" x14ac:dyDescent="0.2">
      <c r="A77">
        <v>51</v>
      </c>
      <c r="B77">
        <v>0.55918292034135475</v>
      </c>
      <c r="C77">
        <v>0.56605796462383351</v>
      </c>
      <c r="D77">
        <v>0.53602486791665271</v>
      </c>
      <c r="F77">
        <v>35.069444444444443</v>
      </c>
      <c r="G77">
        <v>-0.16023377056929605</v>
      </c>
    </row>
    <row r="78" spans="1:7" x14ac:dyDescent="0.2">
      <c r="A78">
        <v>52</v>
      </c>
      <c r="B78">
        <v>-0.19774987049026271</v>
      </c>
      <c r="C78">
        <v>-0.88239312980924756</v>
      </c>
      <c r="D78">
        <v>-0.83557637276754781</v>
      </c>
      <c r="F78">
        <v>35.763888888888886</v>
      </c>
      <c r="G78">
        <v>-0.15960421366991845</v>
      </c>
    </row>
    <row r="79" spans="1:7" x14ac:dyDescent="0.2">
      <c r="A79">
        <v>53</v>
      </c>
      <c r="B79">
        <v>0.4678799298461237</v>
      </c>
      <c r="C79">
        <v>0.82542807851357669</v>
      </c>
      <c r="D79">
        <v>0.78163369197350807</v>
      </c>
      <c r="F79">
        <v>36.458333333333329</v>
      </c>
      <c r="G79">
        <v>-0.12574664360828455</v>
      </c>
    </row>
    <row r="80" spans="1:7" x14ac:dyDescent="0.2">
      <c r="A80">
        <v>54</v>
      </c>
      <c r="B80">
        <v>-1.9626038079837316E-2</v>
      </c>
      <c r="C80">
        <v>-0.32989408045607721</v>
      </c>
      <c r="D80">
        <v>-0.31239103052010836</v>
      </c>
      <c r="F80">
        <v>37.152777777777779</v>
      </c>
      <c r="G80">
        <v>-3.7635693365227305E-2</v>
      </c>
    </row>
    <row r="81" spans="1:7" x14ac:dyDescent="0.2">
      <c r="A81">
        <v>55</v>
      </c>
      <c r="B81">
        <v>0.8065271263825865</v>
      </c>
      <c r="C81">
        <v>1.3872398119299425</v>
      </c>
      <c r="D81">
        <v>1.313637619166115</v>
      </c>
      <c r="F81">
        <v>37.847222222222221</v>
      </c>
      <c r="G81">
        <v>-2.8872892422191813E-2</v>
      </c>
    </row>
    <row r="82" spans="1:7" x14ac:dyDescent="0.2">
      <c r="A82">
        <v>56</v>
      </c>
      <c r="B82">
        <v>-4.7077722325068461E-3</v>
      </c>
      <c r="C82">
        <v>-0.70373833339791947</v>
      </c>
      <c r="D82">
        <v>-0.66640038791465916</v>
      </c>
      <c r="F82">
        <v>38.541666666666664</v>
      </c>
      <c r="G82">
        <v>-2.1093949631446327E-2</v>
      </c>
    </row>
    <row r="83" spans="1:7" x14ac:dyDescent="0.2">
      <c r="A83">
        <v>57</v>
      </c>
      <c r="B83">
        <v>-0.6088273077530556</v>
      </c>
      <c r="C83">
        <v>-0.53374185093319892</v>
      </c>
      <c r="D83">
        <v>-0.50542333652734839</v>
      </c>
      <c r="F83">
        <v>39.236111111111107</v>
      </c>
      <c r="G83">
        <v>2.1744398396726858E-3</v>
      </c>
    </row>
    <row r="84" spans="1:7" x14ac:dyDescent="0.2">
      <c r="A84">
        <v>58</v>
      </c>
      <c r="B84">
        <v>0.14011579422779696</v>
      </c>
      <c r="C84">
        <v>-1.6313460962292874</v>
      </c>
      <c r="D84">
        <v>-1.544792460148052</v>
      </c>
      <c r="F84">
        <v>39.93055555555555</v>
      </c>
      <c r="G84">
        <v>1.3361896540353232E-2</v>
      </c>
    </row>
    <row r="85" spans="1:7" x14ac:dyDescent="0.2">
      <c r="A85">
        <v>59</v>
      </c>
      <c r="B85">
        <v>0.56097014961950387</v>
      </c>
      <c r="C85">
        <v>1.9101521375714616</v>
      </c>
      <c r="D85">
        <v>1.8088060079198192</v>
      </c>
      <c r="F85">
        <v>40.625</v>
      </c>
      <c r="G85">
        <v>1.5244628300109645E-2</v>
      </c>
    </row>
    <row r="86" spans="1:7" x14ac:dyDescent="0.2">
      <c r="A86">
        <v>60</v>
      </c>
      <c r="B86">
        <v>5.9115502889810156E-2</v>
      </c>
      <c r="C86">
        <v>1.5041223519227387</v>
      </c>
      <c r="D86">
        <v>1.4243187719399939</v>
      </c>
      <c r="F86">
        <v>41.319444444444443</v>
      </c>
      <c r="G86">
        <v>4.5162099813618559E-2</v>
      </c>
    </row>
    <row r="87" spans="1:7" x14ac:dyDescent="0.2">
      <c r="A87">
        <v>61</v>
      </c>
      <c r="B87">
        <v>-0.10113219529986728</v>
      </c>
      <c r="C87">
        <v>0.27163803719116497</v>
      </c>
      <c r="D87">
        <v>0.25722585336873183</v>
      </c>
      <c r="F87">
        <v>42.013888888888886</v>
      </c>
      <c r="G87">
        <v>5.5182858323510636E-2</v>
      </c>
    </row>
    <row r="88" spans="1:7" x14ac:dyDescent="0.2">
      <c r="A88">
        <v>62</v>
      </c>
      <c r="B88">
        <v>1.0587209515179918</v>
      </c>
      <c r="C88">
        <v>0.26955419563576366</v>
      </c>
      <c r="D88">
        <v>0.25525257330856083</v>
      </c>
      <c r="F88">
        <v>42.708333333333329</v>
      </c>
      <c r="G88">
        <v>6.2862567183433013E-2</v>
      </c>
    </row>
    <row r="89" spans="1:7" x14ac:dyDescent="0.2">
      <c r="A89">
        <v>63</v>
      </c>
      <c r="B89">
        <v>0.53991345395539159</v>
      </c>
      <c r="C89">
        <v>-0.52655155741503834</v>
      </c>
      <c r="D89">
        <v>-0.49861453535463596</v>
      </c>
      <c r="F89">
        <v>43.402777777777779</v>
      </c>
      <c r="G89">
        <v>6.4450144874432388E-2</v>
      </c>
    </row>
    <row r="90" spans="1:7" x14ac:dyDescent="0.2">
      <c r="A90">
        <v>64</v>
      </c>
      <c r="B90">
        <v>3.8998215616841692E-2</v>
      </c>
      <c r="C90">
        <v>6.1638841967768671E-3</v>
      </c>
      <c r="D90">
        <v>5.8368496142024787E-3</v>
      </c>
      <c r="F90">
        <v>44.097222222222221</v>
      </c>
      <c r="G90">
        <v>0.17050584189129772</v>
      </c>
    </row>
    <row r="91" spans="1:7" x14ac:dyDescent="0.2">
      <c r="A91">
        <v>65</v>
      </c>
      <c r="B91">
        <v>-0.46432286755652219</v>
      </c>
      <c r="C91">
        <v>-2.063724416071643</v>
      </c>
      <c r="D91">
        <v>-1.9542302673477787</v>
      </c>
      <c r="F91">
        <v>44.791666666666664</v>
      </c>
      <c r="G91">
        <v>0.20128346879376346</v>
      </c>
    </row>
    <row r="92" spans="1:7" x14ac:dyDescent="0.2">
      <c r="A92">
        <v>66</v>
      </c>
      <c r="B92">
        <v>-0.9737717857113144</v>
      </c>
      <c r="C92">
        <v>0.12278674569542303</v>
      </c>
      <c r="D92">
        <v>0.11627210154536456</v>
      </c>
      <c r="F92">
        <v>45.486111111111107</v>
      </c>
      <c r="G92">
        <v>0.25176219913533959</v>
      </c>
    </row>
    <row r="93" spans="1:7" x14ac:dyDescent="0.2">
      <c r="A93">
        <v>67</v>
      </c>
      <c r="B93">
        <v>0.14268560107591799</v>
      </c>
      <c r="C93">
        <v>-2.6473832652426807</v>
      </c>
      <c r="D93">
        <v>-2.5069221771651686</v>
      </c>
      <c r="F93">
        <v>46.18055555555555</v>
      </c>
      <c r="G93">
        <v>0.27937046819359035</v>
      </c>
    </row>
    <row r="94" spans="1:7" x14ac:dyDescent="0.2">
      <c r="A94">
        <v>68</v>
      </c>
      <c r="B94">
        <v>1.0470887517998766</v>
      </c>
      <c r="C94">
        <v>-2.3264418586195044</v>
      </c>
      <c r="D94">
        <v>-2.203008822269624</v>
      </c>
      <c r="F94">
        <v>46.875</v>
      </c>
      <c r="G94">
        <v>0.29248739326307094</v>
      </c>
    </row>
    <row r="95" spans="1:7" x14ac:dyDescent="0.2">
      <c r="A95">
        <v>69</v>
      </c>
      <c r="B95">
        <v>0.40924900393518981</v>
      </c>
      <c r="C95">
        <v>0.91092388866919427</v>
      </c>
      <c r="D95">
        <v>0.86259338728765567</v>
      </c>
      <c r="F95">
        <v>47.569444444444443</v>
      </c>
      <c r="G95">
        <v>0.32195109833132546</v>
      </c>
    </row>
    <row r="96" spans="1:7" x14ac:dyDescent="0.2">
      <c r="A96">
        <v>70</v>
      </c>
      <c r="B96">
        <v>0.24798965261490991</v>
      </c>
      <c r="C96">
        <v>-1.08797763817108</v>
      </c>
      <c r="D96">
        <v>-1.0302532712961148</v>
      </c>
      <c r="F96">
        <v>48.263888888888886</v>
      </c>
      <c r="G96">
        <v>0.3416951439283733</v>
      </c>
    </row>
    <row r="97" spans="1:7" x14ac:dyDescent="0.2">
      <c r="A97">
        <v>71</v>
      </c>
      <c r="B97">
        <v>0.50939386840133172</v>
      </c>
      <c r="C97">
        <v>0.79790590608108847</v>
      </c>
      <c r="D97">
        <v>0.7555717517396886</v>
      </c>
      <c r="F97">
        <v>48.958333333333329</v>
      </c>
      <c r="G97">
        <v>0.3941440510082177</v>
      </c>
    </row>
    <row r="98" spans="1:7" x14ac:dyDescent="0.2">
      <c r="A98">
        <v>72</v>
      </c>
      <c r="B98">
        <v>0.86295390237997727</v>
      </c>
      <c r="C98">
        <v>-6.3653469821628561E-2</v>
      </c>
      <c r="D98">
        <v>-6.0276234742583278E-2</v>
      </c>
      <c r="F98">
        <v>49.652777777777779</v>
      </c>
      <c r="G98">
        <v>0.39463790345239053</v>
      </c>
    </row>
    <row r="99" spans="1:7" x14ac:dyDescent="0.2">
      <c r="A99">
        <v>73</v>
      </c>
      <c r="B99">
        <v>1.1549895616063464</v>
      </c>
      <c r="C99">
        <v>-1.1760835112377928</v>
      </c>
      <c r="D99">
        <v>-1.1136845485234392</v>
      </c>
      <c r="F99">
        <v>50.347222222222221</v>
      </c>
      <c r="G99">
        <v>0.44664249623499269</v>
      </c>
    </row>
    <row r="100" spans="1:7" x14ac:dyDescent="0.2">
      <c r="A100">
        <v>74</v>
      </c>
      <c r="B100">
        <v>-0.98047137406123275</v>
      </c>
      <c r="C100">
        <v>-3.1722234502761784</v>
      </c>
      <c r="D100">
        <v>-3.0039161396949328</v>
      </c>
      <c r="F100">
        <v>51.041666666666664</v>
      </c>
      <c r="G100">
        <v>0.44906329589973976</v>
      </c>
    </row>
    <row r="101" spans="1:7" x14ac:dyDescent="0.2">
      <c r="A101">
        <v>75</v>
      </c>
      <c r="B101">
        <v>-7.9182926660274591</v>
      </c>
      <c r="C101">
        <v>0.91356417666027134</v>
      </c>
      <c r="D101">
        <v>0.8650935906415993</v>
      </c>
      <c r="F101">
        <v>51.736111111111107</v>
      </c>
      <c r="G101">
        <v>0.51269214936388086</v>
      </c>
    </row>
    <row r="102" spans="1:7" x14ac:dyDescent="0.2">
      <c r="A102">
        <v>76</v>
      </c>
      <c r="B102">
        <v>5.2889586603300831</v>
      </c>
      <c r="C102">
        <v>-0.78707641668438999</v>
      </c>
      <c r="D102">
        <v>-0.74531683795656101</v>
      </c>
      <c r="F102">
        <v>52.43055555555555</v>
      </c>
      <c r="G102">
        <v>0.54311279831289316</v>
      </c>
    </row>
    <row r="103" spans="1:7" x14ac:dyDescent="0.2">
      <c r="A103">
        <v>77</v>
      </c>
      <c r="B103">
        <v>2.1614476251099672</v>
      </c>
      <c r="C103">
        <v>0.54557044241658526</v>
      </c>
      <c r="D103">
        <v>0.51662434346262875</v>
      </c>
      <c r="F103">
        <v>53.125</v>
      </c>
      <c r="G103">
        <v>0.64991632276644051</v>
      </c>
    </row>
    <row r="104" spans="1:7" x14ac:dyDescent="0.2">
      <c r="A104">
        <v>78</v>
      </c>
      <c r="B104">
        <v>1.0323274737222821</v>
      </c>
      <c r="C104">
        <v>0.42473249579018835</v>
      </c>
      <c r="D104">
        <v>0.4021976443828314</v>
      </c>
      <c r="F104">
        <v>53.819444444444443</v>
      </c>
      <c r="G104">
        <v>0.74520035393408268</v>
      </c>
    </row>
    <row r="105" spans="1:7" x14ac:dyDescent="0.2">
      <c r="A105">
        <v>79</v>
      </c>
      <c r="B105">
        <v>2.3746459667704984</v>
      </c>
      <c r="C105">
        <v>-2.8275181590804235</v>
      </c>
      <c r="D105">
        <v>-2.6774997305447448</v>
      </c>
      <c r="F105">
        <v>54.513888888888886</v>
      </c>
      <c r="G105">
        <v>0.76476526172699799</v>
      </c>
    </row>
    <row r="106" spans="1:7" x14ac:dyDescent="0.2">
      <c r="A106">
        <v>80</v>
      </c>
      <c r="B106">
        <v>0.43825446777020594</v>
      </c>
      <c r="C106">
        <v>1.0363956934616914</v>
      </c>
      <c r="D106">
        <v>0.9814080878914293</v>
      </c>
      <c r="F106">
        <v>55.208333333333329</v>
      </c>
      <c r="G106">
        <v>0.76715041455256716</v>
      </c>
    </row>
    <row r="107" spans="1:7" x14ac:dyDescent="0.2">
      <c r="A107">
        <v>81</v>
      </c>
      <c r="B107">
        <v>-0.23630030985107153</v>
      </c>
      <c r="C107">
        <v>-8.4298864223093573E-2</v>
      </c>
      <c r="D107">
        <v>-7.9826255232952226E-2</v>
      </c>
      <c r="F107">
        <v>55.902777777777779</v>
      </c>
      <c r="G107">
        <v>0.77913542886387466</v>
      </c>
    </row>
    <row r="108" spans="1:7" x14ac:dyDescent="0.2">
      <c r="A108">
        <v>82</v>
      </c>
      <c r="B108">
        <v>0.41984720136582643</v>
      </c>
      <c r="C108">
        <v>-2.3200254022987603</v>
      </c>
      <c r="D108">
        <v>-2.1969328011432268</v>
      </c>
      <c r="F108">
        <v>56.597222222222221</v>
      </c>
      <c r="G108">
        <v>0.79790760681101336</v>
      </c>
    </row>
    <row r="109" spans="1:7" x14ac:dyDescent="0.2">
      <c r="A109">
        <v>83</v>
      </c>
      <c r="B109">
        <v>3.1071546594594888</v>
      </c>
      <c r="C109">
        <v>2.4795476369932721</v>
      </c>
      <c r="D109">
        <v>2.3479913324699928</v>
      </c>
      <c r="F109">
        <v>57.291666666666664</v>
      </c>
      <c r="G109">
        <v>0.79930043255834871</v>
      </c>
    </row>
    <row r="110" spans="1:7" x14ac:dyDescent="0.2">
      <c r="A110">
        <v>84</v>
      </c>
      <c r="B110">
        <v>1.3843382126028527</v>
      </c>
      <c r="C110">
        <v>0.46761530671611795</v>
      </c>
      <c r="D110">
        <v>0.44280524024581236</v>
      </c>
      <c r="F110">
        <v>57.986111111111107</v>
      </c>
      <c r="G110">
        <v>0.80909571022157933</v>
      </c>
    </row>
    <row r="111" spans="1:7" x14ac:dyDescent="0.2">
      <c r="A111">
        <v>85</v>
      </c>
      <c r="B111">
        <v>-0.18774561191957673</v>
      </c>
      <c r="C111">
        <v>-0.53339473577717433</v>
      </c>
      <c r="D111">
        <v>-0.50509463811254285</v>
      </c>
      <c r="F111">
        <v>58.68055555555555</v>
      </c>
      <c r="G111">
        <v>0.8173714702258239</v>
      </c>
    </row>
    <row r="112" spans="1:7" x14ac:dyDescent="0.2">
      <c r="A112">
        <v>86</v>
      </c>
      <c r="B112">
        <v>-0.78907857756782451</v>
      </c>
      <c r="C112">
        <v>0.76020568514563269</v>
      </c>
      <c r="D112">
        <v>0.7198717753940056</v>
      </c>
      <c r="F112">
        <v>59.375</v>
      </c>
      <c r="G112">
        <v>0.8220675256694463</v>
      </c>
    </row>
    <row r="113" spans="1:7" x14ac:dyDescent="0.2">
      <c r="A113">
        <v>87</v>
      </c>
      <c r="B113">
        <v>0.7788436912530865</v>
      </c>
      <c r="C113">
        <v>1.3765712462199593</v>
      </c>
      <c r="D113">
        <v>1.3035350910100909</v>
      </c>
      <c r="F113">
        <v>60.069444444444443</v>
      </c>
      <c r="G113">
        <v>0.94080499762717185</v>
      </c>
    </row>
    <row r="114" spans="1:7" x14ac:dyDescent="0.2">
      <c r="A114">
        <v>88</v>
      </c>
      <c r="B114">
        <v>0.82422020059773582</v>
      </c>
      <c r="C114">
        <v>1.4867514131828585</v>
      </c>
      <c r="D114">
        <v>1.4078694757096684</v>
      </c>
      <c r="F114">
        <v>60.763888888888886</v>
      </c>
      <c r="G114">
        <v>0.98384974618307341</v>
      </c>
    </row>
    <row r="115" spans="1:7" x14ac:dyDescent="0.2">
      <c r="A115">
        <v>89</v>
      </c>
      <c r="B115">
        <v>0.76257037900188562</v>
      </c>
      <c r="C115">
        <v>-0.51080817986654603</v>
      </c>
      <c r="D115">
        <v>-0.48370644749370373</v>
      </c>
      <c r="F115">
        <v>61.458333333333329</v>
      </c>
      <c r="G115">
        <v>1.084910181769061</v>
      </c>
    </row>
    <row r="116" spans="1:7" x14ac:dyDescent="0.2">
      <c r="A116">
        <v>90</v>
      </c>
      <c r="B116">
        <v>1.0333593731815001</v>
      </c>
      <c r="C116">
        <v>0.16015262149623766</v>
      </c>
      <c r="D116">
        <v>0.1516554719640314</v>
      </c>
      <c r="F116">
        <v>62.152777777777771</v>
      </c>
      <c r="G116">
        <v>1.088562294937061</v>
      </c>
    </row>
    <row r="117" spans="1:7" x14ac:dyDescent="0.2">
      <c r="A117">
        <v>91</v>
      </c>
      <c r="B117">
        <v>1.1973071126659733</v>
      </c>
      <c r="C117">
        <v>-0.10874481772891231</v>
      </c>
      <c r="D117">
        <v>-0.10297519017950134</v>
      </c>
      <c r="F117">
        <v>62.847222222222221</v>
      </c>
      <c r="G117">
        <v>1.1252408849651883</v>
      </c>
    </row>
    <row r="118" spans="1:7" x14ac:dyDescent="0.2">
      <c r="A118">
        <v>92</v>
      </c>
      <c r="B118">
        <v>0.57203000682728877</v>
      </c>
      <c r="C118">
        <v>0.90788672852190477</v>
      </c>
      <c r="D118">
        <v>0.85971736845471791</v>
      </c>
      <c r="F118">
        <v>63.541666666666664</v>
      </c>
      <c r="G118">
        <v>1.1573512190828252</v>
      </c>
    </row>
    <row r="119" spans="1:7" x14ac:dyDescent="0.2">
      <c r="A119">
        <v>93</v>
      </c>
      <c r="B119">
        <v>-0.54266175731397515</v>
      </c>
      <c r="C119">
        <v>-0.78857016203079522</v>
      </c>
      <c r="D119">
        <v>-0.7467313302913523</v>
      </c>
      <c r="F119">
        <v>64.236111111111114</v>
      </c>
      <c r="G119">
        <v>1.1607317321410837</v>
      </c>
    </row>
    <row r="120" spans="1:7" x14ac:dyDescent="0.2">
      <c r="A120">
        <v>94</v>
      </c>
      <c r="B120">
        <v>0.83727668156691371</v>
      </c>
      <c r="C120">
        <v>0.87573542720793141</v>
      </c>
      <c r="D120">
        <v>0.82927190506189441</v>
      </c>
      <c r="F120">
        <v>64.930555555555557</v>
      </c>
      <c r="G120">
        <v>1.1935119946777377</v>
      </c>
    </row>
    <row r="121" spans="1:7" x14ac:dyDescent="0.2">
      <c r="A121">
        <v>95</v>
      </c>
      <c r="B121">
        <v>0.59713788631469011</v>
      </c>
      <c r="C121">
        <v>-0.25544274238631681</v>
      </c>
      <c r="D121">
        <v>-0.24188982543313184</v>
      </c>
      <c r="F121">
        <v>65.625</v>
      </c>
      <c r="G121">
        <v>1.2933080083597004</v>
      </c>
    </row>
    <row r="122" spans="1:7" x14ac:dyDescent="0.2">
      <c r="A122">
        <v>96</v>
      </c>
      <c r="B122">
        <v>1.0830632755110583</v>
      </c>
      <c r="C122">
        <v>0.27622981762205678</v>
      </c>
      <c r="D122">
        <v>0.26157400965800282</v>
      </c>
      <c r="F122">
        <v>66.319444444444443</v>
      </c>
      <c r="G122">
        <v>1.3006576888791135</v>
      </c>
    </row>
    <row r="123" spans="1:7" x14ac:dyDescent="0.2">
      <c r="A123">
        <v>97</v>
      </c>
      <c r="B123">
        <v>-1.8010741680060751</v>
      </c>
      <c r="C123">
        <v>-0.45573769273598819</v>
      </c>
      <c r="D123">
        <v>-0.43155781177955105</v>
      </c>
      <c r="F123">
        <v>67.013888888888886</v>
      </c>
      <c r="G123">
        <v>1.3072997744824202</v>
      </c>
    </row>
    <row r="124" spans="1:7" x14ac:dyDescent="0.2">
      <c r="A124">
        <v>98</v>
      </c>
      <c r="B124">
        <v>-0.81951786423263373</v>
      </c>
      <c r="C124">
        <v>-0.28770313860811791</v>
      </c>
      <c r="D124">
        <v>-0.27243859553165212</v>
      </c>
      <c r="F124">
        <v>67.708333333333343</v>
      </c>
      <c r="G124">
        <v>1.3201728926043841</v>
      </c>
    </row>
    <row r="125" spans="1:7" x14ac:dyDescent="0.2">
      <c r="A125">
        <v>99</v>
      </c>
      <c r="B125">
        <v>0.66424141381164592</v>
      </c>
      <c r="C125">
        <v>1.3323075194195362</v>
      </c>
      <c r="D125">
        <v>1.2616198459389212</v>
      </c>
      <c r="F125">
        <v>68.402777777777786</v>
      </c>
      <c r="G125">
        <v>1.3282751471537555</v>
      </c>
    </row>
    <row r="126" spans="1:7" x14ac:dyDescent="0.2">
      <c r="A126">
        <v>100</v>
      </c>
      <c r="B126">
        <v>-2.2312703586826617</v>
      </c>
      <c r="C126">
        <v>0.51489159281572716</v>
      </c>
      <c r="D126">
        <v>0.48757320853855274</v>
      </c>
      <c r="F126">
        <v>69.097222222222229</v>
      </c>
      <c r="G126">
        <v>1.3592930931331151</v>
      </c>
    </row>
    <row r="127" spans="1:7" x14ac:dyDescent="0.2">
      <c r="A127">
        <v>101</v>
      </c>
      <c r="B127">
        <v>0.5565664987084642</v>
      </c>
      <c r="C127">
        <v>-1.3769541544759885</v>
      </c>
      <c r="D127">
        <v>-1.3038976834656155</v>
      </c>
      <c r="F127">
        <v>69.791666666666671</v>
      </c>
      <c r="G127">
        <v>1.3893836371301047</v>
      </c>
    </row>
    <row r="128" spans="1:7" x14ac:dyDescent="0.2">
      <c r="A128">
        <v>102</v>
      </c>
      <c r="B128">
        <v>-3.8887696736635382</v>
      </c>
      <c r="C128">
        <v>0.20124546235631069</v>
      </c>
      <c r="D128">
        <v>0.1905680674417371</v>
      </c>
      <c r="F128">
        <v>70.486111111111114</v>
      </c>
      <c r="G128">
        <v>1.4570599695124704</v>
      </c>
    </row>
    <row r="129" spans="1:7" x14ac:dyDescent="0.2">
      <c r="A129">
        <v>103</v>
      </c>
      <c r="B129">
        <v>5.0435920439845621</v>
      </c>
      <c r="C129">
        <v>-1.2221031578276174</v>
      </c>
      <c r="D129">
        <v>-1.1572625502944671</v>
      </c>
      <c r="F129">
        <v>71.180555555555557</v>
      </c>
      <c r="G129">
        <v>1.4746501612318974</v>
      </c>
    </row>
    <row r="130" spans="1:7" x14ac:dyDescent="0.2">
      <c r="A130">
        <v>104</v>
      </c>
      <c r="B130">
        <v>-3.8446156897240984</v>
      </c>
      <c r="C130">
        <v>2.0178207706514435</v>
      </c>
      <c r="D130">
        <v>1.91076211212165</v>
      </c>
      <c r="F130">
        <v>71.875</v>
      </c>
      <c r="G130">
        <v>1.4799167353491935</v>
      </c>
    </row>
    <row r="131" spans="1:7" x14ac:dyDescent="0.2">
      <c r="A131">
        <v>105</v>
      </c>
      <c r="B131">
        <v>-3.7852934747686904</v>
      </c>
      <c r="C131">
        <v>-0.90156642481650007</v>
      </c>
      <c r="D131">
        <v>-0.85373239841523785</v>
      </c>
      <c r="F131">
        <v>72.569444444444443</v>
      </c>
      <c r="G131">
        <v>1.5120608050198472</v>
      </c>
    </row>
    <row r="132" spans="1:7" x14ac:dyDescent="0.2">
      <c r="A132">
        <v>106</v>
      </c>
      <c r="B132">
        <v>3.2277110599409573</v>
      </c>
      <c r="C132">
        <v>-0.98355411600590603</v>
      </c>
      <c r="D132">
        <v>-0.93137010353930116</v>
      </c>
      <c r="F132">
        <v>73.263888888888886</v>
      </c>
      <c r="G132">
        <v>1.5632378548125487</v>
      </c>
    </row>
    <row r="133" spans="1:7" x14ac:dyDescent="0.2">
      <c r="A133">
        <v>107</v>
      </c>
      <c r="B133">
        <v>2.7490163947975885</v>
      </c>
      <c r="C133">
        <v>-0.22914826105629826</v>
      </c>
      <c r="D133">
        <v>-0.21699043921704636</v>
      </c>
      <c r="F133">
        <v>73.958333333333343</v>
      </c>
      <c r="G133">
        <v>1.5752476292840976</v>
      </c>
    </row>
    <row r="134" spans="1:7" x14ac:dyDescent="0.2">
      <c r="A134">
        <v>108</v>
      </c>
      <c r="B134">
        <v>-0.54106250671300016</v>
      </c>
      <c r="C134">
        <v>-0.84397739464551291</v>
      </c>
      <c r="D134">
        <v>-0.79919884492771609</v>
      </c>
      <c r="F134">
        <v>74.652777777777786</v>
      </c>
      <c r="G134">
        <v>1.7130121087748451</v>
      </c>
    </row>
    <row r="135" spans="1:7" x14ac:dyDescent="0.2">
      <c r="A135">
        <v>109</v>
      </c>
      <c r="B135">
        <v>2.5493570542464741</v>
      </c>
      <c r="C135">
        <v>0.52051432849136026</v>
      </c>
      <c r="D135">
        <v>0.49289762111856888</v>
      </c>
      <c r="F135">
        <v>75.347222222222229</v>
      </c>
      <c r="G135">
        <v>1.8101887790863302</v>
      </c>
    </row>
    <row r="136" spans="1:7" x14ac:dyDescent="0.2">
      <c r="A136">
        <v>110</v>
      </c>
      <c r="B136">
        <v>-1.3141294981702125</v>
      </c>
      <c r="C136">
        <v>1.1538957276009165</v>
      </c>
      <c r="D136">
        <v>1.0926739726874057</v>
      </c>
      <c r="F136">
        <v>76.041666666666671</v>
      </c>
      <c r="G136">
        <v>1.8519535193189707</v>
      </c>
    </row>
    <row r="137" spans="1:7" x14ac:dyDescent="0.2">
      <c r="A137">
        <v>111</v>
      </c>
      <c r="B137">
        <v>1.0052683385814938</v>
      </c>
      <c r="C137">
        <v>-1.263359010724397</v>
      </c>
      <c r="D137">
        <v>-1.1963295089485704</v>
      </c>
      <c r="F137">
        <v>76.736111111111114</v>
      </c>
      <c r="G137">
        <v>1.9551601207275044</v>
      </c>
    </row>
    <row r="138" spans="1:7" x14ac:dyDescent="0.2">
      <c r="A138">
        <v>112</v>
      </c>
      <c r="B138">
        <v>0.28406279088610586</v>
      </c>
      <c r="C138">
        <v>0.65674220674106598</v>
      </c>
      <c r="D138">
        <v>0.62189771476426092</v>
      </c>
      <c r="F138">
        <v>77.430555555555557</v>
      </c>
      <c r="G138">
        <v>1.9636320377819911</v>
      </c>
    </row>
    <row r="139" spans="1:7" x14ac:dyDescent="0.2">
      <c r="A139">
        <v>113</v>
      </c>
      <c r="B139">
        <v>-1.1451861773808119</v>
      </c>
      <c r="C139">
        <v>-0.33642609145946945</v>
      </c>
      <c r="D139">
        <v>-0.31857647539349726</v>
      </c>
      <c r="F139">
        <v>78.125</v>
      </c>
      <c r="G139">
        <v>1.9965489332311821</v>
      </c>
    </row>
    <row r="140" spans="1:7" x14ac:dyDescent="0.2">
      <c r="A140">
        <v>114</v>
      </c>
      <c r="B140">
        <v>0.30939121225111066</v>
      </c>
      <c r="C140">
        <v>0.4577592023014565</v>
      </c>
      <c r="D140">
        <v>0.43347206697167168</v>
      </c>
      <c r="F140">
        <v>78.819444444444443</v>
      </c>
      <c r="G140">
        <v>2.1127325139720563</v>
      </c>
    </row>
    <row r="141" spans="1:7" x14ac:dyDescent="0.2">
      <c r="A141">
        <v>115</v>
      </c>
      <c r="B141">
        <v>1.409952108679291</v>
      </c>
      <c r="C141">
        <v>0.55367992910270014</v>
      </c>
      <c r="D141">
        <v>0.52430356856227955</v>
      </c>
      <c r="F141">
        <v>79.513888888888886</v>
      </c>
      <c r="G141">
        <v>2.1320616401803507</v>
      </c>
    </row>
    <row r="142" spans="1:7" x14ac:dyDescent="0.2">
      <c r="A142">
        <v>116</v>
      </c>
      <c r="B142">
        <v>5.3562850292706909E-2</v>
      </c>
      <c r="C142">
        <v>-0.67880031965122134</v>
      </c>
      <c r="D142">
        <v>-0.64278549975817745</v>
      </c>
      <c r="F142">
        <v>80.208333333333343</v>
      </c>
      <c r="G142">
        <v>2.1528110708148573</v>
      </c>
    </row>
    <row r="143" spans="1:7" x14ac:dyDescent="0.2">
      <c r="A143">
        <v>117</v>
      </c>
      <c r="B143">
        <v>-0.1186549553316687</v>
      </c>
      <c r="C143">
        <v>0.39802542352525905</v>
      </c>
      <c r="D143">
        <v>0.3769075578936103</v>
      </c>
      <c r="F143">
        <v>80.902777777777786</v>
      </c>
      <c r="G143">
        <v>2.1554149374730458</v>
      </c>
    </row>
    <row r="144" spans="1:7" x14ac:dyDescent="0.2">
      <c r="A144">
        <v>118</v>
      </c>
      <c r="B144">
        <v>-0.2277187765299542</v>
      </c>
      <c r="C144">
        <v>-1.4747482237717005</v>
      </c>
      <c r="D144">
        <v>-1.3965031344146206</v>
      </c>
      <c r="F144">
        <v>81.597222222222229</v>
      </c>
      <c r="G144">
        <v>2.1937669383125291</v>
      </c>
    </row>
    <row r="145" spans="1:7" x14ac:dyDescent="0.2">
      <c r="A145">
        <v>119</v>
      </c>
      <c r="B145">
        <v>3.2562732100030338</v>
      </c>
      <c r="C145">
        <v>-8.9585853704517326E-2</v>
      </c>
      <c r="D145">
        <v>-8.4832735161805742E-2</v>
      </c>
      <c r="F145">
        <v>82.291666666666671</v>
      </c>
      <c r="G145">
        <v>2.2441569439350513</v>
      </c>
    </row>
    <row r="146" spans="1:7" x14ac:dyDescent="0.2">
      <c r="A146">
        <v>120</v>
      </c>
      <c r="B146">
        <v>3.341773349276699</v>
      </c>
      <c r="C146">
        <v>0.238298030340653</v>
      </c>
      <c r="D146">
        <v>0.22565475308351288</v>
      </c>
      <c r="F146">
        <v>82.986111111111114</v>
      </c>
      <c r="G146">
        <v>2.3109716137805942</v>
      </c>
    </row>
    <row r="147" spans="1:7" x14ac:dyDescent="0.2">
      <c r="A147">
        <v>121</v>
      </c>
      <c r="B147">
        <v>-0.29435721512835378</v>
      </c>
      <c r="C147">
        <v>0.34954007345186444</v>
      </c>
      <c r="D147">
        <v>0.33099467442017499</v>
      </c>
      <c r="F147">
        <v>83.680555555555557</v>
      </c>
      <c r="G147">
        <v>2.3644571963769208</v>
      </c>
    </row>
    <row r="148" spans="1:7" x14ac:dyDescent="0.2">
      <c r="A148">
        <v>122</v>
      </c>
      <c r="B148">
        <v>6.5805894219159722E-3</v>
      </c>
      <c r="C148">
        <v>0.81079088080390793</v>
      </c>
      <c r="D148">
        <v>0.76777309383810499</v>
      </c>
      <c r="F148">
        <v>84.375</v>
      </c>
      <c r="G148">
        <v>2.3878145236429944</v>
      </c>
    </row>
    <row r="149" spans="1:7" x14ac:dyDescent="0.2">
      <c r="A149">
        <v>123</v>
      </c>
      <c r="B149">
        <v>1.2751951258724259</v>
      </c>
      <c r="C149">
        <v>1.2591216692991178</v>
      </c>
      <c r="D149">
        <v>1.19231698634532</v>
      </c>
      <c r="F149">
        <v>85.069444444444443</v>
      </c>
      <c r="G149">
        <v>2.4047017706743326</v>
      </c>
    </row>
    <row r="150" spans="1:7" x14ac:dyDescent="0.2">
      <c r="A150">
        <v>124</v>
      </c>
      <c r="B150">
        <v>-0.58121396782280055</v>
      </c>
      <c r="C150">
        <v>8.4717995064409024E-2</v>
      </c>
      <c r="D150">
        <v>8.0223148427459617E-2</v>
      </c>
      <c r="F150">
        <v>85.763888888888886</v>
      </c>
      <c r="G150">
        <v>2.4711222871909655</v>
      </c>
    </row>
    <row r="151" spans="1:7" x14ac:dyDescent="0.2">
      <c r="A151">
        <v>125</v>
      </c>
      <c r="B151">
        <v>1.1548059438509637</v>
      </c>
      <c r="C151">
        <v>2.5452752318615435E-3</v>
      </c>
      <c r="D151">
        <v>2.410231646288662E-3</v>
      </c>
      <c r="F151">
        <v>86.458333333333343</v>
      </c>
      <c r="G151">
        <v>2.5118747000438195</v>
      </c>
    </row>
    <row r="152" spans="1:7" x14ac:dyDescent="0.2">
      <c r="A152">
        <v>126</v>
      </c>
      <c r="B152">
        <v>0.70502628760490427</v>
      </c>
      <c r="C152">
        <v>0.45570544453617945</v>
      </c>
      <c r="D152">
        <v>0.43152727455876572</v>
      </c>
      <c r="F152">
        <v>87.152777777777786</v>
      </c>
      <c r="G152">
        <v>2.5198681337412903</v>
      </c>
    </row>
    <row r="153" spans="1:7" x14ac:dyDescent="0.2">
      <c r="A153">
        <v>127</v>
      </c>
      <c r="B153">
        <v>1.4698770924581492</v>
      </c>
      <c r="C153">
        <v>-0.48602734627507582</v>
      </c>
      <c r="D153">
        <v>-0.46024040005179639</v>
      </c>
      <c r="F153">
        <v>87.847222222222229</v>
      </c>
      <c r="G153">
        <v>2.5257042870557784</v>
      </c>
    </row>
    <row r="154" spans="1:7" x14ac:dyDescent="0.2">
      <c r="A154">
        <v>128</v>
      </c>
      <c r="B154">
        <v>0.98068870377566719</v>
      </c>
      <c r="C154">
        <v>-0.77940523498190373</v>
      </c>
      <c r="D154">
        <v>-0.73805266287941607</v>
      </c>
      <c r="F154">
        <v>88.541666666666671</v>
      </c>
      <c r="G154">
        <v>2.5343167951715437</v>
      </c>
    </row>
    <row r="155" spans="1:7" x14ac:dyDescent="0.2">
      <c r="A155">
        <v>129</v>
      </c>
      <c r="B155">
        <v>0.97468090326413659</v>
      </c>
      <c r="C155">
        <v>-0.91181833608070362</v>
      </c>
      <c r="D155">
        <v>-0.8634403783832254</v>
      </c>
      <c r="F155">
        <v>89.236111111111114</v>
      </c>
      <c r="G155">
        <v>2.6303236664701828</v>
      </c>
    </row>
    <row r="156" spans="1:7" x14ac:dyDescent="0.2">
      <c r="A156">
        <v>130</v>
      </c>
      <c r="B156">
        <v>-0.45426455172165392</v>
      </c>
      <c r="C156">
        <v>0.46950918002176356</v>
      </c>
      <c r="D156">
        <v>0.44459863112086911</v>
      </c>
      <c r="F156">
        <v>89.930555555555557</v>
      </c>
      <c r="G156">
        <v>2.6535892327475388</v>
      </c>
    </row>
    <row r="157" spans="1:7" x14ac:dyDescent="0.2">
      <c r="A157">
        <v>131</v>
      </c>
      <c r="B157">
        <v>1.5389779825798553</v>
      </c>
      <c r="C157">
        <v>0.97289671746396422</v>
      </c>
      <c r="D157">
        <v>0.92127815005963276</v>
      </c>
      <c r="F157">
        <v>90.625</v>
      </c>
      <c r="G157">
        <v>2.664630651168546</v>
      </c>
    </row>
    <row r="158" spans="1:7" x14ac:dyDescent="0.2">
      <c r="A158">
        <v>132</v>
      </c>
      <c r="B158">
        <v>0.14262060468406434</v>
      </c>
      <c r="C158">
        <v>-0.87309336414528449</v>
      </c>
      <c r="D158">
        <v>-0.82677002081559836</v>
      </c>
      <c r="F158">
        <v>91.319444444444443</v>
      </c>
      <c r="G158">
        <v>2.683391280512204</v>
      </c>
    </row>
    <row r="159" spans="1:7" x14ac:dyDescent="0.2">
      <c r="A159">
        <v>133</v>
      </c>
      <c r="B159">
        <v>1.1522768966815322</v>
      </c>
      <c r="C159">
        <v>1.5123537544870138</v>
      </c>
      <c r="D159">
        <v>1.4321134444789032</v>
      </c>
      <c r="F159">
        <v>92.013888888888886</v>
      </c>
      <c r="G159">
        <v>2.7070180675265525</v>
      </c>
    </row>
    <row r="160" spans="1:7" x14ac:dyDescent="0.2">
      <c r="A160">
        <v>134</v>
      </c>
      <c r="B160">
        <v>0.73519050354845916</v>
      </c>
      <c r="C160">
        <v>-1.3749960929915743</v>
      </c>
      <c r="D160">
        <v>-1.3020435100166947</v>
      </c>
      <c r="F160">
        <v>92.708333333333343</v>
      </c>
      <c r="G160">
        <v>2.8438546235537174</v>
      </c>
    </row>
    <row r="161" spans="1:7" x14ac:dyDescent="0.2">
      <c r="A161">
        <v>135</v>
      </c>
      <c r="B161">
        <v>-0.70565702017075771</v>
      </c>
      <c r="C161">
        <v>-1.8624000796644984</v>
      </c>
      <c r="D161">
        <v>-1.7635875106421808</v>
      </c>
      <c r="F161">
        <v>93.402777777777786</v>
      </c>
      <c r="G161">
        <v>2.8609360739223297</v>
      </c>
    </row>
    <row r="162" spans="1:7" x14ac:dyDescent="0.2">
      <c r="A162">
        <v>136</v>
      </c>
      <c r="B162">
        <v>1.0965107215502496</v>
      </c>
      <c r="C162">
        <v>-1.2222573651585342</v>
      </c>
      <c r="D162">
        <v>-1.1574085759126056</v>
      </c>
      <c r="F162">
        <v>94.097222222222229</v>
      </c>
      <c r="G162">
        <v>3.0698713827378343</v>
      </c>
    </row>
    <row r="163" spans="1:7" x14ac:dyDescent="0.2">
      <c r="A163">
        <v>137</v>
      </c>
      <c r="B163">
        <v>0.73964022687013009</v>
      </c>
      <c r="C163">
        <v>1.6481742967728643</v>
      </c>
      <c r="D163">
        <v>1.5607278140117506</v>
      </c>
      <c r="F163">
        <v>94.791666666666671</v>
      </c>
      <c r="G163">
        <v>3.1095108983661892</v>
      </c>
    </row>
    <row r="164" spans="1:7" x14ac:dyDescent="0.2">
      <c r="A164">
        <v>138</v>
      </c>
      <c r="B164">
        <v>1.1168762302244588</v>
      </c>
      <c r="C164">
        <v>0.18378145865465467</v>
      </c>
      <c r="D164">
        <v>0.1740306439577359</v>
      </c>
      <c r="F164">
        <v>95.486111111111114</v>
      </c>
      <c r="G164">
        <v>3.1666873562985165</v>
      </c>
    </row>
    <row r="165" spans="1:7" x14ac:dyDescent="0.2">
      <c r="A165">
        <v>139</v>
      </c>
      <c r="B165">
        <v>0.71465750721048726</v>
      </c>
      <c r="C165">
        <v>1.6497996891664335</v>
      </c>
      <c r="D165">
        <v>1.5622669686523087</v>
      </c>
      <c r="F165">
        <v>96.180555555555557</v>
      </c>
      <c r="G165">
        <v>3.3950819422879635</v>
      </c>
    </row>
    <row r="166" spans="1:7" x14ac:dyDescent="0.2">
      <c r="A166">
        <v>140</v>
      </c>
      <c r="B166">
        <v>0.15422771879893049</v>
      </c>
      <c r="C166">
        <v>-0.19186341216415781</v>
      </c>
      <c r="D166">
        <v>-0.1816837966968177</v>
      </c>
      <c r="F166">
        <v>96.875</v>
      </c>
      <c r="G166">
        <v>3.4388141552305238</v>
      </c>
    </row>
    <row r="167" spans="1:7" x14ac:dyDescent="0.2">
      <c r="A167">
        <v>141</v>
      </c>
      <c r="B167">
        <v>0.82398699087920813</v>
      </c>
      <c r="C167">
        <v>0.68807381414063906</v>
      </c>
      <c r="D167">
        <v>0.65156697439411737</v>
      </c>
      <c r="F167">
        <v>97.569444444444443</v>
      </c>
      <c r="G167">
        <v>3.580071379617352</v>
      </c>
    </row>
    <row r="168" spans="1:7" x14ac:dyDescent="0.2">
      <c r="A168">
        <v>142</v>
      </c>
      <c r="B168">
        <v>1.0001784210403133</v>
      </c>
      <c r="C168">
        <v>1.6301452454298695</v>
      </c>
      <c r="D168">
        <v>1.543655322378825</v>
      </c>
      <c r="F168">
        <v>98.263888888888886</v>
      </c>
      <c r="G168">
        <v>3.8214888861569447</v>
      </c>
    </row>
    <row r="169" spans="1:7" x14ac:dyDescent="0.2">
      <c r="A169">
        <v>143</v>
      </c>
      <c r="B169">
        <v>9.9906468514616265E-2</v>
      </c>
      <c r="C169">
        <v>-3.5456323640183876E-2</v>
      </c>
      <c r="D169">
        <v>-3.357513255496633E-2</v>
      </c>
      <c r="F169">
        <v>98.958333333333343</v>
      </c>
      <c r="G169">
        <v>4.5018822436456931</v>
      </c>
    </row>
    <row r="170" spans="1:7" ht="17" thickBot="1" x14ac:dyDescent="0.25">
      <c r="A170" s="2">
        <v>144</v>
      </c>
      <c r="B170" s="2">
        <v>0.49938582721895319</v>
      </c>
      <c r="C170" s="2">
        <v>0.15053049554748732</v>
      </c>
      <c r="D170" s="2">
        <v>0.14254386305983768</v>
      </c>
      <c r="F170" s="2">
        <v>99.652777777777786</v>
      </c>
      <c r="G170" s="2">
        <v>5.5867022964527608</v>
      </c>
    </row>
  </sheetData>
  <sortState xmlns:xlrd2="http://schemas.microsoft.com/office/spreadsheetml/2017/richdata2" ref="G27:G170">
    <sortCondition ref="G27"/>
  </sortState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57ADC-DC53-3348-A4C8-545113089320}">
  <dimension ref="A1:I169"/>
  <sheetViews>
    <sheetView workbookViewId="0">
      <selection activeCell="H24" sqref="H24"/>
    </sheetView>
  </sheetViews>
  <sheetFormatPr baseColWidth="10" defaultRowHeight="16" x14ac:dyDescent="0.2"/>
  <cols>
    <col min="1" max="1" width="18" bestFit="1" customWidth="1"/>
    <col min="2" max="2" width="25" bestFit="1" customWidth="1"/>
    <col min="3" max="3" width="13.5" bestFit="1" customWidth="1"/>
    <col min="4" max="4" width="17.5" bestFit="1" customWidth="1"/>
    <col min="5" max="5" width="12.1640625" bestFit="1" customWidth="1"/>
    <col min="6" max="6" width="19.6640625" bestFit="1" customWidth="1"/>
    <col min="7" max="7" width="16.6640625" bestFit="1" customWidth="1"/>
    <col min="8" max="9" width="12.33203125" bestFit="1" customWidth="1"/>
  </cols>
  <sheetData>
    <row r="1" spans="1:9" x14ac:dyDescent="0.2">
      <c r="A1" t="s">
        <v>21</v>
      </c>
    </row>
    <row r="2" spans="1:9" ht="17" thickBot="1" x14ac:dyDescent="0.25"/>
    <row r="3" spans="1:9" x14ac:dyDescent="0.2">
      <c r="A3" s="4" t="s">
        <v>22</v>
      </c>
      <c r="B3" s="4"/>
    </row>
    <row r="4" spans="1:9" x14ac:dyDescent="0.2">
      <c r="A4" t="s">
        <v>23</v>
      </c>
      <c r="B4">
        <v>0.81874940304126387</v>
      </c>
    </row>
    <row r="5" spans="1:9" x14ac:dyDescent="0.2">
      <c r="A5" t="s">
        <v>24</v>
      </c>
      <c r="B5">
        <v>0.67035058498042599</v>
      </c>
    </row>
    <row r="6" spans="1:9" x14ac:dyDescent="0.2">
      <c r="A6" t="s">
        <v>25</v>
      </c>
      <c r="B6">
        <v>0.66567470675319795</v>
      </c>
    </row>
    <row r="7" spans="1:9" x14ac:dyDescent="0.2">
      <c r="A7" t="s">
        <v>26</v>
      </c>
      <c r="B7">
        <v>1.0804547032228207</v>
      </c>
    </row>
    <row r="8" spans="1:9" ht="17" thickBot="1" x14ac:dyDescent="0.25">
      <c r="A8" s="2" t="s">
        <v>27</v>
      </c>
      <c r="B8" s="2">
        <v>144</v>
      </c>
    </row>
    <row r="10" spans="1:9" ht="17" thickBot="1" x14ac:dyDescent="0.25">
      <c r="A10" t="s">
        <v>28</v>
      </c>
    </row>
    <row r="11" spans="1:9" x14ac:dyDescent="0.2">
      <c r="A11" s="3"/>
      <c r="B11" s="3" t="s">
        <v>33</v>
      </c>
      <c r="C11" s="3" t="s">
        <v>34</v>
      </c>
      <c r="D11" s="3" t="s">
        <v>35</v>
      </c>
      <c r="E11" s="3" t="s">
        <v>36</v>
      </c>
      <c r="F11" s="3" t="s">
        <v>37</v>
      </c>
    </row>
    <row r="12" spans="1:9" x14ac:dyDescent="0.2">
      <c r="A12" t="s">
        <v>29</v>
      </c>
      <c r="B12">
        <v>2</v>
      </c>
      <c r="C12">
        <v>334.72020173531621</v>
      </c>
      <c r="D12">
        <v>167.3601008676581</v>
      </c>
      <c r="E12">
        <v>143.363567741547</v>
      </c>
      <c r="F12">
        <v>1.0536292358577842E-34</v>
      </c>
    </row>
    <row r="13" spans="1:9" x14ac:dyDescent="0.2">
      <c r="A13" t="s">
        <v>30</v>
      </c>
      <c r="B13">
        <v>141</v>
      </c>
      <c r="C13">
        <v>164.60091356600023</v>
      </c>
      <c r="D13">
        <v>1.1673823657163136</v>
      </c>
    </row>
    <row r="14" spans="1:9" ht="17" thickBot="1" x14ac:dyDescent="0.25">
      <c r="A14" s="2" t="s">
        <v>31</v>
      </c>
      <c r="B14" s="2">
        <v>143</v>
      </c>
      <c r="C14" s="2">
        <v>499.32111530131647</v>
      </c>
      <c r="D14" s="2"/>
      <c r="E14" s="2"/>
      <c r="F14" s="2"/>
    </row>
    <row r="15" spans="1:9" ht="17" thickBot="1" x14ac:dyDescent="0.25"/>
    <row r="16" spans="1:9" x14ac:dyDescent="0.2">
      <c r="A16" s="3"/>
      <c r="B16" s="3" t="s">
        <v>38</v>
      </c>
      <c r="C16" s="3" t="s">
        <v>26</v>
      </c>
      <c r="D16" s="3" t="s">
        <v>39</v>
      </c>
      <c r="E16" s="3" t="s">
        <v>40</v>
      </c>
      <c r="F16" s="3" t="s">
        <v>41</v>
      </c>
      <c r="G16" s="3" t="s">
        <v>42</v>
      </c>
      <c r="H16" s="3" t="s">
        <v>43</v>
      </c>
      <c r="I16" s="3" t="s">
        <v>44</v>
      </c>
    </row>
    <row r="17" spans="1:9" x14ac:dyDescent="0.2">
      <c r="A17" t="s">
        <v>32</v>
      </c>
      <c r="B17">
        <v>0.35054132146967187</v>
      </c>
      <c r="C17">
        <v>9.0443049508627943E-2</v>
      </c>
      <c r="D17">
        <v>3.8758237739012933</v>
      </c>
      <c r="E17">
        <v>1.6225787482543138E-4</v>
      </c>
      <c r="F17">
        <v>0.17174160896795818</v>
      </c>
      <c r="G17">
        <v>0.52934103397138554</v>
      </c>
      <c r="H17">
        <v>0.17174160896795818</v>
      </c>
      <c r="I17">
        <v>0.52934103397138554</v>
      </c>
    </row>
    <row r="18" spans="1:9" x14ac:dyDescent="0.2">
      <c r="A18" t="s">
        <v>17</v>
      </c>
      <c r="B18">
        <v>0.79648952185569211</v>
      </c>
      <c r="C18">
        <v>4.7653953283946775E-2</v>
      </c>
      <c r="D18">
        <v>16.714028259309309</v>
      </c>
      <c r="E18">
        <v>2.9410421616305492E-35</v>
      </c>
      <c r="F18">
        <v>0.70228092105075179</v>
      </c>
      <c r="G18">
        <v>0.89069812266063242</v>
      </c>
      <c r="H18">
        <v>0.70228092105075179</v>
      </c>
      <c r="I18">
        <v>0.89069812266063242</v>
      </c>
    </row>
    <row r="19" spans="1:9" ht="17" thickBot="1" x14ac:dyDescent="0.25">
      <c r="A19" s="2" t="s">
        <v>18</v>
      </c>
      <c r="B19" s="2">
        <v>0.47282884077168946</v>
      </c>
      <c r="C19" s="2">
        <v>5.9170847748912757E-2</v>
      </c>
      <c r="D19" s="2">
        <v>7.990908678173831</v>
      </c>
      <c r="E19" s="2">
        <v>4.3275241958683438E-13</v>
      </c>
      <c r="F19" s="2">
        <v>0.35585212864768034</v>
      </c>
      <c r="G19" s="2">
        <v>0.58980555289569858</v>
      </c>
      <c r="H19" s="2">
        <v>0.35585212864768034</v>
      </c>
      <c r="I19" s="2">
        <v>0.58980555289569858</v>
      </c>
    </row>
    <row r="23" spans="1:9" x14ac:dyDescent="0.2">
      <c r="A23" t="s">
        <v>45</v>
      </c>
      <c r="F23" t="s">
        <v>48</v>
      </c>
    </row>
    <row r="24" spans="1:9" ht="17" thickBot="1" x14ac:dyDescent="0.25"/>
    <row r="25" spans="1:9" x14ac:dyDescent="0.2">
      <c r="A25" s="3" t="s">
        <v>46</v>
      </c>
      <c r="B25" s="3" t="s">
        <v>50</v>
      </c>
      <c r="C25" s="3" t="s">
        <v>47</v>
      </c>
      <c r="D25" s="3" t="s">
        <v>52</v>
      </c>
      <c r="F25" s="3" t="s">
        <v>49</v>
      </c>
      <c r="G25" s="3" t="s">
        <v>2</v>
      </c>
    </row>
    <row r="26" spans="1:9" x14ac:dyDescent="0.2">
      <c r="A26">
        <v>1</v>
      </c>
      <c r="B26">
        <v>-0.93284393953068889</v>
      </c>
      <c r="C26">
        <v>-2.1903072814832254</v>
      </c>
      <c r="D26">
        <v>-2.0415355413842837</v>
      </c>
      <c r="F26">
        <v>0.34722222222222221</v>
      </c>
      <c r="G26">
        <v>-7.0047284893671877</v>
      </c>
    </row>
    <row r="27" spans="1:9" x14ac:dyDescent="0.2">
      <c r="A27">
        <v>2</v>
      </c>
      <c r="B27">
        <v>2.2071862685345418</v>
      </c>
      <c r="C27">
        <v>1.231627886695982</v>
      </c>
      <c r="D27">
        <v>1.1479723076787478</v>
      </c>
      <c r="F27">
        <v>1.0416666666666665</v>
      </c>
      <c r="G27">
        <v>-4.6868598995851904</v>
      </c>
    </row>
    <row r="28" spans="1:9" x14ac:dyDescent="0.2">
      <c r="A28">
        <v>3</v>
      </c>
      <c r="B28">
        <v>-0.36400684574020215</v>
      </c>
      <c r="C28">
        <v>-1.4783108467986923</v>
      </c>
      <c r="D28">
        <v>-1.3778998775503732</v>
      </c>
      <c r="F28">
        <v>1.7361111111111112</v>
      </c>
      <c r="G28">
        <v>-4.1526948243374111</v>
      </c>
    </row>
    <row r="29" spans="1:9" x14ac:dyDescent="0.2">
      <c r="A29">
        <v>4</v>
      </c>
      <c r="B29">
        <v>1.1457676771020455</v>
      </c>
      <c r="C29">
        <v>-0.38100241537504753</v>
      </c>
      <c r="D29">
        <v>-0.35512367553044383</v>
      </c>
      <c r="F29">
        <v>2.4305555555555554</v>
      </c>
      <c r="G29">
        <v>-3.6875242113072275</v>
      </c>
    </row>
    <row r="30" spans="1:9" x14ac:dyDescent="0.2">
      <c r="A30">
        <v>5</v>
      </c>
      <c r="B30">
        <v>2.1263106819052711</v>
      </c>
      <c r="C30">
        <v>0.71754394164844637</v>
      </c>
      <c r="D30">
        <v>0.66880636875218857</v>
      </c>
      <c r="F30">
        <v>3.125</v>
      </c>
      <c r="G30">
        <v>-3.3442885744124804</v>
      </c>
    </row>
    <row r="31" spans="1:9" x14ac:dyDescent="0.2">
      <c r="A31">
        <v>6</v>
      </c>
      <c r="B31">
        <v>-0.1509904209885492</v>
      </c>
      <c r="C31">
        <v>-0.25488361700637047</v>
      </c>
      <c r="D31">
        <v>-0.23757121543362322</v>
      </c>
      <c r="F31">
        <v>3.8194444444444446</v>
      </c>
      <c r="G31">
        <v>-3.1231512210139143</v>
      </c>
    </row>
    <row r="32" spans="1:9" x14ac:dyDescent="0.2">
      <c r="A32">
        <v>7</v>
      </c>
      <c r="B32">
        <v>0.33605849180997471</v>
      </c>
      <c r="C32">
        <v>5.8579411642415813E-2</v>
      </c>
      <c r="D32">
        <v>5.4600535674787731E-2</v>
      </c>
      <c r="F32">
        <v>4.5138888888888884</v>
      </c>
      <c r="G32">
        <v>-2.9682787226250409</v>
      </c>
    </row>
    <row r="33" spans="1:7" x14ac:dyDescent="0.2">
      <c r="A33">
        <v>8</v>
      </c>
      <c r="B33">
        <v>1.207971989942596</v>
      </c>
      <c r="C33">
        <v>-2.0528394718585234</v>
      </c>
      <c r="D33">
        <v>-1.9134049263250894</v>
      </c>
      <c r="F33">
        <v>5.208333333333333</v>
      </c>
      <c r="G33">
        <v>-2.5680570998352561</v>
      </c>
    </row>
    <row r="34" spans="1:7" x14ac:dyDescent="0.2">
      <c r="A34">
        <v>9</v>
      </c>
      <c r="B34">
        <v>1.2530002938761702</v>
      </c>
      <c r="C34">
        <v>0.87906134630418054</v>
      </c>
      <c r="D34">
        <v>0.81935306370429317</v>
      </c>
      <c r="F34">
        <v>5.9027777777777777</v>
      </c>
      <c r="G34">
        <v>-2.5280472836281653</v>
      </c>
    </row>
    <row r="35" spans="1:7" x14ac:dyDescent="0.2">
      <c r="A35">
        <v>10</v>
      </c>
      <c r="B35">
        <v>0.18986245351175043</v>
      </c>
      <c r="C35">
        <v>-0.6140025560582475</v>
      </c>
      <c r="D35">
        <v>-0.57229780099386862</v>
      </c>
      <c r="F35">
        <v>6.5972222222222223</v>
      </c>
      <c r="G35">
        <v>-2.5046976641667626</v>
      </c>
    </row>
    <row r="36" spans="1:7" x14ac:dyDescent="0.2">
      <c r="A36">
        <v>11</v>
      </c>
      <c r="B36">
        <v>0.98359172702218767</v>
      </c>
      <c r="C36">
        <v>-0.23839137308810499</v>
      </c>
      <c r="D36">
        <v>-0.22219917042379356</v>
      </c>
      <c r="F36">
        <v>7.291666666666667</v>
      </c>
      <c r="G36">
        <v>-2.2568118607420633</v>
      </c>
    </row>
    <row r="37" spans="1:7" x14ac:dyDescent="0.2">
      <c r="A37">
        <v>12</v>
      </c>
      <c r="B37">
        <v>0.89418664543248116</v>
      </c>
      <c r="C37">
        <v>0.49519699169762355</v>
      </c>
      <c r="D37">
        <v>0.46156183978563786</v>
      </c>
      <c r="F37">
        <v>7.9861111111111107</v>
      </c>
      <c r="G37">
        <v>-1.9001782009329338</v>
      </c>
    </row>
    <row r="38" spans="1:7" x14ac:dyDescent="0.2">
      <c r="A38">
        <v>13</v>
      </c>
      <c r="B38">
        <v>0.56307906605062064</v>
      </c>
      <c r="C38">
        <v>-0.72268327972053914</v>
      </c>
      <c r="D38">
        <v>-0.6735966287408518</v>
      </c>
      <c r="F38">
        <v>8.6805555555555536</v>
      </c>
      <c r="G38">
        <v>-1.8423176925388944</v>
      </c>
    </row>
    <row r="39" spans="1:7" x14ac:dyDescent="0.2">
      <c r="A39">
        <v>14</v>
      </c>
      <c r="B39">
        <v>-0.27135541039321531</v>
      </c>
      <c r="C39">
        <v>0.27352985023288801</v>
      </c>
      <c r="D39">
        <v>0.25495094482898828</v>
      </c>
      <c r="F39">
        <v>9.3749999999999982</v>
      </c>
      <c r="G39">
        <v>-1.8267949190726551</v>
      </c>
    </row>
    <row r="40" spans="1:7" x14ac:dyDescent="0.2">
      <c r="A40">
        <v>15</v>
      </c>
      <c r="B40">
        <v>1.9144714089732697</v>
      </c>
      <c r="C40">
        <v>0.23833966184158761</v>
      </c>
      <c r="D40">
        <v>0.22215097154843622</v>
      </c>
      <c r="F40">
        <v>10.069444444444443</v>
      </c>
      <c r="G40">
        <v>-1.7163787658669345</v>
      </c>
    </row>
    <row r="41" spans="1:7" x14ac:dyDescent="0.2">
      <c r="A41">
        <v>16</v>
      </c>
      <c r="B41">
        <v>-0.70832254497489433</v>
      </c>
      <c r="C41">
        <v>7.5103323186794246E-2</v>
      </c>
      <c r="D41">
        <v>7.0002097357810877E-2</v>
      </c>
      <c r="F41">
        <v>10.763888888888888</v>
      </c>
      <c r="G41">
        <v>-1.7024670003016547</v>
      </c>
    </row>
    <row r="42" spans="1:7" x14ac:dyDescent="0.2">
      <c r="A42">
        <v>17</v>
      </c>
      <c r="B42">
        <v>1.1649196339320365</v>
      </c>
      <c r="C42">
        <v>-0.62180683561914329</v>
      </c>
      <c r="D42">
        <v>-0.57957199226062017</v>
      </c>
      <c r="F42">
        <v>11.458333333333332</v>
      </c>
      <c r="G42">
        <v>-1.4912303020014905</v>
      </c>
    </row>
    <row r="43" spans="1:7" x14ac:dyDescent="0.2">
      <c r="A43">
        <v>18</v>
      </c>
      <c r="B43">
        <v>0.88599106820607476</v>
      </c>
      <c r="C43">
        <v>1.767598164541464</v>
      </c>
      <c r="D43">
        <v>1.6475379990305989</v>
      </c>
      <c r="F43">
        <v>12.152777777777777</v>
      </c>
      <c r="G43">
        <v>-1.4816122688402813</v>
      </c>
    </row>
    <row r="44" spans="1:7" x14ac:dyDescent="0.2">
      <c r="A44">
        <v>19</v>
      </c>
      <c r="B44">
        <v>0.14849265870737738</v>
      </c>
      <c r="C44">
        <v>-0.33501205846054549</v>
      </c>
      <c r="D44">
        <v>-0.31225711110103482</v>
      </c>
      <c r="F44">
        <v>12.847222222222221</v>
      </c>
      <c r="G44">
        <v>-1.3850399013585131</v>
      </c>
    </row>
    <row r="45" spans="1:7" x14ac:dyDescent="0.2">
      <c r="A45">
        <v>20</v>
      </c>
      <c r="B45">
        <v>2.7957659693593646</v>
      </c>
      <c r="C45">
        <v>-0.39106419868503206</v>
      </c>
      <c r="D45">
        <v>-0.36450203463589792</v>
      </c>
      <c r="F45">
        <v>13.541666666666666</v>
      </c>
      <c r="G45">
        <v>-1.3845334693391671</v>
      </c>
    </row>
    <row r="46" spans="1:7" x14ac:dyDescent="0.2">
      <c r="A46">
        <v>21</v>
      </c>
      <c r="B46">
        <v>8.1999852368496384E-2</v>
      </c>
      <c r="C46">
        <v>0.74006767330094991</v>
      </c>
      <c r="D46">
        <v>0.68980022613554604</v>
      </c>
      <c r="F46">
        <v>14.236111111111111</v>
      </c>
      <c r="G46">
        <v>-1.3312319193447704</v>
      </c>
    </row>
    <row r="47" spans="1:7" x14ac:dyDescent="0.2">
      <c r="A47">
        <v>22</v>
      </c>
      <c r="B47">
        <v>0.29888058088982428</v>
      </c>
      <c r="C47">
        <v>0.49902702592118908</v>
      </c>
      <c r="D47">
        <v>0.46513172747136583</v>
      </c>
      <c r="F47">
        <v>14.930555555555554</v>
      </c>
      <c r="G47">
        <v>-1.2793531068196276</v>
      </c>
    </row>
    <row r="48" spans="1:7" x14ac:dyDescent="0.2">
      <c r="A48">
        <v>23</v>
      </c>
      <c r="B48">
        <v>-0.14324670588018584</v>
      </c>
      <c r="C48">
        <v>-9.0928355210824874E-2</v>
      </c>
      <c r="D48">
        <v>-8.4752249354166934E-2</v>
      </c>
      <c r="F48">
        <v>15.624999999999998</v>
      </c>
      <c r="G48">
        <v>-1.1425691586862545</v>
      </c>
    </row>
    <row r="49" spans="1:7" x14ac:dyDescent="0.2">
      <c r="A49">
        <v>24</v>
      </c>
      <c r="B49">
        <v>0.32975772851003143</v>
      </c>
      <c r="C49">
        <v>0.11930556738970832</v>
      </c>
      <c r="D49">
        <v>0.11120200264602585</v>
      </c>
      <c r="F49">
        <v>16.319444444444443</v>
      </c>
      <c r="G49">
        <v>-1.1072210028407516</v>
      </c>
    </row>
    <row r="50" spans="1:7" x14ac:dyDescent="0.2">
      <c r="A50">
        <v>25</v>
      </c>
      <c r="B50">
        <v>-1.7929501064456532</v>
      </c>
      <c r="C50">
        <v>-1.5513384679668272</v>
      </c>
      <c r="D50">
        <v>-1.445967260322591</v>
      </c>
      <c r="F50">
        <v>17.013888888888886</v>
      </c>
      <c r="G50">
        <v>-1.0801430002995103</v>
      </c>
    </row>
    <row r="51" spans="1:7" x14ac:dyDescent="0.2">
      <c r="A51">
        <v>26</v>
      </c>
      <c r="B51">
        <v>1.1764475341692744</v>
      </c>
      <c r="C51">
        <v>0.77871258655823006</v>
      </c>
      <c r="D51">
        <v>0.72582026979582381</v>
      </c>
      <c r="F51">
        <v>17.708333333333332</v>
      </c>
      <c r="G51">
        <v>-0.94912629185626851</v>
      </c>
    </row>
    <row r="52" spans="1:7" x14ac:dyDescent="0.2">
      <c r="A52">
        <v>27</v>
      </c>
      <c r="B52">
        <v>-1.1448353650319367</v>
      </c>
      <c r="C52">
        <v>-1.8234433575931042</v>
      </c>
      <c r="D52">
        <v>-1.6995900318180648</v>
      </c>
      <c r="F52">
        <v>18.402777777777775</v>
      </c>
      <c r="G52">
        <v>-0.93339874585644023</v>
      </c>
    </row>
    <row r="53" spans="1:7" x14ac:dyDescent="0.2">
      <c r="A53">
        <v>28</v>
      </c>
      <c r="B53">
        <v>-0.89670280433103922</v>
      </c>
      <c r="C53">
        <v>-5.2423487525229295E-2</v>
      </c>
      <c r="D53">
        <v>-4.8862738982265889E-2</v>
      </c>
      <c r="F53">
        <v>19.097222222222221</v>
      </c>
      <c r="G53">
        <v>-0.8739297602339734</v>
      </c>
    </row>
    <row r="54" spans="1:7" x14ac:dyDescent="0.2">
      <c r="A54">
        <v>29</v>
      </c>
      <c r="B54">
        <v>1.9542461069668016</v>
      </c>
      <c r="C54">
        <v>0.72914517354540243</v>
      </c>
      <c r="D54">
        <v>0.6796196128306351</v>
      </c>
      <c r="F54">
        <v>19.791666666666664</v>
      </c>
      <c r="G54">
        <v>-0.85098504001589137</v>
      </c>
    </row>
    <row r="55" spans="1:7" x14ac:dyDescent="0.2">
      <c r="A55">
        <v>30</v>
      </c>
      <c r="B55">
        <v>8.549268717314229E-2</v>
      </c>
      <c r="C55">
        <v>0.99941749459591867</v>
      </c>
      <c r="D55">
        <v>0.9315342888862278</v>
      </c>
      <c r="F55">
        <v>20.486111111111111</v>
      </c>
      <c r="G55">
        <v>-0.84486748191592764</v>
      </c>
    </row>
    <row r="56" spans="1:7" x14ac:dyDescent="0.2">
      <c r="A56">
        <v>31</v>
      </c>
      <c r="B56">
        <v>-1.2264677443294354</v>
      </c>
      <c r="C56">
        <v>0.62440838310237012</v>
      </c>
      <c r="D56">
        <v>0.58199683542966163</v>
      </c>
      <c r="F56">
        <v>21.180555555555554</v>
      </c>
      <c r="G56">
        <v>-0.83998798555617005</v>
      </c>
    </row>
    <row r="57" spans="1:7" x14ac:dyDescent="0.2">
      <c r="A57">
        <v>32</v>
      </c>
      <c r="B57">
        <v>-0.27435160932189129</v>
      </c>
      <c r="C57">
        <v>-1.1101818600172759</v>
      </c>
      <c r="D57">
        <v>-1.0347752316700403</v>
      </c>
      <c r="F57">
        <v>21.875</v>
      </c>
      <c r="G57">
        <v>-0.82038765576752415</v>
      </c>
    </row>
    <row r="58" spans="1:7" x14ac:dyDescent="0.2">
      <c r="A58">
        <v>33</v>
      </c>
      <c r="B58">
        <v>0.43519427800460098</v>
      </c>
      <c r="C58">
        <v>7.749787135927988E-2</v>
      </c>
      <c r="D58">
        <v>7.2234001182910609E-2</v>
      </c>
      <c r="F58">
        <v>22.569444444444443</v>
      </c>
      <c r="G58">
        <v>-0.73047275946122014</v>
      </c>
    </row>
    <row r="59" spans="1:7" x14ac:dyDescent="0.2">
      <c r="A59">
        <v>34</v>
      </c>
      <c r="B59">
        <v>3.2247937588317073</v>
      </c>
      <c r="C59">
        <v>-1.112061244859651</v>
      </c>
      <c r="D59">
        <v>-1.0365269634859748</v>
      </c>
      <c r="F59">
        <v>23.263888888888886</v>
      </c>
      <c r="G59">
        <v>-0.72114034769675106</v>
      </c>
    </row>
    <row r="60" spans="1:7" x14ac:dyDescent="0.2">
      <c r="A60">
        <v>35</v>
      </c>
      <c r="B60">
        <v>1.7191777063335762</v>
      </c>
      <c r="C60">
        <v>-1.2725352100985836</v>
      </c>
      <c r="D60">
        <v>-1.1861010923179325</v>
      </c>
      <c r="F60">
        <v>23.958333333333332</v>
      </c>
      <c r="G60">
        <v>-0.70844610563042631</v>
      </c>
    </row>
    <row r="61" spans="1:7" x14ac:dyDescent="0.2">
      <c r="A61">
        <v>36</v>
      </c>
      <c r="B61">
        <v>0.7465352132799945</v>
      </c>
      <c r="C61">
        <v>6.2560496941584831E-2</v>
      </c>
      <c r="D61">
        <v>5.8311214628487894E-2</v>
      </c>
      <c r="F61">
        <v>24.652777777777775</v>
      </c>
      <c r="G61">
        <v>-0.63980558944311527</v>
      </c>
    </row>
    <row r="62" spans="1:7" x14ac:dyDescent="0.2">
      <c r="A62">
        <v>37</v>
      </c>
      <c r="B62">
        <v>1.8501521706369832</v>
      </c>
      <c r="C62">
        <v>1.5449297716509802</v>
      </c>
      <c r="D62">
        <v>1.4399938604195965</v>
      </c>
      <c r="F62">
        <v>25.347222222222221</v>
      </c>
      <c r="G62">
        <v>-0.63321922178810008</v>
      </c>
    </row>
    <row r="63" spans="1:7" x14ac:dyDescent="0.2">
      <c r="A63">
        <v>38</v>
      </c>
      <c r="B63">
        <v>3.1038779235151814</v>
      </c>
      <c r="C63">
        <v>5.6329748510077771E-3</v>
      </c>
      <c r="D63">
        <v>5.2503675896419149E-3</v>
      </c>
      <c r="F63">
        <v>26.041666666666664</v>
      </c>
      <c r="G63">
        <v>-0.62523746935851443</v>
      </c>
    </row>
    <row r="64" spans="1:7" x14ac:dyDescent="0.2">
      <c r="A64">
        <v>39</v>
      </c>
      <c r="B64">
        <v>2.4118113896386104</v>
      </c>
      <c r="C64">
        <v>-0.83656376035451285</v>
      </c>
      <c r="D64">
        <v>-0.77974203155700117</v>
      </c>
      <c r="F64">
        <v>26.736111111111111</v>
      </c>
      <c r="G64">
        <v>-0.60205936122706527</v>
      </c>
    </row>
    <row r="65" spans="1:7" x14ac:dyDescent="0.2">
      <c r="A65">
        <v>40</v>
      </c>
      <c r="B65">
        <v>-0.28271607016463418</v>
      </c>
      <c r="C65">
        <v>0.67686012117285188</v>
      </c>
      <c r="D65">
        <v>0.63088590610186168</v>
      </c>
      <c r="F65">
        <v>27.430555555555554</v>
      </c>
      <c r="G65">
        <v>-0.49649597275839152</v>
      </c>
    </row>
    <row r="66" spans="1:7" x14ac:dyDescent="0.2">
      <c r="A66">
        <v>41</v>
      </c>
      <c r="B66">
        <v>-0.98734711052135982</v>
      </c>
      <c r="C66">
        <v>1.2798345037844308</v>
      </c>
      <c r="D66">
        <v>1.1929045977496306</v>
      </c>
      <c r="F66">
        <v>28.125</v>
      </c>
      <c r="G66">
        <v>-0.45287219230992509</v>
      </c>
    </row>
    <row r="67" spans="1:7" x14ac:dyDescent="0.2">
      <c r="A67">
        <v>42</v>
      </c>
      <c r="B67">
        <v>-0.55206992068969296</v>
      </c>
      <c r="C67">
        <v>-0.38132882516674727</v>
      </c>
      <c r="D67">
        <v>-0.35542791466458007</v>
      </c>
      <c r="F67">
        <v>28.819444444444443</v>
      </c>
      <c r="G67">
        <v>-0.44945692130845749</v>
      </c>
    </row>
    <row r="68" spans="1:7" x14ac:dyDescent="0.2">
      <c r="A68">
        <v>43</v>
      </c>
      <c r="B68">
        <v>2.2796162662919275</v>
      </c>
      <c r="C68">
        <v>0.58131980763040225</v>
      </c>
      <c r="D68">
        <v>0.54183495540610971</v>
      </c>
      <c r="F68">
        <v>29.513888888888886</v>
      </c>
      <c r="G68">
        <v>-0.42414010254649709</v>
      </c>
    </row>
    <row r="69" spans="1:7" x14ac:dyDescent="0.2">
      <c r="A69">
        <v>44</v>
      </c>
      <c r="B69">
        <v>0.13436645598674501</v>
      </c>
      <c r="C69">
        <v>-0.58382337729520251</v>
      </c>
      <c r="D69">
        <v>-0.5441684756816576</v>
      </c>
      <c r="F69">
        <v>30.208333333333332</v>
      </c>
      <c r="G69">
        <v>-0.40587403799491967</v>
      </c>
    </row>
    <row r="70" spans="1:7" x14ac:dyDescent="0.2">
      <c r="A70">
        <v>45</v>
      </c>
      <c r="B70">
        <v>1.7442762269567083</v>
      </c>
      <c r="C70">
        <v>0.78142806009907018</v>
      </c>
      <c r="D70">
        <v>0.72835130084894606</v>
      </c>
      <c r="F70">
        <v>30.902777777777775</v>
      </c>
      <c r="G70">
        <v>-0.38364685529762182</v>
      </c>
    </row>
    <row r="71" spans="1:7" x14ac:dyDescent="0.2">
      <c r="A71">
        <v>46</v>
      </c>
      <c r="B71">
        <v>0.12554537722577996</v>
      </c>
      <c r="C71">
        <v>0.19640572110554549</v>
      </c>
      <c r="D71">
        <v>0.18306530026994813</v>
      </c>
      <c r="F71">
        <v>31.597222222222221</v>
      </c>
      <c r="G71">
        <v>-0.34952011853591453</v>
      </c>
    </row>
    <row r="72" spans="1:7" x14ac:dyDescent="0.2">
      <c r="A72">
        <v>47</v>
      </c>
      <c r="B72">
        <v>1.0633264550112524</v>
      </c>
      <c r="C72">
        <v>-1.4469733103088742</v>
      </c>
      <c r="D72">
        <v>-1.3486908733781062</v>
      </c>
      <c r="F72">
        <v>32.291666666666664</v>
      </c>
      <c r="G72">
        <v>-0.32059917407416511</v>
      </c>
    </row>
    <row r="73" spans="1:7" x14ac:dyDescent="0.2">
      <c r="A73">
        <v>48</v>
      </c>
      <c r="B73">
        <v>1.1777878225218215</v>
      </c>
      <c r="C73">
        <v>0.63240095656450879</v>
      </c>
      <c r="D73">
        <v>0.58944653115410417</v>
      </c>
      <c r="F73">
        <v>32.986111111111107</v>
      </c>
      <c r="G73">
        <v>-0.25809067214290327</v>
      </c>
    </row>
    <row r="74" spans="1:7" x14ac:dyDescent="0.2">
      <c r="A74">
        <v>49</v>
      </c>
      <c r="B74">
        <v>-3.541045086450334E-2</v>
      </c>
      <c r="C74">
        <v>-0.83851930936947006</v>
      </c>
      <c r="D74">
        <v>-0.7815647542638583</v>
      </c>
      <c r="F74">
        <v>33.68055555555555</v>
      </c>
      <c r="G74">
        <v>-0.23417506109101072</v>
      </c>
    </row>
    <row r="75" spans="1:7" x14ac:dyDescent="0.2">
      <c r="A75">
        <v>50</v>
      </c>
      <c r="B75">
        <v>1.0445916265987785</v>
      </c>
      <c r="C75">
        <v>-0.26545619773490381</v>
      </c>
      <c r="D75">
        <v>-0.24742567718149219</v>
      </c>
      <c r="F75">
        <v>34.375</v>
      </c>
      <c r="G75">
        <v>-0.18651939975316809</v>
      </c>
    </row>
    <row r="76" spans="1:7" x14ac:dyDescent="0.2">
      <c r="A76">
        <v>51</v>
      </c>
      <c r="B76">
        <v>0.5953655133123581</v>
      </c>
      <c r="C76">
        <v>0.52987537165283016</v>
      </c>
      <c r="D76">
        <v>0.49388476807734333</v>
      </c>
      <c r="F76">
        <v>35.069444444444443</v>
      </c>
      <c r="G76">
        <v>-0.16023377056929605</v>
      </c>
    </row>
    <row r="77" spans="1:7" x14ac:dyDescent="0.2">
      <c r="A77">
        <v>52</v>
      </c>
      <c r="B77">
        <v>-0.10338266714278466</v>
      </c>
      <c r="C77">
        <v>-0.97676033315672561</v>
      </c>
      <c r="D77">
        <v>-0.91041606463703895</v>
      </c>
      <c r="F77">
        <v>35.763888888888886</v>
      </c>
      <c r="G77">
        <v>-0.15960421366991845</v>
      </c>
    </row>
    <row r="78" spans="1:7" x14ac:dyDescent="0.2">
      <c r="A78">
        <v>53</v>
      </c>
      <c r="B78">
        <v>0.52999037412629246</v>
      </c>
      <c r="C78">
        <v>0.76331763423340793</v>
      </c>
      <c r="D78">
        <v>0.71147098529371611</v>
      </c>
      <c r="F78">
        <v>36.458333333333329</v>
      </c>
      <c r="G78">
        <v>-0.12574664360828455</v>
      </c>
    </row>
    <row r="79" spans="1:7" x14ac:dyDescent="0.2">
      <c r="A79">
        <v>54</v>
      </c>
      <c r="B79">
        <v>6.9102873507845886E-2</v>
      </c>
      <c r="C79">
        <v>-0.41862299204376041</v>
      </c>
      <c r="D79">
        <v>-0.39018895838177964</v>
      </c>
      <c r="F79">
        <v>37.152777777777779</v>
      </c>
      <c r="G79">
        <v>-3.7635693365227305E-2</v>
      </c>
    </row>
    <row r="80" spans="1:7" x14ac:dyDescent="0.2">
      <c r="A80">
        <v>55</v>
      </c>
      <c r="B80">
        <v>0.86411237608597502</v>
      </c>
      <c r="C80">
        <v>1.3296545622265541</v>
      </c>
      <c r="D80">
        <v>1.2393407397664538</v>
      </c>
      <c r="F80">
        <v>37.847222222222221</v>
      </c>
      <c r="G80">
        <v>-2.8872892422191813E-2</v>
      </c>
    </row>
    <row r="81" spans="1:7" x14ac:dyDescent="0.2">
      <c r="A81">
        <v>56</v>
      </c>
      <c r="B81">
        <v>9.3535430044448364E-2</v>
      </c>
      <c r="C81">
        <v>-0.80198153567487473</v>
      </c>
      <c r="D81">
        <v>-0.7475087274080926</v>
      </c>
      <c r="F81">
        <v>38.541666666666664</v>
      </c>
      <c r="G81">
        <v>-2.1093949631446327E-2</v>
      </c>
    </row>
    <row r="82" spans="1:7" x14ac:dyDescent="0.2">
      <c r="A82">
        <v>57</v>
      </c>
      <c r="B82">
        <v>-0.46781679239148161</v>
      </c>
      <c r="C82">
        <v>-0.67475236629477298</v>
      </c>
      <c r="D82">
        <v>-0.62892131577588228</v>
      </c>
      <c r="F82">
        <v>39.236111111111107</v>
      </c>
      <c r="G82">
        <v>2.1744398396726858E-3</v>
      </c>
    </row>
    <row r="83" spans="1:7" x14ac:dyDescent="0.2">
      <c r="A83">
        <v>58</v>
      </c>
      <c r="B83">
        <v>0.15331142266591974</v>
      </c>
      <c r="C83">
        <v>-1.6445417246674103</v>
      </c>
      <c r="D83">
        <v>-1.5328398935533731</v>
      </c>
      <c r="F83">
        <v>39.93055555555555</v>
      </c>
      <c r="G83">
        <v>1.3361896540353232E-2</v>
      </c>
    </row>
    <row r="84" spans="1:7" x14ac:dyDescent="0.2">
      <c r="A84">
        <v>59</v>
      </c>
      <c r="B84">
        <v>0.62443649913330246</v>
      </c>
      <c r="C84">
        <v>1.846685788057663</v>
      </c>
      <c r="D84">
        <v>1.721253771998583</v>
      </c>
      <c r="F84">
        <v>40.625</v>
      </c>
      <c r="G84">
        <v>1.5244628300109645E-2</v>
      </c>
    </row>
    <row r="85" spans="1:7" x14ac:dyDescent="0.2">
      <c r="A85">
        <v>60</v>
      </c>
      <c r="B85">
        <v>0.11116979947058445</v>
      </c>
      <c r="C85">
        <v>1.4520680553419643</v>
      </c>
      <c r="D85">
        <v>1.353439569210547</v>
      </c>
      <c r="F85">
        <v>41.319444444444443</v>
      </c>
      <c r="G85">
        <v>4.5162099813618559E-2</v>
      </c>
    </row>
    <row r="86" spans="1:7" x14ac:dyDescent="0.2">
      <c r="A86">
        <v>61</v>
      </c>
      <c r="B86">
        <v>-2.9090974159069978E-2</v>
      </c>
      <c r="C86">
        <v>0.19959681605036769</v>
      </c>
      <c r="D86">
        <v>0.18603964720330379</v>
      </c>
      <c r="F86">
        <v>42.013888888888886</v>
      </c>
      <c r="G86">
        <v>5.5182858323510636E-2</v>
      </c>
    </row>
    <row r="87" spans="1:7" x14ac:dyDescent="0.2">
      <c r="A87">
        <v>62</v>
      </c>
      <c r="B87">
        <v>1.1295183380451759</v>
      </c>
      <c r="C87">
        <v>0.19875680910857962</v>
      </c>
      <c r="D87">
        <v>0.18525669586073759</v>
      </c>
      <c r="F87">
        <v>42.708333333333329</v>
      </c>
      <c r="G87">
        <v>6.2862567183433013E-2</v>
      </c>
    </row>
    <row r="88" spans="1:7" x14ac:dyDescent="0.2">
      <c r="A88">
        <v>63</v>
      </c>
      <c r="B88">
        <v>0.57956635501557452</v>
      </c>
      <c r="C88">
        <v>-0.56620445847522127</v>
      </c>
      <c r="D88">
        <v>-0.52774628265155532</v>
      </c>
      <c r="F88">
        <v>43.402777777777779</v>
      </c>
      <c r="G88">
        <v>6.4450144874432388E-2</v>
      </c>
    </row>
    <row r="89" spans="1:7" x14ac:dyDescent="0.2">
      <c r="A89">
        <v>64</v>
      </c>
      <c r="B89">
        <v>4.4301078607069777E-2</v>
      </c>
      <c r="C89">
        <v>8.6102120654878156E-4</v>
      </c>
      <c r="D89">
        <v>8.0253826023194829E-4</v>
      </c>
      <c r="F89">
        <v>44.097222222222221</v>
      </c>
      <c r="G89">
        <v>0.17050584189129772</v>
      </c>
    </row>
    <row r="90" spans="1:7" x14ac:dyDescent="0.2">
      <c r="A90">
        <v>65</v>
      </c>
      <c r="B90">
        <v>-0.42528840883468533</v>
      </c>
      <c r="C90">
        <v>-2.10275887479348</v>
      </c>
      <c r="D90">
        <v>-1.9599336650814998</v>
      </c>
      <c r="F90">
        <v>44.791666666666664</v>
      </c>
      <c r="G90">
        <v>0.20128346879376346</v>
      </c>
    </row>
    <row r="91" spans="1:7" x14ac:dyDescent="0.2">
      <c r="A91">
        <v>66</v>
      </c>
      <c r="B91">
        <v>-0.90390724249121401</v>
      </c>
      <c r="C91">
        <v>5.2922202475322644E-2</v>
      </c>
      <c r="D91">
        <v>4.9327579830964433E-2</v>
      </c>
      <c r="F91">
        <v>45.486111111111107</v>
      </c>
      <c r="G91">
        <v>0.25176219913533959</v>
      </c>
    </row>
    <row r="92" spans="1:7" x14ac:dyDescent="0.2">
      <c r="A92">
        <v>67</v>
      </c>
      <c r="B92">
        <v>8.7897949000874664E-2</v>
      </c>
      <c r="C92">
        <v>-2.5925956131676373</v>
      </c>
      <c r="D92">
        <v>-2.4164993348031505</v>
      </c>
      <c r="F92">
        <v>46.18055555555555</v>
      </c>
      <c r="G92">
        <v>0.27937046819359035</v>
      </c>
    </row>
    <row r="93" spans="1:7" x14ac:dyDescent="0.2">
      <c r="A93">
        <v>68</v>
      </c>
      <c r="B93">
        <v>0.93685235608613104</v>
      </c>
      <c r="C93">
        <v>-2.2162054629057586</v>
      </c>
      <c r="D93">
        <v>-2.0656746465583833</v>
      </c>
      <c r="F93">
        <v>46.875</v>
      </c>
      <c r="G93">
        <v>0.29248739326307094</v>
      </c>
    </row>
    <row r="94" spans="1:7" x14ac:dyDescent="0.2">
      <c r="A94">
        <v>69</v>
      </c>
      <c r="B94">
        <v>0.30252910295899516</v>
      </c>
      <c r="C94">
        <v>1.0176437896453889</v>
      </c>
      <c r="D94">
        <v>0.94852260346921746</v>
      </c>
      <c r="F94">
        <v>47.569444444444443</v>
      </c>
      <c r="G94">
        <v>0.32195109833132546</v>
      </c>
    </row>
    <row r="95" spans="1:7" x14ac:dyDescent="0.2">
      <c r="A95">
        <v>70</v>
      </c>
      <c r="B95">
        <v>0.29862710697160172</v>
      </c>
      <c r="C95">
        <v>-1.1386150925277718</v>
      </c>
      <c r="D95">
        <v>-1.0612772002373509</v>
      </c>
      <c r="F95">
        <v>48.263888888888886</v>
      </c>
      <c r="G95">
        <v>0.3416951439283733</v>
      </c>
    </row>
    <row r="96" spans="1:7" x14ac:dyDescent="0.2">
      <c r="A96">
        <v>71</v>
      </c>
      <c r="B96">
        <v>0.59344661849633285</v>
      </c>
      <c r="C96">
        <v>0.71385315598608734</v>
      </c>
      <c r="D96">
        <v>0.66536627147951966</v>
      </c>
      <c r="F96">
        <v>48.958333333333329</v>
      </c>
      <c r="G96">
        <v>0.3941440510082177</v>
      </c>
    </row>
    <row r="97" spans="1:7" x14ac:dyDescent="0.2">
      <c r="A97">
        <v>72</v>
      </c>
      <c r="B97">
        <v>0.93802150031164433</v>
      </c>
      <c r="C97">
        <v>-0.13872106775329562</v>
      </c>
      <c r="D97">
        <v>-0.1292987484228017</v>
      </c>
      <c r="F97">
        <v>49.652777777777779</v>
      </c>
      <c r="G97">
        <v>0.39463790345239053</v>
      </c>
    </row>
    <row r="98" spans="1:7" x14ac:dyDescent="0.2">
      <c r="A98">
        <v>73</v>
      </c>
      <c r="B98">
        <v>1.1457268613996212</v>
      </c>
      <c r="C98">
        <v>-1.1668208110310676</v>
      </c>
      <c r="D98">
        <v>-1.0875671081792928</v>
      </c>
      <c r="F98">
        <v>50.347222222222221</v>
      </c>
      <c r="G98">
        <v>0.44664249623499269</v>
      </c>
    </row>
    <row r="99" spans="1:7" x14ac:dyDescent="0.2">
      <c r="A99">
        <v>74</v>
      </c>
      <c r="B99">
        <v>-0.83470976367959537</v>
      </c>
      <c r="C99">
        <v>-3.3179850606578158</v>
      </c>
      <c r="D99">
        <v>-3.0926183208996911</v>
      </c>
      <c r="F99">
        <v>51.041666666666664</v>
      </c>
      <c r="G99">
        <v>0.44906329589973976</v>
      </c>
    </row>
    <row r="100" spans="1:7" x14ac:dyDescent="0.2">
      <c r="A100">
        <v>75</v>
      </c>
      <c r="B100">
        <v>-7.6573801083304494</v>
      </c>
      <c r="C100">
        <v>0.65265161896326163</v>
      </c>
      <c r="D100">
        <v>0.60832171244630717</v>
      </c>
      <c r="F100">
        <v>51.736111111111107</v>
      </c>
      <c r="G100">
        <v>0.51269214936388086</v>
      </c>
    </row>
    <row r="101" spans="1:7" x14ac:dyDescent="0.2">
      <c r="A101">
        <v>76</v>
      </c>
      <c r="B101">
        <v>5.3497372206236209</v>
      </c>
      <c r="C101">
        <v>-0.84785497697792778</v>
      </c>
      <c r="D101">
        <v>-0.79026631745836595</v>
      </c>
      <c r="F101">
        <v>52.43055555555555</v>
      </c>
      <c r="G101">
        <v>0.54311279831289316</v>
      </c>
    </row>
    <row r="102" spans="1:7" x14ac:dyDescent="0.2">
      <c r="A102">
        <v>77</v>
      </c>
      <c r="B102">
        <v>2.2636022488804297</v>
      </c>
      <c r="C102">
        <v>0.44341581864612278</v>
      </c>
      <c r="D102">
        <v>0.41329778749813306</v>
      </c>
      <c r="F102">
        <v>53.125</v>
      </c>
      <c r="G102">
        <v>0.64991632276644051</v>
      </c>
    </row>
    <row r="103" spans="1:7" x14ac:dyDescent="0.2">
      <c r="A103">
        <v>78</v>
      </c>
      <c r="B103">
        <v>1.1688076269079613</v>
      </c>
      <c r="C103">
        <v>0.28825234260450916</v>
      </c>
      <c r="D103">
        <v>0.26867344472136412</v>
      </c>
      <c r="F103">
        <v>53.819444444444443</v>
      </c>
      <c r="G103">
        <v>0.74520035393408268</v>
      </c>
    </row>
    <row r="104" spans="1:7" x14ac:dyDescent="0.2">
      <c r="A104">
        <v>79</v>
      </c>
      <c r="B104">
        <v>2.4402618935569778</v>
      </c>
      <c r="C104">
        <v>-2.8931340858669028</v>
      </c>
      <c r="D104">
        <v>-2.6966244016172518</v>
      </c>
      <c r="F104">
        <v>54.513888888888886</v>
      </c>
      <c r="G104">
        <v>0.76476526172699799</v>
      </c>
    </row>
    <row r="105" spans="1:7" x14ac:dyDescent="0.2">
      <c r="A105">
        <v>80</v>
      </c>
      <c r="B105">
        <v>0.50043241646444847</v>
      </c>
      <c r="C105">
        <v>0.97421774476744893</v>
      </c>
      <c r="D105">
        <v>0.90804617589690551</v>
      </c>
      <c r="F105">
        <v>55.208333333333329</v>
      </c>
      <c r="G105">
        <v>0.76715041455256716</v>
      </c>
    </row>
    <row r="106" spans="1:7" x14ac:dyDescent="0.2">
      <c r="A106">
        <v>81</v>
      </c>
      <c r="B106">
        <v>-0.19782087102116946</v>
      </c>
      <c r="C106">
        <v>-0.12277830305299564</v>
      </c>
      <c r="D106">
        <v>-0.11443886047979646</v>
      </c>
      <c r="F106">
        <v>55.902777777777779</v>
      </c>
      <c r="G106">
        <v>0.77913542886387466</v>
      </c>
    </row>
    <row r="107" spans="1:7" x14ac:dyDescent="0.2">
      <c r="A107">
        <v>82</v>
      </c>
      <c r="B107">
        <v>0.44217151405699417</v>
      </c>
      <c r="C107">
        <v>-2.3423497149899282</v>
      </c>
      <c r="D107">
        <v>-2.1832508314838055</v>
      </c>
      <c r="F107">
        <v>56.597222222222221</v>
      </c>
      <c r="G107">
        <v>0.79790760681101336</v>
      </c>
    </row>
    <row r="108" spans="1:7" x14ac:dyDescent="0.2">
      <c r="A108">
        <v>83</v>
      </c>
      <c r="B108">
        <v>3.0951656386557467</v>
      </c>
      <c r="C108">
        <v>2.4915366577970142</v>
      </c>
      <c r="D108">
        <v>2.3223045837248528</v>
      </c>
      <c r="F108">
        <v>57.291666666666664</v>
      </c>
      <c r="G108">
        <v>0.79930043255834871</v>
      </c>
    </row>
    <row r="109" spans="1:7" x14ac:dyDescent="0.2">
      <c r="A109">
        <v>84</v>
      </c>
      <c r="B109">
        <v>1.4128631519342023</v>
      </c>
      <c r="C109">
        <v>0.43909036738476837</v>
      </c>
      <c r="D109">
        <v>0.4092661328726685</v>
      </c>
      <c r="F109">
        <v>57.986111111111107</v>
      </c>
      <c r="G109">
        <v>0.80909571022157933</v>
      </c>
    </row>
    <row r="110" spans="1:7" x14ac:dyDescent="0.2">
      <c r="A110">
        <v>85</v>
      </c>
      <c r="B110">
        <v>-0.15153485787132903</v>
      </c>
      <c r="C110">
        <v>-0.56960548982542203</v>
      </c>
      <c r="D110">
        <v>-0.53091630652788335</v>
      </c>
      <c r="F110">
        <v>58.68055555555555</v>
      </c>
      <c r="G110">
        <v>0.8173714702258239</v>
      </c>
    </row>
    <row r="111" spans="1:7" x14ac:dyDescent="0.2">
      <c r="A111">
        <v>86</v>
      </c>
      <c r="B111">
        <v>-0.74484448968632622</v>
      </c>
      <c r="C111">
        <v>0.7159715972641344</v>
      </c>
      <c r="D111">
        <v>0.66734082235556835</v>
      </c>
      <c r="F111">
        <v>59.375</v>
      </c>
      <c r="G111">
        <v>0.8220675256694463</v>
      </c>
    </row>
    <row r="112" spans="1:7" x14ac:dyDescent="0.2">
      <c r="A112">
        <v>87</v>
      </c>
      <c r="B112">
        <v>0.66948590917094397</v>
      </c>
      <c r="C112">
        <v>1.4859290283021018</v>
      </c>
      <c r="D112">
        <v>1.3850006110553976</v>
      </c>
      <c r="F112">
        <v>60.069444444444443</v>
      </c>
      <c r="G112">
        <v>0.94080499762717185</v>
      </c>
    </row>
    <row r="113" spans="1:7" x14ac:dyDescent="0.2">
      <c r="A113">
        <v>88</v>
      </c>
      <c r="B113">
        <v>0.75172342767004929</v>
      </c>
      <c r="C113">
        <v>1.5592481861105449</v>
      </c>
      <c r="D113">
        <v>1.4533397284914396</v>
      </c>
      <c r="F113">
        <v>60.763888888888886</v>
      </c>
      <c r="G113">
        <v>0.98384974618307341</v>
      </c>
    </row>
    <row r="114" spans="1:7" x14ac:dyDescent="0.2">
      <c r="A114">
        <v>89</v>
      </c>
      <c r="B114">
        <v>0.6213296727019163</v>
      </c>
      <c r="C114">
        <v>-0.36956747356657671</v>
      </c>
      <c r="D114">
        <v>-0.34446542665686763</v>
      </c>
      <c r="F114">
        <v>61.458333333333329</v>
      </c>
      <c r="G114">
        <v>1.084910181769061</v>
      </c>
    </row>
    <row r="115" spans="1:7" x14ac:dyDescent="0.2">
      <c r="A115">
        <v>90</v>
      </c>
      <c r="B115">
        <v>0.97871063795337143</v>
      </c>
      <c r="C115">
        <v>0.21480135672436629</v>
      </c>
      <c r="D115">
        <v>0.20021145334155993</v>
      </c>
      <c r="F115">
        <v>62.152777777777771</v>
      </c>
      <c r="G115">
        <v>1.088562294937061</v>
      </c>
    </row>
    <row r="116" spans="1:7" x14ac:dyDescent="0.2">
      <c r="A116">
        <v>91</v>
      </c>
      <c r="B116">
        <v>1.0613943323349484</v>
      </c>
      <c r="C116">
        <v>2.7167962602112627E-2</v>
      </c>
      <c r="D116">
        <v>2.5322639297282887E-2</v>
      </c>
      <c r="F116">
        <v>62.847222222222221</v>
      </c>
      <c r="G116">
        <v>1.1252408849651883</v>
      </c>
    </row>
    <row r="117" spans="1:7" x14ac:dyDescent="0.2">
      <c r="A117">
        <v>92</v>
      </c>
      <c r="B117">
        <v>0.45586053751450084</v>
      </c>
      <c r="C117">
        <v>1.0240561978346927</v>
      </c>
      <c r="D117">
        <v>0.95449946312493772</v>
      </c>
      <c r="F117">
        <v>63.541666666666664</v>
      </c>
      <c r="G117">
        <v>1.1573512190828252</v>
      </c>
    </row>
    <row r="118" spans="1:7" x14ac:dyDescent="0.2">
      <c r="A118">
        <v>93</v>
      </c>
      <c r="B118">
        <v>-0.75748872867781025</v>
      </c>
      <c r="C118">
        <v>-0.57374319066696011</v>
      </c>
      <c r="D118">
        <v>-0.53477296326231905</v>
      </c>
      <c r="F118">
        <v>64.236111111111114</v>
      </c>
      <c r="G118">
        <v>1.1607317321410837</v>
      </c>
    </row>
    <row r="119" spans="1:7" x14ac:dyDescent="0.2">
      <c r="A119">
        <v>94</v>
      </c>
      <c r="B119">
        <v>0.45205750440822334</v>
      </c>
      <c r="C119">
        <v>1.2609546043666218</v>
      </c>
      <c r="D119">
        <v>1.175307073418197</v>
      </c>
      <c r="F119">
        <v>64.930555555555557</v>
      </c>
      <c r="G119">
        <v>1.1935119946777377</v>
      </c>
    </row>
    <row r="120" spans="1:7" x14ac:dyDescent="0.2">
      <c r="A120">
        <v>95</v>
      </c>
      <c r="B120">
        <v>0.10453678584166637</v>
      </c>
      <c r="C120">
        <v>0.23715835808670693</v>
      </c>
      <c r="D120">
        <v>0.22104990521808712</v>
      </c>
      <c r="F120">
        <v>65.625</v>
      </c>
      <c r="G120">
        <v>1.2933080083597004</v>
      </c>
    </row>
    <row r="121" spans="1:7" x14ac:dyDescent="0.2">
      <c r="A121">
        <v>96</v>
      </c>
      <c r="B121">
        <v>0.81360827523762214</v>
      </c>
      <c r="C121">
        <v>0.54568481789549295</v>
      </c>
      <c r="D121">
        <v>0.50862039292179162</v>
      </c>
      <c r="F121">
        <v>66.319444444444443</v>
      </c>
      <c r="G121">
        <v>1.3006576888791135</v>
      </c>
    </row>
    <row r="122" spans="1:7" x14ac:dyDescent="0.2">
      <c r="A122">
        <v>97</v>
      </c>
      <c r="B122">
        <v>-2.1225001853223042</v>
      </c>
      <c r="C122">
        <v>-0.13431167541975908</v>
      </c>
      <c r="D122">
        <v>-0.12518885423538598</v>
      </c>
      <c r="F122">
        <v>67.013888888888886</v>
      </c>
      <c r="G122">
        <v>1.3072997744824202</v>
      </c>
    </row>
    <row r="123" spans="1:7" x14ac:dyDescent="0.2">
      <c r="A123">
        <v>98</v>
      </c>
      <c r="B123">
        <v>-1.2724457655424208</v>
      </c>
      <c r="C123">
        <v>0.16522476270166919</v>
      </c>
      <c r="D123">
        <v>0.15400223896613355</v>
      </c>
      <c r="F123">
        <v>67.708333333333343</v>
      </c>
      <c r="G123">
        <v>1.3201728926043841</v>
      </c>
    </row>
    <row r="124" spans="1:7" x14ac:dyDescent="0.2">
      <c r="A124">
        <v>99</v>
      </c>
      <c r="B124">
        <v>3.6219754272505511E-2</v>
      </c>
      <c r="C124">
        <v>1.9603291789586765</v>
      </c>
      <c r="D124">
        <v>1.827178188873432</v>
      </c>
      <c r="F124">
        <v>68.402777777777786</v>
      </c>
      <c r="G124">
        <v>1.3282751471537555</v>
      </c>
    </row>
    <row r="125" spans="1:7" x14ac:dyDescent="0.2">
      <c r="A125">
        <v>100</v>
      </c>
      <c r="B125">
        <v>-2.7693678621844904</v>
      </c>
      <c r="C125">
        <v>1.0529890963175559</v>
      </c>
      <c r="D125">
        <v>0.98146715896715275</v>
      </c>
      <c r="F125">
        <v>69.097222222222229</v>
      </c>
      <c r="G125">
        <v>1.3592930931331151</v>
      </c>
    </row>
    <row r="126" spans="1:7" x14ac:dyDescent="0.2">
      <c r="A126">
        <v>101</v>
      </c>
      <c r="B126">
        <v>4.8615396156160395E-2</v>
      </c>
      <c r="C126">
        <v>-0.86900305192368454</v>
      </c>
      <c r="D126">
        <v>-0.8099779565505687</v>
      </c>
      <c r="F126">
        <v>69.791666666666671</v>
      </c>
      <c r="G126">
        <v>1.3893836371301047</v>
      </c>
    </row>
    <row r="127" spans="1:7" x14ac:dyDescent="0.2">
      <c r="A127">
        <v>102</v>
      </c>
      <c r="B127">
        <v>-3.9998579303044961</v>
      </c>
      <c r="C127">
        <v>0.31233371899726858</v>
      </c>
      <c r="D127">
        <v>0.29111914729784405</v>
      </c>
      <c r="F127">
        <v>70.486111111111114</v>
      </c>
      <c r="G127">
        <v>1.4570599695124704</v>
      </c>
    </row>
    <row r="128" spans="1:7" x14ac:dyDescent="0.2">
      <c r="A128">
        <v>103</v>
      </c>
      <c r="B128">
        <v>4.7313879903893268</v>
      </c>
      <c r="C128">
        <v>-0.90989910423238207</v>
      </c>
      <c r="D128">
        <v>-0.84809623565978054</v>
      </c>
      <c r="F128">
        <v>71.180555555555557</v>
      </c>
      <c r="G128">
        <v>1.4746501612318974</v>
      </c>
    </row>
    <row r="129" spans="1:7" x14ac:dyDescent="0.2">
      <c r="A129">
        <v>104</v>
      </c>
      <c r="B129">
        <v>-4.2103203880937619</v>
      </c>
      <c r="C129">
        <v>2.383525469021107</v>
      </c>
      <c r="D129">
        <v>2.2216298141994288</v>
      </c>
      <c r="F129">
        <v>71.875</v>
      </c>
      <c r="G129">
        <v>1.4799167353491935</v>
      </c>
    </row>
    <row r="130" spans="1:7" x14ac:dyDescent="0.2">
      <c r="A130">
        <v>105</v>
      </c>
      <c r="B130">
        <v>-3.9115388964051565</v>
      </c>
      <c r="C130">
        <v>-0.77532100318003394</v>
      </c>
      <c r="D130">
        <v>-0.72265905215906068</v>
      </c>
      <c r="F130">
        <v>72.569444444444443</v>
      </c>
      <c r="G130">
        <v>1.5120608050198472</v>
      </c>
    </row>
    <row r="131" spans="1:7" x14ac:dyDescent="0.2">
      <c r="A131">
        <v>106</v>
      </c>
      <c r="B131">
        <v>2.8497613862469464</v>
      </c>
      <c r="C131">
        <v>-0.60560444231189514</v>
      </c>
      <c r="D131">
        <v>-0.5644701104051052</v>
      </c>
      <c r="F131">
        <v>73.263888888888886</v>
      </c>
      <c r="G131">
        <v>1.5632378548125487</v>
      </c>
    </row>
    <row r="132" spans="1:7" x14ac:dyDescent="0.2">
      <c r="A132">
        <v>107</v>
      </c>
      <c r="B132">
        <v>2.4460424191834989</v>
      </c>
      <c r="C132">
        <v>7.3825714557791411E-2</v>
      </c>
      <c r="D132">
        <v>6.8811267447259572E-2</v>
      </c>
      <c r="F132">
        <v>73.958333333333343</v>
      </c>
      <c r="G132">
        <v>1.5752476292840976</v>
      </c>
    </row>
    <row r="133" spans="1:7" x14ac:dyDescent="0.2">
      <c r="A133">
        <v>108</v>
      </c>
      <c r="B133">
        <v>-0.5218114781979295</v>
      </c>
      <c r="C133">
        <v>-0.86322842316058357</v>
      </c>
      <c r="D133">
        <v>-0.80459555657507875</v>
      </c>
      <c r="F133">
        <v>74.652777777777786</v>
      </c>
      <c r="G133">
        <v>1.7130121087748451</v>
      </c>
    </row>
    <row r="134" spans="1:7" x14ac:dyDescent="0.2">
      <c r="A134">
        <v>109</v>
      </c>
      <c r="B134">
        <v>2.6489674682198006</v>
      </c>
      <c r="C134">
        <v>0.42090391451803377</v>
      </c>
      <c r="D134">
        <v>0.39231495428095681</v>
      </c>
      <c r="F134">
        <v>75.347222222222229</v>
      </c>
      <c r="G134">
        <v>1.8101887790863302</v>
      </c>
    </row>
    <row r="135" spans="1:7" x14ac:dyDescent="0.2">
      <c r="A135">
        <v>110</v>
      </c>
      <c r="B135">
        <v>-1.1985774280050989</v>
      </c>
      <c r="C135">
        <v>1.0383436574358029</v>
      </c>
      <c r="D135">
        <v>0.96781647887809108</v>
      </c>
      <c r="F135">
        <v>76.041666666666671</v>
      </c>
      <c r="G135">
        <v>1.8519535193189707</v>
      </c>
    </row>
    <row r="136" spans="1:7" x14ac:dyDescent="0.2">
      <c r="A136">
        <v>111</v>
      </c>
      <c r="B136">
        <v>0.92808892608755278</v>
      </c>
      <c r="C136">
        <v>-1.1861795982304559</v>
      </c>
      <c r="D136">
        <v>-1.1056109929071394</v>
      </c>
      <c r="F136">
        <v>76.736111111111114</v>
      </c>
      <c r="G136">
        <v>1.9551601207275044</v>
      </c>
    </row>
    <row r="137" spans="1:7" x14ac:dyDescent="0.2">
      <c r="A137">
        <v>112</v>
      </c>
      <c r="B137">
        <v>0.30576955957509833</v>
      </c>
      <c r="C137">
        <v>0.63503543805207352</v>
      </c>
      <c r="D137">
        <v>0.59190207135864581</v>
      </c>
      <c r="F137">
        <v>77.430555555555557</v>
      </c>
      <c r="G137">
        <v>1.9636320377819911</v>
      </c>
    </row>
    <row r="138" spans="1:7" x14ac:dyDescent="0.2">
      <c r="A138">
        <v>113</v>
      </c>
      <c r="B138">
        <v>-1.1032407352621247</v>
      </c>
      <c r="C138">
        <v>-0.37837153357815656</v>
      </c>
      <c r="D138">
        <v>-0.35267149051561031</v>
      </c>
      <c r="F138">
        <v>78.125</v>
      </c>
      <c r="G138">
        <v>1.9965489332311821</v>
      </c>
    </row>
    <row r="139" spans="1:7" x14ac:dyDescent="0.2">
      <c r="A139">
        <v>114</v>
      </c>
      <c r="B139">
        <v>0.27142737679490392</v>
      </c>
      <c r="C139">
        <v>0.49572303775766324</v>
      </c>
      <c r="D139">
        <v>0.46205215533955823</v>
      </c>
      <c r="F139">
        <v>78.819444444444443</v>
      </c>
      <c r="G139">
        <v>2.1127325139720563</v>
      </c>
    </row>
    <row r="140" spans="1:7" x14ac:dyDescent="0.2">
      <c r="A140">
        <v>115</v>
      </c>
      <c r="B140">
        <v>1.3610007935494495</v>
      </c>
      <c r="C140">
        <v>0.60263124423254166</v>
      </c>
      <c r="D140">
        <v>0.56169886017830362</v>
      </c>
      <c r="F140">
        <v>79.513888888888886</v>
      </c>
      <c r="G140">
        <v>2.1320616401803507</v>
      </c>
    </row>
    <row r="141" spans="1:7" x14ac:dyDescent="0.2">
      <c r="A141">
        <v>116</v>
      </c>
      <c r="B141">
        <v>4.581708210198876E-2</v>
      </c>
      <c r="C141">
        <v>-0.67105455146050319</v>
      </c>
      <c r="D141">
        <v>-0.62547466677213714</v>
      </c>
      <c r="F141">
        <v>80.208333333333343</v>
      </c>
      <c r="G141">
        <v>2.1528110708148573</v>
      </c>
    </row>
    <row r="142" spans="1:7" x14ac:dyDescent="0.2">
      <c r="A142">
        <v>117</v>
      </c>
      <c r="B142">
        <v>-0.24836986782195802</v>
      </c>
      <c r="C142">
        <v>0.52774033601554837</v>
      </c>
      <c r="D142">
        <v>0.49189474997692356</v>
      </c>
      <c r="F142">
        <v>80.902777777777786</v>
      </c>
      <c r="G142">
        <v>2.1554149374730458</v>
      </c>
    </row>
    <row r="143" spans="1:7" x14ac:dyDescent="0.2">
      <c r="A143">
        <v>118</v>
      </c>
      <c r="B143">
        <v>-0.32782771646603187</v>
      </c>
      <c r="C143">
        <v>-1.3746392838356227</v>
      </c>
      <c r="D143">
        <v>-1.2812699744270812</v>
      </c>
      <c r="F143">
        <v>81.597222222222229</v>
      </c>
      <c r="G143">
        <v>2.1937669383125291</v>
      </c>
    </row>
    <row r="144" spans="1:7" x14ac:dyDescent="0.2">
      <c r="A144">
        <v>119</v>
      </c>
      <c r="B144">
        <v>3.1107341484561482</v>
      </c>
      <c r="C144">
        <v>5.5953207842368347E-2</v>
      </c>
      <c r="D144">
        <v>5.2152710914288969E-2</v>
      </c>
      <c r="F144">
        <v>82.291666666666671</v>
      </c>
      <c r="G144">
        <v>2.2441569439350513</v>
      </c>
    </row>
    <row r="145" spans="1:7" x14ac:dyDescent="0.2">
      <c r="A145">
        <v>120</v>
      </c>
      <c r="B145">
        <v>3.1777453691882274</v>
      </c>
      <c r="C145">
        <v>0.40232601042912464</v>
      </c>
      <c r="D145">
        <v>0.37499891291882753</v>
      </c>
      <c r="F145">
        <v>82.986111111111114</v>
      </c>
      <c r="G145">
        <v>2.3109716137805942</v>
      </c>
    </row>
    <row r="146" spans="1:7" x14ac:dyDescent="0.2">
      <c r="A146">
        <v>121</v>
      </c>
      <c r="B146">
        <v>-0.37975316535320441</v>
      </c>
      <c r="C146">
        <v>0.43493602367671502</v>
      </c>
      <c r="D146">
        <v>0.40539396370133024</v>
      </c>
      <c r="F146">
        <v>83.680555555555557</v>
      </c>
      <c r="G146">
        <v>2.3644571963769208</v>
      </c>
    </row>
    <row r="147" spans="1:7" x14ac:dyDescent="0.2">
      <c r="A147">
        <v>122</v>
      </c>
      <c r="B147">
        <v>-9.7516108908238475E-2</v>
      </c>
      <c r="C147">
        <v>0.91488757913406238</v>
      </c>
      <c r="D147">
        <v>0.85274587952262126</v>
      </c>
      <c r="F147">
        <v>84.375</v>
      </c>
      <c r="G147">
        <v>2.3878145236429944</v>
      </c>
    </row>
    <row r="148" spans="1:7" x14ac:dyDescent="0.2">
      <c r="A148">
        <v>123</v>
      </c>
      <c r="B148">
        <v>1.0270951976485954</v>
      </c>
      <c r="C148">
        <v>1.5072215975229484</v>
      </c>
      <c r="D148">
        <v>1.4048469299711193</v>
      </c>
      <c r="F148">
        <v>85.069444444444443</v>
      </c>
      <c r="G148">
        <v>2.4047017706743326</v>
      </c>
    </row>
    <row r="149" spans="1:7" x14ac:dyDescent="0.2">
      <c r="A149">
        <v>124</v>
      </c>
      <c r="B149">
        <v>-0.81455165225775938</v>
      </c>
      <c r="C149">
        <v>0.31805567949936786</v>
      </c>
      <c r="D149">
        <v>0.29645245638656798</v>
      </c>
      <c r="F149">
        <v>85.763888888888886</v>
      </c>
      <c r="G149">
        <v>2.4711222871909655</v>
      </c>
    </row>
    <row r="150" spans="1:7" x14ac:dyDescent="0.2">
      <c r="A150">
        <v>125</v>
      </c>
      <c r="B150">
        <v>0.86090431085498598</v>
      </c>
      <c r="C150">
        <v>0.29644690822783926</v>
      </c>
      <c r="D150">
        <v>0.2763114127396713</v>
      </c>
      <c r="F150">
        <v>86.458333333333343</v>
      </c>
      <c r="G150">
        <v>2.5118747000438195</v>
      </c>
    </row>
    <row r="151" spans="1:7" x14ac:dyDescent="0.2">
      <c r="A151">
        <v>126</v>
      </c>
      <c r="B151">
        <v>0.49798087652612566</v>
      </c>
      <c r="C151">
        <v>0.66275085561495806</v>
      </c>
      <c r="D151">
        <v>0.61773498095871748</v>
      </c>
      <c r="F151">
        <v>87.152777777777786</v>
      </c>
      <c r="G151">
        <v>2.5198681337412903</v>
      </c>
    </row>
    <row r="152" spans="1:7" x14ac:dyDescent="0.2">
      <c r="A152">
        <v>127</v>
      </c>
      <c r="B152">
        <v>1.2738350961724223</v>
      </c>
      <c r="C152">
        <v>-0.28998534998934888</v>
      </c>
      <c r="D152">
        <v>-0.27028874144230447</v>
      </c>
      <c r="F152">
        <v>87.847222222222229</v>
      </c>
      <c r="G152">
        <v>2.5257042870557784</v>
      </c>
    </row>
    <row r="153" spans="1:7" x14ac:dyDescent="0.2">
      <c r="A153">
        <v>128</v>
      </c>
      <c r="B153">
        <v>0.85951578524839056</v>
      </c>
      <c r="C153">
        <v>-0.6582323164546271</v>
      </c>
      <c r="D153">
        <v>-0.61352335349943909</v>
      </c>
      <c r="F153">
        <v>88.541666666666671</v>
      </c>
      <c r="G153">
        <v>2.5343167951715437</v>
      </c>
    </row>
    <row r="154" spans="1:7" x14ac:dyDescent="0.2">
      <c r="A154">
        <v>129</v>
      </c>
      <c r="B154">
        <v>0.85984243840122909</v>
      </c>
      <c r="C154">
        <v>-0.79697987121779612</v>
      </c>
      <c r="D154">
        <v>-0.74284678986100561</v>
      </c>
      <c r="F154">
        <v>89.236111111111114</v>
      </c>
      <c r="G154">
        <v>2.6303236664701828</v>
      </c>
    </row>
    <row r="155" spans="1:7" x14ac:dyDescent="0.2">
      <c r="A155">
        <v>130</v>
      </c>
      <c r="B155">
        <v>-0.61299589471095395</v>
      </c>
      <c r="C155">
        <v>0.62824052301106359</v>
      </c>
      <c r="D155">
        <v>0.58556868577654864</v>
      </c>
      <c r="F155">
        <v>89.930555555555557</v>
      </c>
      <c r="G155">
        <v>2.6535892327475388</v>
      </c>
    </row>
    <row r="156" spans="1:7" x14ac:dyDescent="0.2">
      <c r="A156">
        <v>131</v>
      </c>
      <c r="B156">
        <v>1.2913712681439309</v>
      </c>
      <c r="C156">
        <v>1.2205034318998886</v>
      </c>
      <c r="D156">
        <v>1.1376034566792805</v>
      </c>
      <c r="F156">
        <v>90.625</v>
      </c>
      <c r="G156">
        <v>2.664630651168546</v>
      </c>
    </row>
    <row r="157" spans="1:7" x14ac:dyDescent="0.2">
      <c r="A157">
        <v>132</v>
      </c>
      <c r="B157">
        <v>-3.5263209937059864E-2</v>
      </c>
      <c r="C157">
        <v>-0.69520954952416025</v>
      </c>
      <c r="D157">
        <v>-0.64798899043161506</v>
      </c>
      <c r="F157">
        <v>91.319444444444443</v>
      </c>
      <c r="G157">
        <v>2.683391280512204</v>
      </c>
    </row>
    <row r="158" spans="1:7" x14ac:dyDescent="0.2">
      <c r="A158">
        <v>133</v>
      </c>
      <c r="B158">
        <v>0.88247575890944518</v>
      </c>
      <c r="C158">
        <v>1.7821548922591008</v>
      </c>
      <c r="D158">
        <v>1.6611059934636379</v>
      </c>
      <c r="F158">
        <v>92.013888888888886</v>
      </c>
      <c r="G158">
        <v>2.7070180675265525</v>
      </c>
    </row>
    <row r="159" spans="1:7" x14ac:dyDescent="0.2">
      <c r="A159">
        <v>134</v>
      </c>
      <c r="B159">
        <v>0.54021505099392242</v>
      </c>
      <c r="C159">
        <v>-1.1800206404370377</v>
      </c>
      <c r="D159">
        <v>-1.099870368594082</v>
      </c>
      <c r="F159">
        <v>92.708333333333343</v>
      </c>
      <c r="G159">
        <v>2.8438546235537174</v>
      </c>
    </row>
    <row r="160" spans="1:7" x14ac:dyDescent="0.2">
      <c r="A160">
        <v>135</v>
      </c>
      <c r="B160">
        <v>-0.90504404937687499</v>
      </c>
      <c r="C160">
        <v>-1.6630130504583811</v>
      </c>
      <c r="D160">
        <v>-1.550056595710898</v>
      </c>
      <c r="F160">
        <v>93.402777777777786</v>
      </c>
      <c r="G160">
        <v>2.8609360739223297</v>
      </c>
    </row>
    <row r="161" spans="1:7" x14ac:dyDescent="0.2">
      <c r="A161">
        <v>136</v>
      </c>
      <c r="B161">
        <v>0.94901216185044746</v>
      </c>
      <c r="C161">
        <v>-1.074758805458732</v>
      </c>
      <c r="D161">
        <v>-1.0017582091376172</v>
      </c>
      <c r="F161">
        <v>94.097222222222229</v>
      </c>
      <c r="G161">
        <v>3.0698713827378343</v>
      </c>
    </row>
    <row r="162" spans="1:7" x14ac:dyDescent="0.2">
      <c r="A162">
        <v>137</v>
      </c>
      <c r="B162">
        <v>0.63649644181666321</v>
      </c>
      <c r="C162">
        <v>1.7513180818263312</v>
      </c>
      <c r="D162">
        <v>1.6323637046470671</v>
      </c>
      <c r="F162">
        <v>94.791666666666671</v>
      </c>
      <c r="G162">
        <v>3.1095108983661892</v>
      </c>
    </row>
    <row r="163" spans="1:7" x14ac:dyDescent="0.2">
      <c r="A163">
        <v>138</v>
      </c>
      <c r="B163">
        <v>1.0766173522478082</v>
      </c>
      <c r="C163">
        <v>0.22404033663130529</v>
      </c>
      <c r="D163">
        <v>0.20882289613116639</v>
      </c>
      <c r="F163">
        <v>95.486111111111114</v>
      </c>
      <c r="G163">
        <v>3.1666873562985165</v>
      </c>
    </row>
    <row r="164" spans="1:7" x14ac:dyDescent="0.2">
      <c r="A164">
        <v>139</v>
      </c>
      <c r="B164">
        <v>0.67884207101110894</v>
      </c>
      <c r="C164">
        <v>1.6856151253658118</v>
      </c>
      <c r="D164">
        <v>1.5711234750582117</v>
      </c>
      <c r="F164">
        <v>96.180555555555557</v>
      </c>
      <c r="G164">
        <v>3.3950819422879635</v>
      </c>
    </row>
    <row r="165" spans="1:7" x14ac:dyDescent="0.2">
      <c r="A165">
        <v>140</v>
      </c>
      <c r="B165">
        <v>0.16811534632799774</v>
      </c>
      <c r="C165">
        <v>-0.20575103969322506</v>
      </c>
      <c r="D165">
        <v>-0.1917758589224251</v>
      </c>
      <c r="F165">
        <v>96.875</v>
      </c>
      <c r="G165">
        <v>3.4388141552305238</v>
      </c>
    </row>
    <row r="166" spans="1:7" x14ac:dyDescent="0.2">
      <c r="A166">
        <v>141</v>
      </c>
      <c r="B166">
        <v>0.79103619644572587</v>
      </c>
      <c r="C166">
        <v>0.72102460857412132</v>
      </c>
      <c r="D166">
        <v>0.67205061913502717</v>
      </c>
      <c r="F166">
        <v>97.569444444444443</v>
      </c>
      <c r="G166">
        <v>3.580071379617352</v>
      </c>
    </row>
    <row r="167" spans="1:7" x14ac:dyDescent="0.2">
      <c r="A167">
        <v>142</v>
      </c>
      <c r="B167">
        <v>1.0113430246002673</v>
      </c>
      <c r="C167">
        <v>1.6189806418699155</v>
      </c>
      <c r="D167">
        <v>1.5090149903315684</v>
      </c>
      <c r="F167">
        <v>98.263888888888886</v>
      </c>
      <c r="G167">
        <v>3.8214888861569447</v>
      </c>
    </row>
    <row r="168" spans="1:7" x14ac:dyDescent="0.2">
      <c r="A168">
        <v>143</v>
      </c>
      <c r="B168">
        <v>0.13177961315797609</v>
      </c>
      <c r="C168">
        <v>-6.7329468283543706E-2</v>
      </c>
      <c r="D168">
        <v>-6.2756264221647776E-2</v>
      </c>
      <c r="F168">
        <v>98.958333333333343</v>
      </c>
      <c r="G168">
        <v>4.5018822436456931</v>
      </c>
    </row>
    <row r="169" spans="1:7" ht="17" thickBot="1" x14ac:dyDescent="0.25">
      <c r="A169" s="2">
        <v>144</v>
      </c>
      <c r="B169" s="2">
        <v>0.55351194281559102</v>
      </c>
      <c r="C169" s="2">
        <v>9.6404379950849495E-2</v>
      </c>
      <c r="D169" s="2">
        <v>8.9856327319286694E-2</v>
      </c>
      <c r="F169" s="2">
        <v>99.652777777777786</v>
      </c>
      <c r="G169" s="2">
        <v>5.5867022964527608</v>
      </c>
    </row>
  </sheetData>
  <sortState xmlns:xlrd2="http://schemas.microsoft.com/office/spreadsheetml/2017/richdata2" ref="G26:G169">
    <sortCondition ref="G26"/>
  </sortState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B7BCE-FE9E-E645-B5A1-96CD5B9A4115}">
  <dimension ref="A1:I170"/>
  <sheetViews>
    <sheetView workbookViewId="0">
      <selection activeCell="H9" sqref="H9"/>
    </sheetView>
  </sheetViews>
  <sheetFormatPr baseColWidth="10" defaultRowHeight="16" x14ac:dyDescent="0.2"/>
  <cols>
    <col min="1" max="1" width="18" bestFit="1" customWidth="1"/>
    <col min="2" max="2" width="25" bestFit="1" customWidth="1"/>
    <col min="3" max="3" width="13.5" bestFit="1" customWidth="1"/>
    <col min="4" max="4" width="17.5" bestFit="1" customWidth="1"/>
    <col min="5" max="5" width="12.1640625" bestFit="1" customWidth="1"/>
    <col min="6" max="6" width="19.6640625" bestFit="1" customWidth="1"/>
    <col min="7" max="7" width="16.6640625" bestFit="1" customWidth="1"/>
    <col min="8" max="8" width="12.83203125" bestFit="1" customWidth="1"/>
    <col min="9" max="9" width="12.33203125" bestFit="1" customWidth="1"/>
  </cols>
  <sheetData>
    <row r="1" spans="1:9" x14ac:dyDescent="0.2">
      <c r="A1" t="s">
        <v>21</v>
      </c>
    </row>
    <row r="2" spans="1:9" ht="17" thickBot="1" x14ac:dyDescent="0.25"/>
    <row r="3" spans="1:9" x14ac:dyDescent="0.2">
      <c r="A3" s="4" t="s">
        <v>22</v>
      </c>
      <c r="B3" s="4"/>
    </row>
    <row r="4" spans="1:9" x14ac:dyDescent="0.2">
      <c r="A4" t="s">
        <v>23</v>
      </c>
      <c r="B4">
        <v>0.81889596824749156</v>
      </c>
    </row>
    <row r="5" spans="1:9" x14ac:dyDescent="0.2">
      <c r="A5" t="s">
        <v>24</v>
      </c>
      <c r="B5">
        <v>0.67059060681199678</v>
      </c>
    </row>
    <row r="6" spans="1:9" x14ac:dyDescent="0.2">
      <c r="A6" t="s">
        <v>25</v>
      </c>
      <c r="B6">
        <v>0.66353183410082528</v>
      </c>
    </row>
    <row r="7" spans="1:9" x14ac:dyDescent="0.2">
      <c r="A7" t="s">
        <v>26</v>
      </c>
      <c r="B7">
        <v>1.0839117834339116</v>
      </c>
    </row>
    <row r="8" spans="1:9" ht="17" thickBot="1" x14ac:dyDescent="0.25">
      <c r="A8" s="2" t="s">
        <v>27</v>
      </c>
      <c r="B8" s="2">
        <v>144</v>
      </c>
    </row>
    <row r="10" spans="1:9" ht="17" thickBot="1" x14ac:dyDescent="0.25">
      <c r="A10" t="s">
        <v>28</v>
      </c>
    </row>
    <row r="11" spans="1:9" x14ac:dyDescent="0.2">
      <c r="A11" s="3"/>
      <c r="B11" s="3" t="s">
        <v>33</v>
      </c>
      <c r="C11" s="3" t="s">
        <v>34</v>
      </c>
      <c r="D11" s="3" t="s">
        <v>35</v>
      </c>
      <c r="E11" s="3" t="s">
        <v>36</v>
      </c>
      <c r="F11" s="3" t="s">
        <v>37</v>
      </c>
    </row>
    <row r="12" spans="1:9" x14ac:dyDescent="0.2">
      <c r="A12" t="s">
        <v>29</v>
      </c>
      <c r="B12">
        <v>3</v>
      </c>
      <c r="C12">
        <v>334.84004970395284</v>
      </c>
      <c r="D12">
        <v>111.61334990131762</v>
      </c>
      <c r="E12">
        <v>95.00101990119235</v>
      </c>
      <c r="F12">
        <v>1.3600711045605216E-33</v>
      </c>
    </row>
    <row r="13" spans="1:9" x14ac:dyDescent="0.2">
      <c r="A13" t="s">
        <v>30</v>
      </c>
      <c r="B13">
        <v>140</v>
      </c>
      <c r="C13">
        <v>164.48106559736362</v>
      </c>
      <c r="D13">
        <v>1.1748647542668831</v>
      </c>
    </row>
    <row r="14" spans="1:9" ht="17" thickBot="1" x14ac:dyDescent="0.25">
      <c r="A14" s="2" t="s">
        <v>31</v>
      </c>
      <c r="B14" s="2">
        <v>143</v>
      </c>
      <c r="C14" s="2">
        <v>499.32111530131647</v>
      </c>
      <c r="D14" s="2"/>
      <c r="E14" s="2"/>
      <c r="F14" s="2"/>
    </row>
    <row r="15" spans="1:9" ht="17" thickBot="1" x14ac:dyDescent="0.25"/>
    <row r="16" spans="1:9" x14ac:dyDescent="0.2">
      <c r="A16" s="3"/>
      <c r="B16" s="3" t="s">
        <v>38</v>
      </c>
      <c r="C16" s="3" t="s">
        <v>26</v>
      </c>
      <c r="D16" s="3" t="s">
        <v>39</v>
      </c>
      <c r="E16" s="3" t="s">
        <v>40</v>
      </c>
      <c r="F16" s="3" t="s">
        <v>41</v>
      </c>
      <c r="G16" s="3" t="s">
        <v>42</v>
      </c>
      <c r="H16" s="3" t="s">
        <v>43</v>
      </c>
      <c r="I16" s="3" t="s">
        <v>44</v>
      </c>
    </row>
    <row r="17" spans="1:9" x14ac:dyDescent="0.2">
      <c r="A17" t="s">
        <v>32</v>
      </c>
      <c r="B17">
        <v>0.31831477651563433</v>
      </c>
      <c r="C17">
        <v>0.13569539499274022</v>
      </c>
      <c r="D17">
        <v>2.345803824313009</v>
      </c>
      <c r="E17">
        <v>2.0389637394321137E-2</v>
      </c>
      <c r="F17">
        <v>5.0037691104897364E-2</v>
      </c>
      <c r="G17">
        <v>0.58659186192637125</v>
      </c>
      <c r="H17">
        <v>5.0037691104897364E-2</v>
      </c>
      <c r="I17">
        <v>0.58659186192637125</v>
      </c>
    </row>
    <row r="18" spans="1:9" x14ac:dyDescent="0.2">
      <c r="A18" t="s">
        <v>17</v>
      </c>
      <c r="B18">
        <v>0.57043506749735085</v>
      </c>
      <c r="C18">
        <v>0.70938192458476346</v>
      </c>
      <c r="D18">
        <v>0.80412969054893091</v>
      </c>
      <c r="E18">
        <v>0.42268541343983035</v>
      </c>
      <c r="F18">
        <v>-0.83205110516047087</v>
      </c>
      <c r="G18">
        <v>1.9729212401551726</v>
      </c>
      <c r="H18">
        <v>-0.83205110516047087</v>
      </c>
      <c r="I18">
        <v>1.9729212401551726</v>
      </c>
    </row>
    <row r="19" spans="1:9" x14ac:dyDescent="0.2">
      <c r="A19" t="s">
        <v>18</v>
      </c>
      <c r="B19">
        <v>0.24534400950328145</v>
      </c>
      <c r="C19">
        <v>0.71471699647409204</v>
      </c>
      <c r="D19">
        <v>0.34327434594900524</v>
      </c>
      <c r="E19">
        <v>0.73190701647566392</v>
      </c>
      <c r="F19">
        <v>-1.1676898868779753</v>
      </c>
      <c r="G19">
        <v>1.6583779058845383</v>
      </c>
      <c r="H19">
        <v>-1.1676898868779753</v>
      </c>
      <c r="I19">
        <v>1.6583779058845383</v>
      </c>
    </row>
    <row r="20" spans="1:9" ht="17" thickBot="1" x14ac:dyDescent="0.25">
      <c r="A20" s="2" t="s">
        <v>54</v>
      </c>
      <c r="B20" s="2">
        <v>-0.22900523071125256</v>
      </c>
      <c r="C20" s="2">
        <v>0.7170079996620895</v>
      </c>
      <c r="D20" s="2">
        <v>-0.31939006373593853</v>
      </c>
      <c r="E20" s="2">
        <v>0.74990682961245292</v>
      </c>
      <c r="F20" s="2">
        <v>-1.6465685634670861</v>
      </c>
      <c r="G20" s="2">
        <v>1.1885581020445808</v>
      </c>
      <c r="H20" s="2">
        <v>-1.6465685634670861</v>
      </c>
      <c r="I20" s="2">
        <v>1.1885581020445808</v>
      </c>
    </row>
    <row r="24" spans="1:9" x14ac:dyDescent="0.2">
      <c r="A24" t="s">
        <v>45</v>
      </c>
      <c r="F24" t="s">
        <v>48</v>
      </c>
    </row>
    <row r="25" spans="1:9" ht="17" thickBot="1" x14ac:dyDescent="0.25"/>
    <row r="26" spans="1:9" x14ac:dyDescent="0.2">
      <c r="A26" s="3" t="s">
        <v>46</v>
      </c>
      <c r="B26" s="3" t="s">
        <v>50</v>
      </c>
      <c r="C26" s="3" t="s">
        <v>47</v>
      </c>
      <c r="D26" s="3" t="s">
        <v>52</v>
      </c>
      <c r="F26" s="3" t="s">
        <v>49</v>
      </c>
      <c r="G26" s="3" t="s">
        <v>2</v>
      </c>
    </row>
    <row r="27" spans="1:9" x14ac:dyDescent="0.2">
      <c r="A27">
        <v>1</v>
      </c>
      <c r="B27">
        <v>-0.94654026638473476</v>
      </c>
      <c r="C27">
        <v>-2.1766109546291794</v>
      </c>
      <c r="D27">
        <v>-2.0295084967114061</v>
      </c>
      <c r="F27">
        <v>0.34722222222222221</v>
      </c>
      <c r="G27">
        <v>-7.0047284893671877</v>
      </c>
    </row>
    <row r="28" spans="1:9" x14ac:dyDescent="0.2">
      <c r="A28">
        <v>2</v>
      </c>
      <c r="B28">
        <v>2.1999131435561141</v>
      </c>
      <c r="C28">
        <v>1.2389010116744097</v>
      </c>
      <c r="D28">
        <v>1.1551720459873975</v>
      </c>
      <c r="F28">
        <v>1.0416666666666665</v>
      </c>
      <c r="G28">
        <v>-4.6868598995851904</v>
      </c>
    </row>
    <row r="29" spans="1:9" x14ac:dyDescent="0.2">
      <c r="A29">
        <v>3</v>
      </c>
      <c r="B29">
        <v>-0.36928686297072932</v>
      </c>
      <c r="C29">
        <v>-1.4730308295681651</v>
      </c>
      <c r="D29">
        <v>-1.37347860818598</v>
      </c>
      <c r="F29">
        <v>1.7361111111111112</v>
      </c>
      <c r="G29">
        <v>-4.1526948243374111</v>
      </c>
    </row>
    <row r="30" spans="1:9" x14ac:dyDescent="0.2">
      <c r="A30">
        <v>4</v>
      </c>
      <c r="B30">
        <v>1.1437493885599817</v>
      </c>
      <c r="C30">
        <v>-0.37898412683298366</v>
      </c>
      <c r="D30">
        <v>-0.35337114512378759</v>
      </c>
      <c r="F30">
        <v>2.4305555555555554</v>
      </c>
      <c r="G30">
        <v>-3.6875242113072275</v>
      </c>
    </row>
    <row r="31" spans="1:9" x14ac:dyDescent="0.2">
      <c r="A31">
        <v>5</v>
      </c>
      <c r="B31">
        <v>2.1250132202899099</v>
      </c>
      <c r="C31">
        <v>0.71884140326380752</v>
      </c>
      <c r="D31">
        <v>0.67025975983861286</v>
      </c>
      <c r="F31">
        <v>3.125</v>
      </c>
      <c r="G31">
        <v>-3.3442885744124804</v>
      </c>
    </row>
    <row r="32" spans="1:9" x14ac:dyDescent="0.2">
      <c r="A32">
        <v>6</v>
      </c>
      <c r="B32">
        <v>-0.16284043741357568</v>
      </c>
      <c r="C32">
        <v>-0.24303360058134399</v>
      </c>
      <c r="D32">
        <v>-0.22660859825096072</v>
      </c>
      <c r="F32">
        <v>3.8194444444444446</v>
      </c>
      <c r="G32">
        <v>-3.1231512210139143</v>
      </c>
    </row>
    <row r="33" spans="1:7" x14ac:dyDescent="0.2">
      <c r="A33">
        <v>7</v>
      </c>
      <c r="B33">
        <v>0.33666127088417253</v>
      </c>
      <c r="C33">
        <v>5.7976632568218001E-2</v>
      </c>
      <c r="D33">
        <v>5.4058382899189086E-2</v>
      </c>
      <c r="F33">
        <v>4.5138888888888884</v>
      </c>
      <c r="G33">
        <v>-2.9682787226250409</v>
      </c>
    </row>
    <row r="34" spans="1:7" x14ac:dyDescent="0.2">
      <c r="A34">
        <v>8</v>
      </c>
      <c r="B34">
        <v>1.2099282893175138</v>
      </c>
      <c r="C34">
        <v>-2.0547957712334415</v>
      </c>
      <c r="D34">
        <v>-1.9159259801829864</v>
      </c>
      <c r="F34">
        <v>5.208333333333333</v>
      </c>
      <c r="G34">
        <v>-2.5680570998352561</v>
      </c>
    </row>
    <row r="35" spans="1:7" x14ac:dyDescent="0.2">
      <c r="A35">
        <v>9</v>
      </c>
      <c r="B35">
        <v>1.257329412126627</v>
      </c>
      <c r="C35">
        <v>0.87473222805372375</v>
      </c>
      <c r="D35">
        <v>0.81561497492544721</v>
      </c>
      <c r="F35">
        <v>5.9027777777777777</v>
      </c>
      <c r="G35">
        <v>-2.5280472836281653</v>
      </c>
    </row>
    <row r="36" spans="1:7" x14ac:dyDescent="0.2">
      <c r="A36">
        <v>10</v>
      </c>
      <c r="B36">
        <v>0.18557710199769906</v>
      </c>
      <c r="C36">
        <v>-0.60971720454419609</v>
      </c>
      <c r="D36">
        <v>-0.56851052990514228</v>
      </c>
      <c r="F36">
        <v>6.5972222222222223</v>
      </c>
      <c r="G36">
        <v>-2.5046976641667626</v>
      </c>
    </row>
    <row r="37" spans="1:7" x14ac:dyDescent="0.2">
      <c r="A37">
        <v>11</v>
      </c>
      <c r="B37">
        <v>0.98792274055571161</v>
      </c>
      <c r="C37">
        <v>-0.24272238662162893</v>
      </c>
      <c r="D37">
        <v>-0.22631841714432169</v>
      </c>
      <c r="F37">
        <v>7.291666666666667</v>
      </c>
      <c r="G37">
        <v>-2.2568118607420633</v>
      </c>
    </row>
    <row r="38" spans="1:7" x14ac:dyDescent="0.2">
      <c r="A38">
        <v>12</v>
      </c>
      <c r="B38">
        <v>0.89413732511483057</v>
      </c>
      <c r="C38">
        <v>0.49524631201527414</v>
      </c>
      <c r="D38">
        <v>0.46177595314511455</v>
      </c>
      <c r="F38">
        <v>7.9861111111111107</v>
      </c>
      <c r="G38">
        <v>-1.9001782009329338</v>
      </c>
    </row>
    <row r="39" spans="1:7" x14ac:dyDescent="0.2">
      <c r="A39">
        <v>13</v>
      </c>
      <c r="B39">
        <v>0.56123602602954836</v>
      </c>
      <c r="C39">
        <v>-0.72084023969946687</v>
      </c>
      <c r="D39">
        <v>-0.67212350839738921</v>
      </c>
      <c r="F39">
        <v>8.6805555555555536</v>
      </c>
      <c r="G39">
        <v>-1.8423176925388944</v>
      </c>
    </row>
    <row r="40" spans="1:7" x14ac:dyDescent="0.2">
      <c r="A40">
        <v>14</v>
      </c>
      <c r="B40">
        <v>-0.27197866596430309</v>
      </c>
      <c r="C40">
        <v>0.27415310580397578</v>
      </c>
      <c r="D40">
        <v>0.25562494594895624</v>
      </c>
      <c r="F40">
        <v>9.3749999999999982</v>
      </c>
      <c r="G40">
        <v>-1.8267949190726551</v>
      </c>
    </row>
    <row r="41" spans="1:7" x14ac:dyDescent="0.2">
      <c r="A41">
        <v>15</v>
      </c>
      <c r="B41">
        <v>1.9212529342749218</v>
      </c>
      <c r="C41">
        <v>0.23155813653993551</v>
      </c>
      <c r="D41">
        <v>0.21590868344707126</v>
      </c>
      <c r="F41">
        <v>10.069444444444443</v>
      </c>
      <c r="G41">
        <v>-1.7163787658669345</v>
      </c>
    </row>
    <row r="42" spans="1:7" x14ac:dyDescent="0.2">
      <c r="A42">
        <v>16</v>
      </c>
      <c r="B42">
        <v>-0.71526802952516699</v>
      </c>
      <c r="C42">
        <v>8.2048807737066909E-2</v>
      </c>
      <c r="D42">
        <v>7.6503682062827344E-2</v>
      </c>
      <c r="F42">
        <v>10.763888888888888</v>
      </c>
      <c r="G42">
        <v>-1.7024670003016547</v>
      </c>
    </row>
    <row r="43" spans="1:7" x14ac:dyDescent="0.2">
      <c r="A43">
        <v>17</v>
      </c>
      <c r="B43">
        <v>1.1708280040196897</v>
      </c>
      <c r="C43">
        <v>-0.62771520570679651</v>
      </c>
      <c r="D43">
        <v>-0.58529216752652524</v>
      </c>
      <c r="F43">
        <v>11.458333333333332</v>
      </c>
      <c r="G43">
        <v>-1.4912303020014905</v>
      </c>
    </row>
    <row r="44" spans="1:7" x14ac:dyDescent="0.2">
      <c r="A44">
        <v>18</v>
      </c>
      <c r="B44">
        <v>0.86794068124788715</v>
      </c>
      <c r="C44">
        <v>1.7856485514996516</v>
      </c>
      <c r="D44">
        <v>1.6649686062185434</v>
      </c>
      <c r="F44">
        <v>12.152777777777777</v>
      </c>
      <c r="G44">
        <v>-1.4816122688402813</v>
      </c>
    </row>
    <row r="45" spans="1:7" x14ac:dyDescent="0.2">
      <c r="A45">
        <v>19</v>
      </c>
      <c r="B45">
        <v>0.13709116180468206</v>
      </c>
      <c r="C45">
        <v>-0.32361056155785017</v>
      </c>
      <c r="D45">
        <v>-0.30173990575136928</v>
      </c>
      <c r="F45">
        <v>12.847222222222221</v>
      </c>
      <c r="G45">
        <v>-1.3850399013585131</v>
      </c>
    </row>
    <row r="46" spans="1:7" x14ac:dyDescent="0.2">
      <c r="A46">
        <v>20</v>
      </c>
      <c r="B46">
        <v>2.7935866429996712</v>
      </c>
      <c r="C46">
        <v>-0.38888487232533864</v>
      </c>
      <c r="D46">
        <v>-0.36260276598730329</v>
      </c>
      <c r="F46">
        <v>13.541666666666666</v>
      </c>
      <c r="G46">
        <v>-1.3845334693391671</v>
      </c>
    </row>
    <row r="47" spans="1:7" x14ac:dyDescent="0.2">
      <c r="A47">
        <v>21</v>
      </c>
      <c r="B47">
        <v>6.4744178776150352E-2</v>
      </c>
      <c r="C47">
        <v>0.75732334689329595</v>
      </c>
      <c r="D47">
        <v>0.70614096837517548</v>
      </c>
      <c r="F47">
        <v>14.236111111111111</v>
      </c>
      <c r="G47">
        <v>-1.3312319193447704</v>
      </c>
    </row>
    <row r="48" spans="1:7" x14ac:dyDescent="0.2">
      <c r="A48">
        <v>22</v>
      </c>
      <c r="B48">
        <v>0.28685464667076999</v>
      </c>
      <c r="C48">
        <v>0.51105296014024337</v>
      </c>
      <c r="D48">
        <v>0.47651433650477093</v>
      </c>
      <c r="F48">
        <v>14.930555555555554</v>
      </c>
      <c r="G48">
        <v>-1.2793531068196276</v>
      </c>
    </row>
    <row r="49" spans="1:7" x14ac:dyDescent="0.2">
      <c r="A49">
        <v>23</v>
      </c>
      <c r="B49">
        <v>-0.15589750222366769</v>
      </c>
      <c r="C49">
        <v>-7.8277558867343028E-2</v>
      </c>
      <c r="D49">
        <v>-7.2987306475338923E-2</v>
      </c>
      <c r="F49">
        <v>15.624999999999998</v>
      </c>
      <c r="G49">
        <v>-1.1425691586862545</v>
      </c>
    </row>
    <row r="50" spans="1:7" x14ac:dyDescent="0.2">
      <c r="A50">
        <v>24</v>
      </c>
      <c r="B50">
        <v>0.31890843691746396</v>
      </c>
      <c r="C50">
        <v>0.1301548589822758</v>
      </c>
      <c r="D50">
        <v>0.12135856967503221</v>
      </c>
      <c r="F50">
        <v>16.319444444444443</v>
      </c>
      <c r="G50">
        <v>-1.1072210028407516</v>
      </c>
    </row>
    <row r="51" spans="1:7" x14ac:dyDescent="0.2">
      <c r="A51">
        <v>25</v>
      </c>
      <c r="B51">
        <v>-1.8054715379710351</v>
      </c>
      <c r="C51">
        <v>-1.5388170364414453</v>
      </c>
      <c r="D51">
        <v>-1.4348187689215408</v>
      </c>
      <c r="F51">
        <v>17.013888888888886</v>
      </c>
      <c r="G51">
        <v>-1.0801430002995103</v>
      </c>
    </row>
    <row r="52" spans="1:7" x14ac:dyDescent="0.2">
      <c r="A52">
        <v>26</v>
      </c>
      <c r="B52">
        <v>1.1739130705876377</v>
      </c>
      <c r="C52">
        <v>0.78124705013986673</v>
      </c>
      <c r="D52">
        <v>0.72844782983264222</v>
      </c>
      <c r="F52">
        <v>17.708333333333332</v>
      </c>
      <c r="G52">
        <v>-0.94912629185626851</v>
      </c>
    </row>
    <row r="53" spans="1:7" x14ac:dyDescent="0.2">
      <c r="A53">
        <v>27</v>
      </c>
      <c r="B53">
        <v>-1.1521359081503575</v>
      </c>
      <c r="C53">
        <v>-1.8161428144746834</v>
      </c>
      <c r="D53">
        <v>-1.6934019675765555</v>
      </c>
      <c r="F53">
        <v>18.402777777777775</v>
      </c>
      <c r="G53">
        <v>-0.93339874585644023</v>
      </c>
    </row>
    <row r="54" spans="1:7" x14ac:dyDescent="0.2">
      <c r="A54">
        <v>28</v>
      </c>
      <c r="B54">
        <v>-0.90021429074611847</v>
      </c>
      <c r="C54">
        <v>-4.8912001110150038E-2</v>
      </c>
      <c r="D54">
        <v>-4.5606368760153108E-2</v>
      </c>
      <c r="F54">
        <v>19.097222222222221</v>
      </c>
      <c r="G54">
        <v>-0.8739297602339734</v>
      </c>
    </row>
    <row r="55" spans="1:7" x14ac:dyDescent="0.2">
      <c r="A55">
        <v>29</v>
      </c>
      <c r="B55">
        <v>1.9416110110967788</v>
      </c>
      <c r="C55">
        <v>0.74178026941542519</v>
      </c>
      <c r="D55">
        <v>0.69164834269979081</v>
      </c>
      <c r="F55">
        <v>19.791666666666664</v>
      </c>
      <c r="G55">
        <v>-0.85098504001589137</v>
      </c>
    </row>
    <row r="56" spans="1:7" x14ac:dyDescent="0.2">
      <c r="A56">
        <v>30</v>
      </c>
      <c r="B56">
        <v>7.0007276780627015E-2</v>
      </c>
      <c r="C56">
        <v>1.0149029049884339</v>
      </c>
      <c r="D56">
        <v>0.94631246095241117</v>
      </c>
      <c r="F56">
        <v>20.486111111111111</v>
      </c>
      <c r="G56">
        <v>-0.84486748191592764</v>
      </c>
    </row>
    <row r="57" spans="1:7" x14ac:dyDescent="0.2">
      <c r="A57">
        <v>31</v>
      </c>
      <c r="B57">
        <v>-1.2358687404774562</v>
      </c>
      <c r="C57">
        <v>0.63380937925039094</v>
      </c>
      <c r="D57">
        <v>0.59097447697225058</v>
      </c>
      <c r="F57">
        <v>21.180555555555554</v>
      </c>
      <c r="G57">
        <v>-0.83998798555617005</v>
      </c>
    </row>
    <row r="58" spans="1:7" x14ac:dyDescent="0.2">
      <c r="A58">
        <v>32</v>
      </c>
      <c r="B58">
        <v>-0.27499863377813955</v>
      </c>
      <c r="C58">
        <v>-1.1095348355610275</v>
      </c>
      <c r="D58">
        <v>-1.0345488574241004</v>
      </c>
      <c r="F58">
        <v>21.875</v>
      </c>
      <c r="G58">
        <v>-0.82038765576752415</v>
      </c>
    </row>
    <row r="59" spans="1:7" x14ac:dyDescent="0.2">
      <c r="A59">
        <v>33</v>
      </c>
      <c r="B59">
        <v>0.41905787785134413</v>
      </c>
      <c r="C59">
        <v>9.3634271512536726E-2</v>
      </c>
      <c r="D59">
        <v>8.7306162460461828E-2</v>
      </c>
      <c r="F59">
        <v>22.569444444444443</v>
      </c>
      <c r="G59">
        <v>-0.73047275946122014</v>
      </c>
    </row>
    <row r="60" spans="1:7" x14ac:dyDescent="0.2">
      <c r="A60">
        <v>34</v>
      </c>
      <c r="B60">
        <v>3.2053561970041815</v>
      </c>
      <c r="C60">
        <v>-1.0926236830321252</v>
      </c>
      <c r="D60">
        <v>-1.0187806156656936</v>
      </c>
      <c r="F60">
        <v>23.263888888888886</v>
      </c>
      <c r="G60">
        <v>-0.72114034769675106</v>
      </c>
    </row>
    <row r="61" spans="1:7" x14ac:dyDescent="0.2">
      <c r="A61">
        <v>35</v>
      </c>
      <c r="B61">
        <v>1.7048161399132438</v>
      </c>
      <c r="C61">
        <v>-1.2581736436782511</v>
      </c>
      <c r="D61">
        <v>-1.1731421707460741</v>
      </c>
      <c r="F61">
        <v>23.958333333333332</v>
      </c>
      <c r="G61">
        <v>-0.70844610563042631</v>
      </c>
    </row>
    <row r="62" spans="1:7" x14ac:dyDescent="0.2">
      <c r="A62">
        <v>36</v>
      </c>
      <c r="B62">
        <v>0.73461332209424057</v>
      </c>
      <c r="C62">
        <v>7.4482388127338761E-2</v>
      </c>
      <c r="D62">
        <v>6.9448625735481412E-2</v>
      </c>
      <c r="F62">
        <v>24.652777777777775</v>
      </c>
      <c r="G62">
        <v>-0.63980558944311527</v>
      </c>
    </row>
    <row r="63" spans="1:7" x14ac:dyDescent="0.2">
      <c r="A63">
        <v>37</v>
      </c>
      <c r="B63">
        <v>1.831107993472558</v>
      </c>
      <c r="C63">
        <v>1.5639739488154054</v>
      </c>
      <c r="D63">
        <v>1.4582754952167893</v>
      </c>
      <c r="F63">
        <v>25.347222222222221</v>
      </c>
      <c r="G63">
        <v>-0.63321922178810008</v>
      </c>
    </row>
    <row r="64" spans="1:7" x14ac:dyDescent="0.2">
      <c r="A64">
        <v>38</v>
      </c>
      <c r="B64">
        <v>3.0819995600178762</v>
      </c>
      <c r="C64">
        <v>2.7511338348312986E-2</v>
      </c>
      <c r="D64">
        <v>2.5652032493476012E-2</v>
      </c>
      <c r="F64">
        <v>26.041666666666664</v>
      </c>
      <c r="G64">
        <v>-0.62523746935851443</v>
      </c>
    </row>
    <row r="65" spans="1:7" x14ac:dyDescent="0.2">
      <c r="A65">
        <v>39</v>
      </c>
      <c r="B65">
        <v>2.391012635786109</v>
      </c>
      <c r="C65">
        <v>-0.81576500650201145</v>
      </c>
      <c r="D65">
        <v>-0.76063295027279054</v>
      </c>
      <c r="F65">
        <v>26.736111111111111</v>
      </c>
      <c r="G65">
        <v>-0.60205936122706527</v>
      </c>
    </row>
    <row r="66" spans="1:7" x14ac:dyDescent="0.2">
      <c r="A66">
        <v>40</v>
      </c>
      <c r="B66">
        <v>-0.30952876074474894</v>
      </c>
      <c r="C66">
        <v>0.7036728117529667</v>
      </c>
      <c r="D66">
        <v>0.65611631114883973</v>
      </c>
      <c r="F66">
        <v>27.430555555555554</v>
      </c>
      <c r="G66">
        <v>-0.49649597275839152</v>
      </c>
    </row>
    <row r="67" spans="1:7" x14ac:dyDescent="0.2">
      <c r="A67">
        <v>41</v>
      </c>
      <c r="B67">
        <v>-1.0108152490198499</v>
      </c>
      <c r="C67">
        <v>1.3033026422829208</v>
      </c>
      <c r="D67">
        <v>1.2152212046319704</v>
      </c>
      <c r="F67">
        <v>28.125</v>
      </c>
      <c r="G67">
        <v>-0.45287219230992509</v>
      </c>
    </row>
    <row r="68" spans="1:7" x14ac:dyDescent="0.2">
      <c r="A68">
        <v>42</v>
      </c>
      <c r="B68">
        <v>-0.57635415204172435</v>
      </c>
      <c r="C68">
        <v>-0.35704459381471587</v>
      </c>
      <c r="D68">
        <v>-0.33291435720780432</v>
      </c>
      <c r="F68">
        <v>28.819444444444443</v>
      </c>
      <c r="G68">
        <v>-0.44945692130845749</v>
      </c>
    </row>
    <row r="69" spans="1:7" x14ac:dyDescent="0.2">
      <c r="A69">
        <v>43</v>
      </c>
      <c r="B69">
        <v>2.2574792275410722</v>
      </c>
      <c r="C69">
        <v>0.60345684638125752</v>
      </c>
      <c r="D69">
        <v>0.56267326713794052</v>
      </c>
      <c r="F69">
        <v>29.513888888888886</v>
      </c>
      <c r="G69">
        <v>-0.42414010254649709</v>
      </c>
    </row>
    <row r="70" spans="1:7" x14ac:dyDescent="0.2">
      <c r="A70">
        <v>44</v>
      </c>
      <c r="B70">
        <v>0.11246264036673892</v>
      </c>
      <c r="C70">
        <v>-0.56191956167519641</v>
      </c>
      <c r="D70">
        <v>-0.52394320742654221</v>
      </c>
      <c r="F70">
        <v>30.208333333333332</v>
      </c>
      <c r="G70">
        <v>-0.40587403799491967</v>
      </c>
    </row>
    <row r="71" spans="1:7" x14ac:dyDescent="0.2">
      <c r="A71">
        <v>45</v>
      </c>
      <c r="B71">
        <v>1.7216239069881543</v>
      </c>
      <c r="C71">
        <v>0.80408038006762417</v>
      </c>
      <c r="D71">
        <v>0.74973800895171838</v>
      </c>
      <c r="F71">
        <v>30.902777777777775</v>
      </c>
      <c r="G71">
        <v>-0.38364685529762182</v>
      </c>
    </row>
    <row r="72" spans="1:7" x14ac:dyDescent="0.2">
      <c r="A72">
        <v>46</v>
      </c>
      <c r="B72">
        <v>9.8843749682270776E-2</v>
      </c>
      <c r="C72">
        <v>0.22310734864905468</v>
      </c>
      <c r="D72">
        <v>0.20802902732755565</v>
      </c>
      <c r="F72">
        <v>31.597222222222221</v>
      </c>
      <c r="G72">
        <v>-0.34952011853591453</v>
      </c>
    </row>
    <row r="73" spans="1:7" x14ac:dyDescent="0.2">
      <c r="A73">
        <v>47</v>
      </c>
      <c r="B73">
        <v>1.0437217602250402</v>
      </c>
      <c r="C73">
        <v>-1.4273686155226619</v>
      </c>
      <c r="D73">
        <v>-1.3309023952955179</v>
      </c>
      <c r="F73">
        <v>32.291666666666664</v>
      </c>
      <c r="G73">
        <v>-0.32059917407416511</v>
      </c>
    </row>
    <row r="74" spans="1:7" x14ac:dyDescent="0.2">
      <c r="A74">
        <v>48</v>
      </c>
      <c r="B74">
        <v>1.1544905483245638</v>
      </c>
      <c r="C74">
        <v>0.65569823076176648</v>
      </c>
      <c r="D74">
        <v>0.61138400860265596</v>
      </c>
      <c r="F74">
        <v>32.986111111111107</v>
      </c>
      <c r="G74">
        <v>-0.25809067214290327</v>
      </c>
    </row>
    <row r="75" spans="1:7" x14ac:dyDescent="0.2">
      <c r="A75">
        <v>49</v>
      </c>
      <c r="B75">
        <v>-5.9411268903768757E-2</v>
      </c>
      <c r="C75">
        <v>-0.8145184913302046</v>
      </c>
      <c r="D75">
        <v>-0.75947067865641316</v>
      </c>
      <c r="F75">
        <v>33.68055555555555</v>
      </c>
      <c r="G75">
        <v>-0.23417506109101072</v>
      </c>
    </row>
    <row r="76" spans="1:7" x14ac:dyDescent="0.2">
      <c r="A76">
        <v>50</v>
      </c>
      <c r="B76">
        <v>1.0255284685192634</v>
      </c>
      <c r="C76">
        <v>-0.24639303965538872</v>
      </c>
      <c r="D76">
        <v>-0.22974099549009877</v>
      </c>
      <c r="F76">
        <v>34.375</v>
      </c>
      <c r="G76">
        <v>-0.18651939975316809</v>
      </c>
    </row>
    <row r="77" spans="1:7" x14ac:dyDescent="0.2">
      <c r="A77">
        <v>51</v>
      </c>
      <c r="B77">
        <v>0.57390809765836359</v>
      </c>
      <c r="C77">
        <v>0.55133278730682467</v>
      </c>
      <c r="D77">
        <v>0.51407192175296745</v>
      </c>
      <c r="F77">
        <v>35.069444444444443</v>
      </c>
      <c r="G77">
        <v>-0.16023377056929605</v>
      </c>
    </row>
    <row r="78" spans="1:7" x14ac:dyDescent="0.2">
      <c r="A78">
        <v>52</v>
      </c>
      <c r="B78">
        <v>-0.12509652150213652</v>
      </c>
      <c r="C78">
        <v>-0.95504647879737381</v>
      </c>
      <c r="D78">
        <v>-0.89050132700622942</v>
      </c>
      <c r="F78">
        <v>35.763888888888886</v>
      </c>
      <c r="G78">
        <v>-0.15960421366991845</v>
      </c>
    </row>
    <row r="79" spans="1:7" x14ac:dyDescent="0.2">
      <c r="A79">
        <v>53</v>
      </c>
      <c r="B79">
        <v>0.50881903612043067</v>
      </c>
      <c r="C79">
        <v>0.78448897223926972</v>
      </c>
      <c r="D79">
        <v>0.73147065227705832</v>
      </c>
      <c r="F79">
        <v>36.458333333333329</v>
      </c>
      <c r="G79">
        <v>-0.12574664360828455</v>
      </c>
    </row>
    <row r="80" spans="1:7" x14ac:dyDescent="0.2">
      <c r="A80">
        <v>54</v>
      </c>
      <c r="B80">
        <v>4.9327332630140469E-2</v>
      </c>
      <c r="C80">
        <v>-0.39884745116605502</v>
      </c>
      <c r="D80">
        <v>-0.37189204130009607</v>
      </c>
      <c r="F80">
        <v>37.152777777777779</v>
      </c>
      <c r="G80">
        <v>-3.7635693365227305E-2</v>
      </c>
    </row>
    <row r="81" spans="1:7" x14ac:dyDescent="0.2">
      <c r="A81">
        <v>55</v>
      </c>
      <c r="B81">
        <v>0.84310397801546133</v>
      </c>
      <c r="C81">
        <v>1.3506629602970679</v>
      </c>
      <c r="D81">
        <v>1.2593807580938525</v>
      </c>
      <c r="F81">
        <v>37.847222222222221</v>
      </c>
      <c r="G81">
        <v>-2.8872892422191813E-2</v>
      </c>
    </row>
    <row r="82" spans="1:7" x14ac:dyDescent="0.2">
      <c r="A82">
        <v>56</v>
      </c>
      <c r="B82">
        <v>6.9975300574920282E-2</v>
      </c>
      <c r="C82">
        <v>-0.77842140620534661</v>
      </c>
      <c r="D82">
        <v>-0.72581315211883535</v>
      </c>
      <c r="F82">
        <v>38.541666666666664</v>
      </c>
      <c r="G82">
        <v>-2.1093949631446327E-2</v>
      </c>
    </row>
    <row r="83" spans="1:7" x14ac:dyDescent="0.2">
      <c r="A83">
        <v>57</v>
      </c>
      <c r="B83">
        <v>-0.47513850676877767</v>
      </c>
      <c r="C83">
        <v>-0.66743065191747686</v>
      </c>
      <c r="D83">
        <v>-0.62232351452210832</v>
      </c>
      <c r="F83">
        <v>39.236111111111107</v>
      </c>
      <c r="G83">
        <v>2.1744398396726858E-3</v>
      </c>
    </row>
    <row r="84" spans="1:7" x14ac:dyDescent="0.2">
      <c r="A84">
        <v>58</v>
      </c>
      <c r="B84">
        <v>0.14105170702435471</v>
      </c>
      <c r="C84">
        <v>-1.6322820090258452</v>
      </c>
      <c r="D84">
        <v>-1.5219670742268656</v>
      </c>
      <c r="F84">
        <v>39.93055555555555</v>
      </c>
      <c r="G84">
        <v>1.3361896540353232E-2</v>
      </c>
    </row>
    <row r="85" spans="1:7" x14ac:dyDescent="0.2">
      <c r="A85">
        <v>59</v>
      </c>
      <c r="B85">
        <v>0.6178891093299923</v>
      </c>
      <c r="C85">
        <v>1.8532331778609732</v>
      </c>
      <c r="D85">
        <v>1.727985643395376</v>
      </c>
      <c r="F85">
        <v>40.625</v>
      </c>
      <c r="G85">
        <v>1.5244628300109645E-2</v>
      </c>
    </row>
    <row r="86" spans="1:7" x14ac:dyDescent="0.2">
      <c r="A86">
        <v>60</v>
      </c>
      <c r="B86">
        <v>9.1169717987798007E-2</v>
      </c>
      <c r="C86">
        <v>1.4720681368247508</v>
      </c>
      <c r="D86">
        <v>1.3725809773538249</v>
      </c>
      <c r="F86">
        <v>41.319444444444443</v>
      </c>
      <c r="G86">
        <v>4.5162099813618559E-2</v>
      </c>
    </row>
    <row r="87" spans="1:7" x14ac:dyDescent="0.2">
      <c r="A87">
        <v>61</v>
      </c>
      <c r="B87">
        <v>-4.8158737653247845E-2</v>
      </c>
      <c r="C87">
        <v>0.21866457954454557</v>
      </c>
      <c r="D87">
        <v>0.20388651503000807</v>
      </c>
      <c r="F87">
        <v>42.013888888888886</v>
      </c>
      <c r="G87">
        <v>5.5182858323510636E-2</v>
      </c>
    </row>
    <row r="88" spans="1:7" x14ac:dyDescent="0.2">
      <c r="A88">
        <v>62</v>
      </c>
      <c r="B88">
        <v>1.1167260427695977</v>
      </c>
      <c r="C88">
        <v>0.21154910438415775</v>
      </c>
      <c r="D88">
        <v>0.1972519268573108</v>
      </c>
      <c r="F88">
        <v>42.708333333333329</v>
      </c>
      <c r="G88">
        <v>6.2862567183433013E-2</v>
      </c>
    </row>
    <row r="89" spans="1:7" x14ac:dyDescent="0.2">
      <c r="A89">
        <v>63</v>
      </c>
      <c r="B89">
        <v>0.56279391197795114</v>
      </c>
      <c r="C89">
        <v>-0.5494320154375979</v>
      </c>
      <c r="D89">
        <v>-0.51229961023781057</v>
      </c>
      <c r="F89">
        <v>43.402777777777779</v>
      </c>
      <c r="G89">
        <v>6.4450144874432388E-2</v>
      </c>
    </row>
    <row r="90" spans="1:7" x14ac:dyDescent="0.2">
      <c r="A90">
        <v>64</v>
      </c>
      <c r="B90">
        <v>2.9458018705188868E-2</v>
      </c>
      <c r="C90">
        <v>1.5704081108429691E-2</v>
      </c>
      <c r="D90">
        <v>1.4642748156173351E-2</v>
      </c>
      <c r="F90">
        <v>44.097222222222221</v>
      </c>
      <c r="G90">
        <v>0.17050584189129772</v>
      </c>
    </row>
    <row r="91" spans="1:7" x14ac:dyDescent="0.2">
      <c r="A91">
        <v>65</v>
      </c>
      <c r="B91">
        <v>-0.43086584091515301</v>
      </c>
      <c r="C91">
        <v>-2.0971814427130124</v>
      </c>
      <c r="D91">
        <v>-1.9554470899263963</v>
      </c>
      <c r="F91">
        <v>44.791666666666664</v>
      </c>
      <c r="G91">
        <v>0.20128346879376346</v>
      </c>
    </row>
    <row r="92" spans="1:7" x14ac:dyDescent="0.2">
      <c r="A92">
        <v>66</v>
      </c>
      <c r="B92">
        <v>-0.91678084932252801</v>
      </c>
      <c r="C92">
        <v>6.5795809306636643E-2</v>
      </c>
      <c r="D92">
        <v>6.1349114205194288E-2</v>
      </c>
      <c r="F92">
        <v>45.486111111111107</v>
      </c>
      <c r="G92">
        <v>0.25176219913533959</v>
      </c>
    </row>
    <row r="93" spans="1:7" x14ac:dyDescent="0.2">
      <c r="A93">
        <v>67</v>
      </c>
      <c r="B93">
        <v>8.6930876238133614E-2</v>
      </c>
      <c r="C93">
        <v>-2.5916285404048964</v>
      </c>
      <c r="D93">
        <v>-2.4164778422552766</v>
      </c>
      <c r="F93">
        <v>46.18055555555555</v>
      </c>
      <c r="G93">
        <v>0.27937046819359035</v>
      </c>
    </row>
    <row r="94" spans="1:7" x14ac:dyDescent="0.2">
      <c r="A94">
        <v>68</v>
      </c>
      <c r="B94">
        <v>0.88466063012644269</v>
      </c>
      <c r="C94">
        <v>-2.1640137369460701</v>
      </c>
      <c r="D94">
        <v>-2.0177626400306705</v>
      </c>
      <c r="F94">
        <v>46.875</v>
      </c>
      <c r="G94">
        <v>0.29248739326307094</v>
      </c>
    </row>
    <row r="95" spans="1:7" x14ac:dyDescent="0.2">
      <c r="A95">
        <v>69</v>
      </c>
      <c r="B95">
        <v>0.27005528030312781</v>
      </c>
      <c r="C95">
        <v>1.0501176123012563</v>
      </c>
      <c r="D95">
        <v>0.97914724364455019</v>
      </c>
      <c r="F95">
        <v>47.569444444444443</v>
      </c>
      <c r="G95">
        <v>0.32195109833132546</v>
      </c>
    </row>
    <row r="96" spans="1:7" x14ac:dyDescent="0.2">
      <c r="A96">
        <v>70</v>
      </c>
      <c r="B96">
        <v>0.27575000591059962</v>
      </c>
      <c r="C96">
        <v>-1.1157379914667698</v>
      </c>
      <c r="D96">
        <v>-1.0403327838489651</v>
      </c>
      <c r="F96">
        <v>48.263888888888886</v>
      </c>
      <c r="G96">
        <v>0.3416951439283733</v>
      </c>
    </row>
    <row r="97" spans="1:7" x14ac:dyDescent="0.2">
      <c r="A97">
        <v>71</v>
      </c>
      <c r="B97">
        <v>0.56293537327801557</v>
      </c>
      <c r="C97">
        <v>0.74436440120440461</v>
      </c>
      <c r="D97">
        <v>0.69405783044550018</v>
      </c>
      <c r="F97">
        <v>48.958333333333329</v>
      </c>
      <c r="G97">
        <v>0.3941440510082177</v>
      </c>
    </row>
    <row r="98" spans="1:7" x14ac:dyDescent="0.2">
      <c r="A98">
        <v>72</v>
      </c>
      <c r="B98">
        <v>0.91449680068813777</v>
      </c>
      <c r="C98">
        <v>-0.11519636812978906</v>
      </c>
      <c r="D98">
        <v>-0.10741102235678684</v>
      </c>
      <c r="F98">
        <v>49.652777777777779</v>
      </c>
      <c r="G98">
        <v>0.39463790345239053</v>
      </c>
    </row>
    <row r="99" spans="1:7" x14ac:dyDescent="0.2">
      <c r="A99">
        <v>73</v>
      </c>
      <c r="B99">
        <v>1.1186133135857614</v>
      </c>
      <c r="C99">
        <v>-1.1397072632172078</v>
      </c>
      <c r="D99">
        <v>-1.0626821341423833</v>
      </c>
      <c r="F99">
        <v>50.347222222222221</v>
      </c>
      <c r="G99">
        <v>0.44664249623499269</v>
      </c>
    </row>
    <row r="100" spans="1:7" x14ac:dyDescent="0.2">
      <c r="A100">
        <v>74</v>
      </c>
      <c r="B100">
        <v>-0.86466698144406995</v>
      </c>
      <c r="C100">
        <v>-3.2880278428933414</v>
      </c>
      <c r="D100">
        <v>-3.0658122115867874</v>
      </c>
      <c r="F100">
        <v>51.041666666666664</v>
      </c>
      <c r="G100">
        <v>0.44906329589973976</v>
      </c>
    </row>
    <row r="101" spans="1:7" x14ac:dyDescent="0.2">
      <c r="A101">
        <v>75</v>
      </c>
      <c r="B101">
        <v>-7.669928864390517</v>
      </c>
      <c r="C101">
        <v>0.66520037502332929</v>
      </c>
      <c r="D101">
        <v>0.62024396700487061</v>
      </c>
      <c r="F101">
        <v>51.736111111111107</v>
      </c>
      <c r="G101">
        <v>0.51269214936388086</v>
      </c>
    </row>
    <row r="102" spans="1:7" x14ac:dyDescent="0.2">
      <c r="A102">
        <v>76</v>
      </c>
      <c r="B102">
        <v>5.3291540041587453</v>
      </c>
      <c r="C102">
        <v>-0.82727176051305218</v>
      </c>
      <c r="D102">
        <v>-0.77136204036824763</v>
      </c>
      <c r="F102">
        <v>52.43055555555555</v>
      </c>
      <c r="G102">
        <v>0.54311279831289316</v>
      </c>
    </row>
    <row r="103" spans="1:7" x14ac:dyDescent="0.2">
      <c r="A103">
        <v>77</v>
      </c>
      <c r="B103">
        <v>2.2255330641836277</v>
      </c>
      <c r="C103">
        <v>0.48148500334292477</v>
      </c>
      <c r="D103">
        <v>0.44894467853584041</v>
      </c>
      <c r="F103">
        <v>53.125</v>
      </c>
      <c r="G103">
        <v>0.64991632276644051</v>
      </c>
    </row>
    <row r="104" spans="1:7" x14ac:dyDescent="0.2">
      <c r="A104">
        <v>78</v>
      </c>
      <c r="B104">
        <v>1.1253304178622898</v>
      </c>
      <c r="C104">
        <v>0.33172955165018059</v>
      </c>
      <c r="D104">
        <v>0.30931018804828414</v>
      </c>
      <c r="F104">
        <v>53.819444444444443</v>
      </c>
      <c r="G104">
        <v>0.74520035393408268</v>
      </c>
    </row>
    <row r="105" spans="1:7" x14ac:dyDescent="0.2">
      <c r="A105">
        <v>79</v>
      </c>
      <c r="B105">
        <v>2.4073293895943504</v>
      </c>
      <c r="C105">
        <v>-2.8602015819042754</v>
      </c>
      <c r="D105">
        <v>-2.6668998428205897</v>
      </c>
      <c r="F105">
        <v>54.513888888888886</v>
      </c>
      <c r="G105">
        <v>0.76476526172699799</v>
      </c>
    </row>
    <row r="106" spans="1:7" x14ac:dyDescent="0.2">
      <c r="A106">
        <v>80</v>
      </c>
      <c r="B106">
        <v>0.45667070952964728</v>
      </c>
      <c r="C106">
        <v>1.0179794517022502</v>
      </c>
      <c r="D106">
        <v>0.94918108461845507</v>
      </c>
      <c r="F106">
        <v>55.208333333333329</v>
      </c>
      <c r="G106">
        <v>0.76715041455256716</v>
      </c>
    </row>
    <row r="107" spans="1:7" x14ac:dyDescent="0.2">
      <c r="A107">
        <v>81</v>
      </c>
      <c r="B107">
        <v>-0.22919676778039705</v>
      </c>
      <c r="C107">
        <v>-9.1402406293768057E-2</v>
      </c>
      <c r="D107">
        <v>-8.5225133962754329E-2</v>
      </c>
      <c r="F107">
        <v>55.902777777777779</v>
      </c>
      <c r="G107">
        <v>0.77913542886387466</v>
      </c>
    </row>
    <row r="108" spans="1:7" x14ac:dyDescent="0.2">
      <c r="A108">
        <v>82</v>
      </c>
      <c r="B108">
        <v>0.40797993558164652</v>
      </c>
      <c r="C108">
        <v>-2.3081581365145802</v>
      </c>
      <c r="D108">
        <v>-2.1521652915727301</v>
      </c>
      <c r="F108">
        <v>56.597222222222221</v>
      </c>
      <c r="G108">
        <v>0.79790760681101336</v>
      </c>
    </row>
    <row r="109" spans="1:7" x14ac:dyDescent="0.2">
      <c r="A109">
        <v>83</v>
      </c>
      <c r="B109">
        <v>3.0662282298026926</v>
      </c>
      <c r="C109">
        <v>2.5204740666500682</v>
      </c>
      <c r="D109">
        <v>2.3501322195994101</v>
      </c>
      <c r="F109">
        <v>57.291666666666664</v>
      </c>
      <c r="G109">
        <v>0.79930043255834871</v>
      </c>
    </row>
    <row r="110" spans="1:7" x14ac:dyDescent="0.2">
      <c r="A110">
        <v>84</v>
      </c>
      <c r="B110">
        <v>1.3753672621521869</v>
      </c>
      <c r="C110">
        <v>0.47658625716678382</v>
      </c>
      <c r="D110">
        <v>0.44437700558235921</v>
      </c>
      <c r="F110">
        <v>57.986111111111107</v>
      </c>
      <c r="G110">
        <v>0.80909571022157933</v>
      </c>
    </row>
    <row r="111" spans="1:7" x14ac:dyDescent="0.2">
      <c r="A111">
        <v>85</v>
      </c>
      <c r="B111">
        <v>-0.19050447050482713</v>
      </c>
      <c r="C111">
        <v>-0.53063587719192395</v>
      </c>
      <c r="D111">
        <v>-0.49477377623710078</v>
      </c>
      <c r="F111">
        <v>58.68055555555555</v>
      </c>
      <c r="G111">
        <v>0.8173714702258239</v>
      </c>
    </row>
    <row r="112" spans="1:7" x14ac:dyDescent="0.2">
      <c r="A112">
        <v>86</v>
      </c>
      <c r="B112">
        <v>-0.77897268574612499</v>
      </c>
      <c r="C112">
        <v>0.75009979332393317</v>
      </c>
      <c r="D112">
        <v>0.69940560608441216</v>
      </c>
      <c r="F112">
        <v>59.375</v>
      </c>
      <c r="G112">
        <v>0.8220675256694463</v>
      </c>
    </row>
    <row r="113" spans="1:7" x14ac:dyDescent="0.2">
      <c r="A113">
        <v>87</v>
      </c>
      <c r="B113">
        <v>0.64512214771740339</v>
      </c>
      <c r="C113">
        <v>1.5102927897556424</v>
      </c>
      <c r="D113">
        <v>1.4082222837352427</v>
      </c>
      <c r="F113">
        <v>60.069444444444443</v>
      </c>
      <c r="G113">
        <v>0.94080499762717185</v>
      </c>
    </row>
    <row r="114" spans="1:7" x14ac:dyDescent="0.2">
      <c r="A114">
        <v>88</v>
      </c>
      <c r="B114">
        <v>0.71597509921616675</v>
      </c>
      <c r="C114">
        <v>1.5949965145644276</v>
      </c>
      <c r="D114">
        <v>1.4872014549265506</v>
      </c>
      <c r="F114">
        <v>60.763888888888886</v>
      </c>
      <c r="G114">
        <v>0.98384974618307341</v>
      </c>
    </row>
    <row r="115" spans="1:7" x14ac:dyDescent="0.2">
      <c r="A115">
        <v>89</v>
      </c>
      <c r="B115">
        <v>0.59652555628028603</v>
      </c>
      <c r="C115">
        <v>-0.34476335714494644</v>
      </c>
      <c r="D115">
        <v>-0.32146312651432146</v>
      </c>
      <c r="F115">
        <v>61.458333333333329</v>
      </c>
      <c r="G115">
        <v>1.084910181769061</v>
      </c>
    </row>
    <row r="116" spans="1:7" x14ac:dyDescent="0.2">
      <c r="A116">
        <v>90</v>
      </c>
      <c r="B116">
        <v>0.95273632539629916</v>
      </c>
      <c r="C116">
        <v>0.24077566928143856</v>
      </c>
      <c r="D116">
        <v>0.22450326530278147</v>
      </c>
      <c r="F116">
        <v>62.152777777777771</v>
      </c>
      <c r="G116">
        <v>1.088562294937061</v>
      </c>
    </row>
    <row r="117" spans="1:7" x14ac:dyDescent="0.2">
      <c r="A117">
        <v>91</v>
      </c>
      <c r="B117">
        <v>1.0315473108590121</v>
      </c>
      <c r="C117">
        <v>5.7014984078048947E-2</v>
      </c>
      <c r="D117">
        <v>5.3161725746243588E-2</v>
      </c>
      <c r="F117">
        <v>62.847222222222221</v>
      </c>
      <c r="G117">
        <v>1.1252408849651883</v>
      </c>
    </row>
    <row r="118" spans="1:7" x14ac:dyDescent="0.2">
      <c r="A118">
        <v>92</v>
      </c>
      <c r="B118">
        <v>0.42663154932536318</v>
      </c>
      <c r="C118">
        <v>1.0532851860238304</v>
      </c>
      <c r="D118">
        <v>0.98210074241760903</v>
      </c>
      <c r="F118">
        <v>63.541666666666664</v>
      </c>
      <c r="G118">
        <v>1.1573512190828252</v>
      </c>
    </row>
    <row r="119" spans="1:7" x14ac:dyDescent="0.2">
      <c r="A119">
        <v>93</v>
      </c>
      <c r="B119">
        <v>-0.78134296274386406</v>
      </c>
      <c r="C119">
        <v>-0.54988895660090631</v>
      </c>
      <c r="D119">
        <v>-0.51272566982896506</v>
      </c>
      <c r="F119">
        <v>64.236111111111114</v>
      </c>
      <c r="G119">
        <v>1.1607317321410837</v>
      </c>
    </row>
    <row r="120" spans="1:7" x14ac:dyDescent="0.2">
      <c r="A120">
        <v>94</v>
      </c>
      <c r="B120">
        <v>0.43550043398920674</v>
      </c>
      <c r="C120">
        <v>1.2775116747856383</v>
      </c>
      <c r="D120">
        <v>1.1911732747238624</v>
      </c>
      <c r="F120">
        <v>64.930555555555557</v>
      </c>
      <c r="G120">
        <v>1.1935119946777377</v>
      </c>
    </row>
    <row r="121" spans="1:7" x14ac:dyDescent="0.2">
      <c r="A121">
        <v>95</v>
      </c>
      <c r="B121">
        <v>7.307163751262713E-2</v>
      </c>
      <c r="C121">
        <v>0.26862350641574617</v>
      </c>
      <c r="D121">
        <v>0.25046905489825899</v>
      </c>
      <c r="F121">
        <v>65.625</v>
      </c>
      <c r="G121">
        <v>1.2933080083597004</v>
      </c>
    </row>
    <row r="122" spans="1:7" x14ac:dyDescent="0.2">
      <c r="A122">
        <v>96</v>
      </c>
      <c r="B122">
        <v>0.79726226643063525</v>
      </c>
      <c r="C122">
        <v>0.56203082670247984</v>
      </c>
      <c r="D122">
        <v>0.5240469528008721</v>
      </c>
      <c r="F122">
        <v>66.319444444444443</v>
      </c>
      <c r="G122">
        <v>1.3006576888791135</v>
      </c>
    </row>
    <row r="123" spans="1:7" x14ac:dyDescent="0.2">
      <c r="A123">
        <v>97</v>
      </c>
      <c r="B123">
        <v>-2.1375039217290421</v>
      </c>
      <c r="C123">
        <v>-0.11930793901302117</v>
      </c>
      <c r="D123">
        <v>-0.11124471988762206</v>
      </c>
      <c r="F123">
        <v>67.013888888888886</v>
      </c>
      <c r="G123">
        <v>1.3072997744824202</v>
      </c>
    </row>
    <row r="124" spans="1:7" x14ac:dyDescent="0.2">
      <c r="A124">
        <v>98</v>
      </c>
      <c r="B124">
        <v>-1.2814121178964877</v>
      </c>
      <c r="C124">
        <v>0.17419111505573603</v>
      </c>
      <c r="D124">
        <v>0.16241871212923242</v>
      </c>
      <c r="F124">
        <v>67.708333333333343</v>
      </c>
      <c r="G124">
        <v>1.3201728926043841</v>
      </c>
    </row>
    <row r="125" spans="1:7" x14ac:dyDescent="0.2">
      <c r="A125">
        <v>99</v>
      </c>
      <c r="B125">
        <v>3.378630687392159E-2</v>
      </c>
      <c r="C125">
        <v>1.9627626263572604</v>
      </c>
      <c r="D125">
        <v>1.8301127350056448</v>
      </c>
      <c r="F125">
        <v>68.402777777777786</v>
      </c>
      <c r="G125">
        <v>1.3282751471537555</v>
      </c>
    </row>
    <row r="126" spans="1:7" x14ac:dyDescent="0.2">
      <c r="A126">
        <v>100</v>
      </c>
      <c r="B126">
        <v>-2.7797617405230506</v>
      </c>
      <c r="C126">
        <v>1.0633829746561161</v>
      </c>
      <c r="D126">
        <v>0.99151608960385484</v>
      </c>
      <c r="F126">
        <v>69.097222222222229</v>
      </c>
      <c r="G126">
        <v>1.3592930931331151</v>
      </c>
    </row>
    <row r="127" spans="1:7" x14ac:dyDescent="0.2">
      <c r="A127">
        <v>101</v>
      </c>
      <c r="B127">
        <v>6.7829873216439962E-2</v>
      </c>
      <c r="C127">
        <v>-0.88821752898396411</v>
      </c>
      <c r="D127">
        <v>-0.82818889529482975</v>
      </c>
      <c r="F127">
        <v>69.791666666666671</v>
      </c>
      <c r="G127">
        <v>1.3893836371301047</v>
      </c>
    </row>
    <row r="128" spans="1:7" x14ac:dyDescent="0.2">
      <c r="A128">
        <v>102</v>
      </c>
      <c r="B128">
        <v>-4.0004239769051626</v>
      </c>
      <c r="C128">
        <v>0.31289976559793509</v>
      </c>
      <c r="D128">
        <v>0.29175298026936775</v>
      </c>
      <c r="F128">
        <v>70.486111111111114</v>
      </c>
      <c r="G128">
        <v>1.4570599695124704</v>
      </c>
    </row>
    <row r="129" spans="1:7" x14ac:dyDescent="0.2">
      <c r="A129">
        <v>103</v>
      </c>
      <c r="B129">
        <v>4.7476436636318846</v>
      </c>
      <c r="C129">
        <v>-0.92615477747493991</v>
      </c>
      <c r="D129">
        <v>-0.86356222096450808</v>
      </c>
      <c r="F129">
        <v>71.180555555555557</v>
      </c>
      <c r="G129">
        <v>1.4746501612318974</v>
      </c>
    </row>
    <row r="130" spans="1:7" x14ac:dyDescent="0.2">
      <c r="A130">
        <v>104</v>
      </c>
      <c r="B130">
        <v>-4.2201344433270984</v>
      </c>
      <c r="C130">
        <v>2.3933395242544435</v>
      </c>
      <c r="D130">
        <v>2.2315898436784019</v>
      </c>
      <c r="F130">
        <v>71.875</v>
      </c>
      <c r="G130">
        <v>1.4799167353491935</v>
      </c>
    </row>
    <row r="131" spans="1:7" x14ac:dyDescent="0.2">
      <c r="A131">
        <v>105</v>
      </c>
      <c r="B131">
        <v>-3.8624359712906782</v>
      </c>
      <c r="C131">
        <v>-0.82442392829451228</v>
      </c>
      <c r="D131">
        <v>-0.76870667392692604</v>
      </c>
      <c r="F131">
        <v>72.569444444444443</v>
      </c>
      <c r="G131">
        <v>1.5120608050198472</v>
      </c>
    </row>
    <row r="132" spans="1:7" x14ac:dyDescent="0.2">
      <c r="A132">
        <v>106</v>
      </c>
      <c r="B132">
        <v>2.9019467319865573</v>
      </c>
      <c r="C132">
        <v>-0.65778978805150601</v>
      </c>
      <c r="D132">
        <v>-0.61333421163818569</v>
      </c>
      <c r="F132">
        <v>73.263888888888886</v>
      </c>
      <c r="G132">
        <v>1.5632378548125487</v>
      </c>
    </row>
    <row r="133" spans="1:7" x14ac:dyDescent="0.2">
      <c r="A133">
        <v>107</v>
      </c>
      <c r="B133">
        <v>2.4722643674266735</v>
      </c>
      <c r="C133">
        <v>4.7603766314616713E-2</v>
      </c>
      <c r="D133">
        <v>4.4386548733252283E-2</v>
      </c>
      <c r="F133">
        <v>73.958333333333343</v>
      </c>
      <c r="G133">
        <v>1.5752476292840976</v>
      </c>
    </row>
    <row r="134" spans="1:7" x14ac:dyDescent="0.2">
      <c r="A134">
        <v>108</v>
      </c>
      <c r="B134">
        <v>-0.48783746937040839</v>
      </c>
      <c r="C134">
        <v>-0.89720243198810468</v>
      </c>
      <c r="D134">
        <v>-0.83656656928854434</v>
      </c>
      <c r="F134">
        <v>74.652777777777786</v>
      </c>
      <c r="G134">
        <v>1.7130121087748451</v>
      </c>
    </row>
    <row r="135" spans="1:7" x14ac:dyDescent="0.2">
      <c r="A135">
        <v>109</v>
      </c>
      <c r="B135">
        <v>2.6854765156782725</v>
      </c>
      <c r="C135">
        <v>0.38439486705956183</v>
      </c>
      <c r="D135">
        <v>0.35841620990212297</v>
      </c>
      <c r="F135">
        <v>75.347222222222229</v>
      </c>
      <c r="G135">
        <v>1.8101887790863302</v>
      </c>
    </row>
    <row r="136" spans="1:7" x14ac:dyDescent="0.2">
      <c r="A136">
        <v>110</v>
      </c>
      <c r="B136">
        <v>-1.1719783356995666</v>
      </c>
      <c r="C136">
        <v>1.0117445651302706</v>
      </c>
      <c r="D136">
        <v>0.94336757198912979</v>
      </c>
      <c r="F136">
        <v>76.041666666666671</v>
      </c>
      <c r="G136">
        <v>1.8519535193189707</v>
      </c>
    </row>
    <row r="137" spans="1:7" x14ac:dyDescent="0.2">
      <c r="A137">
        <v>111</v>
      </c>
      <c r="B137">
        <v>0.97177476692725917</v>
      </c>
      <c r="C137">
        <v>-1.2298654390701624</v>
      </c>
      <c r="D137">
        <v>-1.1467471268101912</v>
      </c>
      <c r="F137">
        <v>76.736111111111114</v>
      </c>
      <c r="G137">
        <v>1.9551601207275044</v>
      </c>
    </row>
    <row r="138" spans="1:7" x14ac:dyDescent="0.2">
      <c r="A138">
        <v>112</v>
      </c>
      <c r="B138">
        <v>0.33611766858159003</v>
      </c>
      <c r="C138">
        <v>0.60468732904558187</v>
      </c>
      <c r="D138">
        <v>0.56382058977591176</v>
      </c>
      <c r="F138">
        <v>77.430555555555557</v>
      </c>
      <c r="G138">
        <v>1.9636320377819911</v>
      </c>
    </row>
    <row r="139" spans="1:7" x14ac:dyDescent="0.2">
      <c r="A139">
        <v>113</v>
      </c>
      <c r="B139">
        <v>-1.0617235581110374</v>
      </c>
      <c r="C139">
        <v>-0.41988871072924394</v>
      </c>
      <c r="D139">
        <v>-0.39151126400692898</v>
      </c>
      <c r="F139">
        <v>78.125</v>
      </c>
      <c r="G139">
        <v>1.9965489332311821</v>
      </c>
    </row>
    <row r="140" spans="1:7" x14ac:dyDescent="0.2">
      <c r="A140">
        <v>114</v>
      </c>
      <c r="B140">
        <v>0.31877992615083722</v>
      </c>
      <c r="C140">
        <v>0.44837048840172994</v>
      </c>
      <c r="D140">
        <v>0.41806815037415918</v>
      </c>
      <c r="F140">
        <v>78.819444444444443</v>
      </c>
      <c r="G140">
        <v>2.1127325139720563</v>
      </c>
    </row>
    <row r="141" spans="1:7" x14ac:dyDescent="0.2">
      <c r="A141">
        <v>115</v>
      </c>
      <c r="B141">
        <v>1.410510598121915</v>
      </c>
      <c r="C141">
        <v>0.5531214396600761</v>
      </c>
      <c r="D141">
        <v>0.51573969115423146</v>
      </c>
      <c r="F141">
        <v>79.513888888888886</v>
      </c>
      <c r="G141">
        <v>2.1320616401803507</v>
      </c>
    </row>
    <row r="142" spans="1:7" x14ac:dyDescent="0.2">
      <c r="A142">
        <v>116</v>
      </c>
      <c r="B142">
        <v>0.10088548587296275</v>
      </c>
      <c r="C142">
        <v>-0.72612295523147719</v>
      </c>
      <c r="D142">
        <v>-0.67704920080701458</v>
      </c>
      <c r="F142">
        <v>80.208333333333343</v>
      </c>
      <c r="G142">
        <v>2.1528110708148573</v>
      </c>
    </row>
    <row r="143" spans="1:7" x14ac:dyDescent="0.2">
      <c r="A143">
        <v>117</v>
      </c>
      <c r="B143">
        <v>-0.19606276228932781</v>
      </c>
      <c r="C143">
        <v>0.47543323048291819</v>
      </c>
      <c r="D143">
        <v>0.44330190419739951</v>
      </c>
      <c r="F143">
        <v>80.902777777777786</v>
      </c>
      <c r="G143">
        <v>2.1554149374730458</v>
      </c>
    </row>
    <row r="144" spans="1:7" x14ac:dyDescent="0.2">
      <c r="A144">
        <v>118</v>
      </c>
      <c r="B144">
        <v>-0.27054654131697592</v>
      </c>
      <c r="C144">
        <v>-1.4319204589846788</v>
      </c>
      <c r="D144">
        <v>-1.3351466103502185</v>
      </c>
      <c r="F144">
        <v>81.597222222222229</v>
      </c>
      <c r="G144">
        <v>2.1937669383125291</v>
      </c>
    </row>
    <row r="145" spans="1:7" x14ac:dyDescent="0.2">
      <c r="A145">
        <v>119</v>
      </c>
      <c r="B145">
        <v>3.1581354618578494</v>
      </c>
      <c r="C145">
        <v>8.5518944406670627E-3</v>
      </c>
      <c r="D145">
        <v>7.9739295593455016E-3</v>
      </c>
      <c r="F145">
        <v>82.291666666666671</v>
      </c>
      <c r="G145">
        <v>2.2441569439350513</v>
      </c>
    </row>
    <row r="146" spans="1:7" x14ac:dyDescent="0.2">
      <c r="A146">
        <v>120</v>
      </c>
      <c r="B146">
        <v>3.2116398026977273</v>
      </c>
      <c r="C146">
        <v>0.36843157691962469</v>
      </c>
      <c r="D146">
        <v>0.34353177090508075</v>
      </c>
      <c r="F146">
        <v>82.986111111111114</v>
      </c>
      <c r="G146">
        <v>2.3109716137805942</v>
      </c>
    </row>
    <row r="147" spans="1:7" x14ac:dyDescent="0.2">
      <c r="A147">
        <v>121</v>
      </c>
      <c r="B147">
        <v>-0.34898872456040869</v>
      </c>
      <c r="C147">
        <v>0.4041715828839193</v>
      </c>
      <c r="D147">
        <v>0.37685635085483554</v>
      </c>
      <c r="F147">
        <v>83.680555555555557</v>
      </c>
      <c r="G147">
        <v>2.3644571963769208</v>
      </c>
    </row>
    <row r="148" spans="1:7" x14ac:dyDescent="0.2">
      <c r="A148">
        <v>122</v>
      </c>
      <c r="B148">
        <v>-6.2416196956862811E-2</v>
      </c>
      <c r="C148">
        <v>0.87978766718268675</v>
      </c>
      <c r="D148">
        <v>0.82032875101162228</v>
      </c>
      <c r="F148">
        <v>84.375</v>
      </c>
      <c r="G148">
        <v>2.3878145236429944</v>
      </c>
    </row>
    <row r="149" spans="1:7" x14ac:dyDescent="0.2">
      <c r="A149">
        <v>123</v>
      </c>
      <c r="B149">
        <v>1.0653347573219343</v>
      </c>
      <c r="C149">
        <v>1.4689820378496095</v>
      </c>
      <c r="D149">
        <v>1.3697034469993896</v>
      </c>
      <c r="F149">
        <v>85.069444444444443</v>
      </c>
      <c r="G149">
        <v>2.4047017706743326</v>
      </c>
    </row>
    <row r="150" spans="1:7" x14ac:dyDescent="0.2">
      <c r="A150">
        <v>124</v>
      </c>
      <c r="B150">
        <v>-0.76595276109752453</v>
      </c>
      <c r="C150">
        <v>0.269456788339133</v>
      </c>
      <c r="D150">
        <v>0.25124602091511783</v>
      </c>
      <c r="F150">
        <v>85.763888888888886</v>
      </c>
      <c r="G150">
        <v>2.4711222871909655</v>
      </c>
    </row>
    <row r="151" spans="1:7" x14ac:dyDescent="0.2">
      <c r="A151">
        <v>125</v>
      </c>
      <c r="B151">
        <v>0.90697943419368832</v>
      </c>
      <c r="C151">
        <v>0.25037178488913692</v>
      </c>
      <c r="D151">
        <v>0.23345084416147865</v>
      </c>
      <c r="F151">
        <v>86.458333333333343</v>
      </c>
      <c r="G151">
        <v>2.5118747000438195</v>
      </c>
    </row>
    <row r="152" spans="1:7" x14ac:dyDescent="0.2">
      <c r="A152">
        <v>126</v>
      </c>
      <c r="B152">
        <v>0.53772960957155325</v>
      </c>
      <c r="C152">
        <v>0.62300212256953047</v>
      </c>
      <c r="D152">
        <v>0.58089760989901473</v>
      </c>
      <c r="F152">
        <v>87.152777777777786</v>
      </c>
      <c r="G152">
        <v>2.5198681337412903</v>
      </c>
    </row>
    <row r="153" spans="1:7" x14ac:dyDescent="0.2">
      <c r="A153">
        <v>127</v>
      </c>
      <c r="B153">
        <v>1.3142219764005107</v>
      </c>
      <c r="C153">
        <v>-0.33037223021743733</v>
      </c>
      <c r="D153">
        <v>-0.30804459881899987</v>
      </c>
      <c r="F153">
        <v>87.847222222222229</v>
      </c>
      <c r="G153">
        <v>2.5257042870557784</v>
      </c>
    </row>
    <row r="154" spans="1:7" x14ac:dyDescent="0.2">
      <c r="A154">
        <v>128</v>
      </c>
      <c r="B154">
        <v>0.90546313971985315</v>
      </c>
      <c r="C154">
        <v>-0.70417967092608968</v>
      </c>
      <c r="D154">
        <v>-0.65658891512811379</v>
      </c>
      <c r="F154">
        <v>88.541666666666671</v>
      </c>
      <c r="G154">
        <v>2.5343167951715437</v>
      </c>
    </row>
    <row r="155" spans="1:7" x14ac:dyDescent="0.2">
      <c r="A155">
        <v>129</v>
      </c>
      <c r="B155">
        <v>0.89634132260276056</v>
      </c>
      <c r="C155">
        <v>-0.83347875541932759</v>
      </c>
      <c r="D155">
        <v>-0.77714954634148503</v>
      </c>
      <c r="F155">
        <v>89.236111111111114</v>
      </c>
      <c r="G155">
        <v>2.6303236664701828</v>
      </c>
    </row>
    <row r="156" spans="1:7" x14ac:dyDescent="0.2">
      <c r="A156">
        <v>130</v>
      </c>
      <c r="B156">
        <v>-0.57456474268385738</v>
      </c>
      <c r="C156">
        <v>0.58980937098396702</v>
      </c>
      <c r="D156">
        <v>0.54994813258022179</v>
      </c>
      <c r="F156">
        <v>89.930555555555557</v>
      </c>
      <c r="G156">
        <v>2.6535892327475388</v>
      </c>
    </row>
    <row r="157" spans="1:7" x14ac:dyDescent="0.2">
      <c r="A157">
        <v>131</v>
      </c>
      <c r="B157">
        <v>1.3352363905892317</v>
      </c>
      <c r="C157">
        <v>1.1766383094545878</v>
      </c>
      <c r="D157">
        <v>1.097117259984141</v>
      </c>
      <c r="F157">
        <v>90.625</v>
      </c>
      <c r="G157">
        <v>2.664630651168546</v>
      </c>
    </row>
    <row r="158" spans="1:7" x14ac:dyDescent="0.2">
      <c r="A158">
        <v>132</v>
      </c>
      <c r="B158">
        <v>1.0329320869330791E-2</v>
      </c>
      <c r="C158">
        <v>-0.74080208033055095</v>
      </c>
      <c r="D158">
        <v>-0.69073626281940592</v>
      </c>
      <c r="F158">
        <v>91.319444444444443</v>
      </c>
      <c r="G158">
        <v>2.683391280512204</v>
      </c>
    </row>
    <row r="159" spans="1:7" x14ac:dyDescent="0.2">
      <c r="A159">
        <v>133</v>
      </c>
      <c r="B159">
        <v>0.93375855228498983</v>
      </c>
      <c r="C159">
        <v>1.7308720988835562</v>
      </c>
      <c r="D159">
        <v>1.6138941246867646</v>
      </c>
      <c r="F159">
        <v>92.013888888888886</v>
      </c>
      <c r="G159">
        <v>2.7070180675265525</v>
      </c>
    </row>
    <row r="160" spans="1:7" x14ac:dyDescent="0.2">
      <c r="A160">
        <v>134</v>
      </c>
      <c r="B160">
        <v>0.58570668801814996</v>
      </c>
      <c r="C160">
        <v>-1.2255122774612652</v>
      </c>
      <c r="D160">
        <v>-1.1426881660418347</v>
      </c>
      <c r="F160">
        <v>92.708333333333343</v>
      </c>
      <c r="G160">
        <v>2.8438546235537174</v>
      </c>
    </row>
    <row r="161" spans="1:7" x14ac:dyDescent="0.2">
      <c r="A161">
        <v>135</v>
      </c>
      <c r="B161">
        <v>-0.84728138103509443</v>
      </c>
      <c r="C161">
        <v>-1.7207757188001618</v>
      </c>
      <c r="D161">
        <v>-1.604480090855088</v>
      </c>
      <c r="F161">
        <v>93.402777777777786</v>
      </c>
      <c r="G161">
        <v>2.8609360739223297</v>
      </c>
    </row>
    <row r="162" spans="1:7" x14ac:dyDescent="0.2">
      <c r="A162">
        <v>136</v>
      </c>
      <c r="B162">
        <v>1.0071126405907733</v>
      </c>
      <c r="C162">
        <v>-1.1328592841990579</v>
      </c>
      <c r="D162">
        <v>-1.0562969638513495</v>
      </c>
      <c r="F162">
        <v>94.097222222222229</v>
      </c>
      <c r="G162">
        <v>3.0698713827378343</v>
      </c>
    </row>
    <row r="163" spans="1:7" x14ac:dyDescent="0.2">
      <c r="A163">
        <v>137</v>
      </c>
      <c r="B163">
        <v>0.66612080680104491</v>
      </c>
      <c r="C163">
        <v>1.7216937168419495</v>
      </c>
      <c r="D163">
        <v>1.605336047599131</v>
      </c>
      <c r="F163">
        <v>94.791666666666671</v>
      </c>
      <c r="G163">
        <v>3.1095108983661892</v>
      </c>
    </row>
    <row r="164" spans="1:7" x14ac:dyDescent="0.2">
      <c r="A164">
        <v>138</v>
      </c>
      <c r="B164">
        <v>1.1149041222684537</v>
      </c>
      <c r="C164">
        <v>0.18575356661065978</v>
      </c>
      <c r="D164">
        <v>0.17319973554714019</v>
      </c>
      <c r="F164">
        <v>95.486111111111114</v>
      </c>
      <c r="G164">
        <v>3.1666873562985165</v>
      </c>
    </row>
    <row r="165" spans="1:7" x14ac:dyDescent="0.2">
      <c r="A165">
        <v>139</v>
      </c>
      <c r="B165">
        <v>0.71479315116424136</v>
      </c>
      <c r="C165">
        <v>1.6496640452126794</v>
      </c>
      <c r="D165">
        <v>1.5381743757918507</v>
      </c>
      <c r="F165">
        <v>96.180555555555557</v>
      </c>
      <c r="G165">
        <v>3.3950819422879635</v>
      </c>
    </row>
    <row r="166" spans="1:7" x14ac:dyDescent="0.2">
      <c r="A166">
        <v>140</v>
      </c>
      <c r="B166">
        <v>0.21049489755495357</v>
      </c>
      <c r="C166">
        <v>-0.24813059092018086</v>
      </c>
      <c r="D166">
        <v>-0.23136111738090678</v>
      </c>
      <c r="F166">
        <v>96.875</v>
      </c>
      <c r="G166">
        <v>3.4388141552305238</v>
      </c>
    </row>
    <row r="167" spans="1:7" x14ac:dyDescent="0.2">
      <c r="A167">
        <v>141</v>
      </c>
      <c r="B167">
        <v>0.8345646107767557</v>
      </c>
      <c r="C167">
        <v>0.67749619424309149</v>
      </c>
      <c r="D167">
        <v>0.63170879471211983</v>
      </c>
      <c r="F167">
        <v>97.569444444444443</v>
      </c>
      <c r="G167">
        <v>3.580071379617352</v>
      </c>
    </row>
    <row r="168" spans="1:7" x14ac:dyDescent="0.2">
      <c r="A168">
        <v>142</v>
      </c>
      <c r="B168">
        <v>1.0523231049317292</v>
      </c>
      <c r="C168">
        <v>1.5780005615384536</v>
      </c>
      <c r="D168">
        <v>1.4713541437648743</v>
      </c>
      <c r="F168">
        <v>98.263888888888886</v>
      </c>
      <c r="G168">
        <v>3.8214888861569447</v>
      </c>
    </row>
    <row r="169" spans="1:7" x14ac:dyDescent="0.2">
      <c r="A169">
        <v>143</v>
      </c>
      <c r="B169">
        <v>0.17460964020543168</v>
      </c>
      <c r="C169">
        <v>-0.11015949533099929</v>
      </c>
      <c r="D169">
        <v>-0.1027145578277181</v>
      </c>
      <c r="F169">
        <v>98.958333333333343</v>
      </c>
      <c r="G169">
        <v>4.5018822436456931</v>
      </c>
    </row>
    <row r="170" spans="1:7" ht="17" thickBot="1" x14ac:dyDescent="0.25">
      <c r="A170" s="2">
        <v>144</v>
      </c>
      <c r="B170" s="2">
        <v>0.59501980125963438</v>
      </c>
      <c r="C170" s="2">
        <v>5.4896521506806129E-2</v>
      </c>
      <c r="D170" s="2">
        <v>5.1186435775769798E-2</v>
      </c>
      <c r="F170" s="2">
        <v>99.652777777777786</v>
      </c>
      <c r="G170" s="2">
        <v>5.5867022964527608</v>
      </c>
    </row>
  </sheetData>
  <sortState xmlns:xlrd2="http://schemas.microsoft.com/office/spreadsheetml/2017/richdata2" ref="G27:G170">
    <sortCondition ref="G27"/>
  </sortState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AF280-8F9D-FF4B-B31D-32E21345CDF8}">
  <dimension ref="A1:I171"/>
  <sheetViews>
    <sheetView topLeftCell="A3" workbookViewId="0">
      <selection activeCell="F23" sqref="F23"/>
    </sheetView>
  </sheetViews>
  <sheetFormatPr baseColWidth="10" defaultRowHeight="16" x14ac:dyDescent="0.2"/>
  <cols>
    <col min="1" max="1" width="18" bestFit="1" customWidth="1"/>
    <col min="2" max="2" width="25" bestFit="1" customWidth="1"/>
    <col min="3" max="3" width="13.5" bestFit="1" customWidth="1"/>
    <col min="4" max="4" width="17.5" bestFit="1" customWidth="1"/>
    <col min="5" max="5" width="12.1640625" bestFit="1" customWidth="1"/>
    <col min="6" max="6" width="19.6640625" bestFit="1" customWidth="1"/>
    <col min="7" max="7" width="16.6640625" bestFit="1" customWidth="1"/>
    <col min="8" max="8" width="12.83203125" bestFit="1" customWidth="1"/>
    <col min="9" max="9" width="12.33203125" bestFit="1" customWidth="1"/>
  </cols>
  <sheetData>
    <row r="1" spans="1:9" x14ac:dyDescent="0.2">
      <c r="A1" t="s">
        <v>21</v>
      </c>
    </row>
    <row r="2" spans="1:9" ht="17" thickBot="1" x14ac:dyDescent="0.25"/>
    <row r="3" spans="1:9" x14ac:dyDescent="0.2">
      <c r="A3" s="4" t="s">
        <v>22</v>
      </c>
      <c r="B3" s="4"/>
    </row>
    <row r="4" spans="1:9" x14ac:dyDescent="0.2">
      <c r="A4" t="s">
        <v>23</v>
      </c>
      <c r="B4">
        <v>0.82032580126461241</v>
      </c>
    </row>
    <row r="5" spans="1:9" x14ac:dyDescent="0.2">
      <c r="A5" t="s">
        <v>24</v>
      </c>
      <c r="B5">
        <v>0.67293442022042838</v>
      </c>
    </row>
    <row r="6" spans="1:9" x14ac:dyDescent="0.2">
      <c r="A6" t="s">
        <v>25</v>
      </c>
      <c r="B6">
        <v>0.66352246109008106</v>
      </c>
    </row>
    <row r="7" spans="1:9" x14ac:dyDescent="0.2">
      <c r="A7" t="s">
        <v>26</v>
      </c>
      <c r="B7">
        <v>1.0839268806215048</v>
      </c>
    </row>
    <row r="8" spans="1:9" ht="17" thickBot="1" x14ac:dyDescent="0.25">
      <c r="A8" s="2" t="s">
        <v>27</v>
      </c>
      <c r="B8" s="2">
        <v>144</v>
      </c>
    </row>
    <row r="10" spans="1:9" ht="17" thickBot="1" x14ac:dyDescent="0.25">
      <c r="A10" t="s">
        <v>28</v>
      </c>
    </row>
    <row r="11" spans="1:9" x14ac:dyDescent="0.2">
      <c r="A11" s="3"/>
      <c r="B11" s="3" t="s">
        <v>33</v>
      </c>
      <c r="C11" s="3" t="s">
        <v>34</v>
      </c>
      <c r="D11" s="3" t="s">
        <v>35</v>
      </c>
      <c r="E11" s="3" t="s">
        <v>36</v>
      </c>
      <c r="F11" s="3" t="s">
        <v>37</v>
      </c>
    </row>
    <row r="12" spans="1:9" x14ac:dyDescent="0.2">
      <c r="A12" t="s">
        <v>29</v>
      </c>
      <c r="B12">
        <v>4</v>
      </c>
      <c r="C12">
        <v>336.01036522910908</v>
      </c>
      <c r="D12">
        <v>84.002591307277271</v>
      </c>
      <c r="E12">
        <v>71.497805175402561</v>
      </c>
      <c r="F12">
        <v>8.8362321033418938E-33</v>
      </c>
    </row>
    <row r="13" spans="1:9" x14ac:dyDescent="0.2">
      <c r="A13" t="s">
        <v>30</v>
      </c>
      <c r="B13">
        <v>139</v>
      </c>
      <c r="C13">
        <v>163.31075007220736</v>
      </c>
      <c r="D13">
        <v>1.1748974825338658</v>
      </c>
    </row>
    <row r="14" spans="1:9" ht="17" thickBot="1" x14ac:dyDescent="0.25">
      <c r="A14" s="2" t="s">
        <v>31</v>
      </c>
      <c r="B14" s="2">
        <v>143</v>
      </c>
      <c r="C14" s="2">
        <v>499.32111530131647</v>
      </c>
      <c r="D14" s="2"/>
      <c r="E14" s="2"/>
      <c r="F14" s="2"/>
    </row>
    <row r="15" spans="1:9" ht="17" thickBot="1" x14ac:dyDescent="0.25"/>
    <row r="16" spans="1:9" x14ac:dyDescent="0.2">
      <c r="A16" s="3"/>
      <c r="B16" s="3" t="s">
        <v>38</v>
      </c>
      <c r="C16" s="3" t="s">
        <v>26</v>
      </c>
      <c r="D16" s="3" t="s">
        <v>39</v>
      </c>
      <c r="E16" s="3" t="s">
        <v>40</v>
      </c>
      <c r="F16" s="3" t="s">
        <v>41</v>
      </c>
      <c r="G16" s="3" t="s">
        <v>42</v>
      </c>
      <c r="H16" s="3" t="s">
        <v>43</v>
      </c>
      <c r="I16" s="3" t="s">
        <v>44</v>
      </c>
    </row>
    <row r="17" spans="1:9" x14ac:dyDescent="0.2">
      <c r="A17" t="s">
        <v>32</v>
      </c>
      <c r="B17">
        <v>0.26395598497255246</v>
      </c>
      <c r="C17">
        <v>0.12841012292600698</v>
      </c>
      <c r="D17">
        <v>2.055569911140497</v>
      </c>
      <c r="E17">
        <v>4.1695800735034406E-2</v>
      </c>
      <c r="F17">
        <v>1.0066350324186235E-2</v>
      </c>
      <c r="G17">
        <v>0.51784561962091868</v>
      </c>
      <c r="H17">
        <v>1.0066350324186235E-2</v>
      </c>
      <c r="I17">
        <v>0.51784561962091868</v>
      </c>
    </row>
    <row r="18" spans="1:9" x14ac:dyDescent="0.2">
      <c r="A18" t="s">
        <v>1</v>
      </c>
      <c r="B18">
        <v>0.5898110152058974</v>
      </c>
      <c r="C18">
        <v>0.58184550020372838</v>
      </c>
      <c r="D18">
        <v>1.0136900861128597</v>
      </c>
      <c r="E18">
        <v>0.3124919128119516</v>
      </c>
      <c r="F18">
        <v>-0.56060094689184903</v>
      </c>
      <c r="G18">
        <v>1.7402229773036439</v>
      </c>
      <c r="H18">
        <v>-0.56060094689184903</v>
      </c>
      <c r="I18">
        <v>1.7402229773036439</v>
      </c>
    </row>
    <row r="19" spans="1:9" x14ac:dyDescent="0.2">
      <c r="A19" t="s">
        <v>15</v>
      </c>
      <c r="B19">
        <v>-1.069350894646153</v>
      </c>
      <c r="C19">
        <v>4.8364573753246196</v>
      </c>
      <c r="D19">
        <v>-0.22110210256414778</v>
      </c>
      <c r="E19">
        <v>0.82533739432174147</v>
      </c>
      <c r="F19">
        <v>-10.631886682584964</v>
      </c>
      <c r="G19">
        <v>8.4931848932926588</v>
      </c>
      <c r="H19">
        <v>-10.631886682584964</v>
      </c>
      <c r="I19">
        <v>8.4931848932926588</v>
      </c>
    </row>
    <row r="20" spans="1:9" x14ac:dyDescent="0.2">
      <c r="A20" t="s">
        <v>17</v>
      </c>
      <c r="B20">
        <v>0.79690589828253222</v>
      </c>
      <c r="C20">
        <v>4.8399682777644185E-2</v>
      </c>
      <c r="D20">
        <v>16.465105813681554</v>
      </c>
      <c r="E20">
        <v>1.8267429081574006E-34</v>
      </c>
      <c r="F20">
        <v>0.70121112362217586</v>
      </c>
      <c r="G20">
        <v>0.89260067294288858</v>
      </c>
      <c r="H20">
        <v>0.70121112362217586</v>
      </c>
      <c r="I20">
        <v>0.89260067294288858</v>
      </c>
    </row>
    <row r="21" spans="1:9" ht="17" thickBot="1" x14ac:dyDescent="0.25">
      <c r="A21" s="2" t="s">
        <v>18</v>
      </c>
      <c r="B21" s="2">
        <v>0.4707238220121075</v>
      </c>
      <c r="C21" s="2">
        <v>5.9448241030998369E-2</v>
      </c>
      <c r="D21" s="2">
        <v>7.9182127822193396</v>
      </c>
      <c r="E21" s="2">
        <v>6.9110924063388708E-13</v>
      </c>
      <c r="F21" s="2">
        <v>0.35318408408548541</v>
      </c>
      <c r="G21" s="2">
        <v>0.58826355993872959</v>
      </c>
      <c r="H21" s="2">
        <v>0.35318408408548541</v>
      </c>
      <c r="I21" s="2">
        <v>0.58826355993872959</v>
      </c>
    </row>
    <row r="25" spans="1:9" x14ac:dyDescent="0.2">
      <c r="A25" t="s">
        <v>45</v>
      </c>
      <c r="F25" t="s">
        <v>48</v>
      </c>
    </row>
    <row r="26" spans="1:9" ht="17" thickBot="1" x14ac:dyDescent="0.25"/>
    <row r="27" spans="1:9" x14ac:dyDescent="0.2">
      <c r="A27" s="3" t="s">
        <v>46</v>
      </c>
      <c r="B27" s="3" t="s">
        <v>50</v>
      </c>
      <c r="C27" s="3" t="s">
        <v>47</v>
      </c>
      <c r="D27" s="3" t="s">
        <v>52</v>
      </c>
      <c r="F27" s="3" t="s">
        <v>49</v>
      </c>
      <c r="G27" s="3" t="s">
        <v>2</v>
      </c>
    </row>
    <row r="28" spans="1:9" x14ac:dyDescent="0.2">
      <c r="A28">
        <v>1</v>
      </c>
      <c r="B28">
        <v>-1.0219997209771834</v>
      </c>
      <c r="C28">
        <v>-2.1011515000367309</v>
      </c>
      <c r="D28">
        <v>-1.9661561207514184</v>
      </c>
      <c r="F28">
        <v>0.34722222222222221</v>
      </c>
      <c r="G28">
        <v>-7.0047284893671877</v>
      </c>
    </row>
    <row r="29" spans="1:9" x14ac:dyDescent="0.2">
      <c r="A29">
        <v>2</v>
      </c>
      <c r="B29">
        <v>2.1372501731874247</v>
      </c>
      <c r="C29">
        <v>1.3015639820430991</v>
      </c>
      <c r="D29">
        <v>1.217940729071127</v>
      </c>
      <c r="F29">
        <v>1.0416666666666665</v>
      </c>
      <c r="G29">
        <v>-4.6868598995851904</v>
      </c>
    </row>
    <row r="30" spans="1:9" x14ac:dyDescent="0.2">
      <c r="A30">
        <v>3</v>
      </c>
      <c r="B30">
        <v>-0.43522435356248607</v>
      </c>
      <c r="C30">
        <v>-1.4070933389764084</v>
      </c>
      <c r="D30">
        <v>-1.3166900058604305</v>
      </c>
      <c r="F30">
        <v>1.7361111111111112</v>
      </c>
      <c r="G30">
        <v>-4.1526948243374111</v>
      </c>
    </row>
    <row r="31" spans="1:9" x14ac:dyDescent="0.2">
      <c r="A31">
        <v>4</v>
      </c>
      <c r="B31">
        <v>1.0759540977574771</v>
      </c>
      <c r="C31">
        <v>-0.31118883603047909</v>
      </c>
      <c r="D31">
        <v>-0.29119548716984001</v>
      </c>
      <c r="F31">
        <v>2.4305555555555554</v>
      </c>
      <c r="G31">
        <v>-3.6875242113072275</v>
      </c>
    </row>
    <row r="32" spans="1:9" x14ac:dyDescent="0.2">
      <c r="A32">
        <v>5</v>
      </c>
      <c r="B32">
        <v>2.0557723345182</v>
      </c>
      <c r="C32">
        <v>0.78808228903551747</v>
      </c>
      <c r="D32">
        <v>0.73744935394515054</v>
      </c>
      <c r="F32">
        <v>3.125</v>
      </c>
      <c r="G32">
        <v>-3.3442885744124804</v>
      </c>
    </row>
    <row r="33" spans="1:7" x14ac:dyDescent="0.2">
      <c r="A33">
        <v>6</v>
      </c>
      <c r="B33">
        <v>-0.22808810488381637</v>
      </c>
      <c r="C33">
        <v>-0.1777859331111033</v>
      </c>
      <c r="D33">
        <v>-0.1663634919061226</v>
      </c>
      <c r="F33">
        <v>3.8194444444444446</v>
      </c>
      <c r="G33">
        <v>-3.1231512210139143</v>
      </c>
    </row>
    <row r="34" spans="1:7" x14ac:dyDescent="0.2">
      <c r="A34">
        <v>7</v>
      </c>
      <c r="B34">
        <v>0.26268109422992297</v>
      </c>
      <c r="C34">
        <v>0.13195680922246755</v>
      </c>
      <c r="D34">
        <v>0.12347881060601594</v>
      </c>
      <c r="F34">
        <v>4.5138888888888884</v>
      </c>
      <c r="G34">
        <v>-2.9682787226250409</v>
      </c>
    </row>
    <row r="35" spans="1:7" x14ac:dyDescent="0.2">
      <c r="A35">
        <v>8</v>
      </c>
      <c r="B35">
        <v>1.1449989337882074</v>
      </c>
      <c r="C35">
        <v>-1.989866415704135</v>
      </c>
      <c r="D35">
        <v>-1.8620209121740996</v>
      </c>
      <c r="F35">
        <v>5.208333333333333</v>
      </c>
      <c r="G35">
        <v>-2.5680570998352561</v>
      </c>
    </row>
    <row r="36" spans="1:7" x14ac:dyDescent="0.2">
      <c r="A36">
        <v>9</v>
      </c>
      <c r="B36">
        <v>1.1839454837072023</v>
      </c>
      <c r="C36">
        <v>0.9481161564731484</v>
      </c>
      <c r="D36">
        <v>0.88720131994308959</v>
      </c>
      <c r="F36">
        <v>5.9027777777777777</v>
      </c>
      <c r="G36">
        <v>-2.5280472836281653</v>
      </c>
    </row>
    <row r="37" spans="1:7" x14ac:dyDescent="0.2">
      <c r="A37">
        <v>10</v>
      </c>
      <c r="B37">
        <v>0.12221088304451443</v>
      </c>
      <c r="C37">
        <v>-0.54635098559101147</v>
      </c>
      <c r="D37">
        <v>-0.51124887204923519</v>
      </c>
      <c r="F37">
        <v>6.5972222222222223</v>
      </c>
      <c r="G37">
        <v>-2.5046976641667626</v>
      </c>
    </row>
    <row r="38" spans="1:7" x14ac:dyDescent="0.2">
      <c r="A38">
        <v>11</v>
      </c>
      <c r="B38">
        <v>0.92034589826143864</v>
      </c>
      <c r="C38">
        <v>-0.17514554432735596</v>
      </c>
      <c r="D38">
        <v>-0.1638927435720603</v>
      </c>
      <c r="F38">
        <v>7.291666666666667</v>
      </c>
      <c r="G38">
        <v>-2.2568118607420633</v>
      </c>
    </row>
    <row r="39" spans="1:7" x14ac:dyDescent="0.2">
      <c r="A39">
        <v>12</v>
      </c>
      <c r="B39">
        <v>0.83257502503512826</v>
      </c>
      <c r="C39">
        <v>0.55680861209497645</v>
      </c>
      <c r="D39">
        <v>0.52103461399071038</v>
      </c>
      <c r="F39">
        <v>7.9861111111111107</v>
      </c>
      <c r="G39">
        <v>-1.9001782009329338</v>
      </c>
    </row>
    <row r="40" spans="1:7" x14ac:dyDescent="0.2">
      <c r="A40">
        <v>13</v>
      </c>
      <c r="B40">
        <v>0.49713262553170878</v>
      </c>
      <c r="C40">
        <v>-0.65673683920162729</v>
      </c>
      <c r="D40">
        <v>-0.61454262393580228</v>
      </c>
      <c r="F40">
        <v>8.6805555555555536</v>
      </c>
      <c r="G40">
        <v>-1.8423176925388944</v>
      </c>
    </row>
    <row r="41" spans="1:7" x14ac:dyDescent="0.2">
      <c r="A41">
        <v>14</v>
      </c>
      <c r="B41">
        <v>-0.33083229481804677</v>
      </c>
      <c r="C41">
        <v>0.33300673465771946</v>
      </c>
      <c r="D41">
        <v>0.31161162323957736</v>
      </c>
      <c r="F41">
        <v>9.3749999999999982</v>
      </c>
      <c r="G41">
        <v>-1.8267949190726551</v>
      </c>
    </row>
    <row r="42" spans="1:7" x14ac:dyDescent="0.2">
      <c r="A42">
        <v>15</v>
      </c>
      <c r="B42">
        <v>1.8564575316684979</v>
      </c>
      <c r="C42">
        <v>0.29635353914635942</v>
      </c>
      <c r="D42">
        <v>0.27731333266010266</v>
      </c>
      <c r="F42">
        <v>10.069444444444443</v>
      </c>
      <c r="G42">
        <v>-1.7163787658669345</v>
      </c>
    </row>
    <row r="43" spans="1:7" x14ac:dyDescent="0.2">
      <c r="A43">
        <v>16</v>
      </c>
      <c r="B43">
        <v>-0.76845136144453408</v>
      </c>
      <c r="C43">
        <v>0.13523213965643399</v>
      </c>
      <c r="D43">
        <v>0.12654370667853329</v>
      </c>
      <c r="F43">
        <v>10.763888888888888</v>
      </c>
      <c r="G43">
        <v>-1.7024670003016547</v>
      </c>
    </row>
    <row r="44" spans="1:7" x14ac:dyDescent="0.2">
      <c r="A44">
        <v>17</v>
      </c>
      <c r="B44">
        <v>1.1001669157428489</v>
      </c>
      <c r="C44">
        <v>-0.5570541174299557</v>
      </c>
      <c r="D44">
        <v>-0.52126434602908944</v>
      </c>
      <c r="F44">
        <v>11.458333333333332</v>
      </c>
      <c r="G44">
        <v>-1.4912303020014905</v>
      </c>
    </row>
    <row r="45" spans="1:7" x14ac:dyDescent="0.2">
      <c r="A45">
        <v>18</v>
      </c>
      <c r="B45">
        <v>0.82993290740396031</v>
      </c>
      <c r="C45">
        <v>1.8236563253435785</v>
      </c>
      <c r="D45">
        <v>1.7064895349805265</v>
      </c>
      <c r="F45">
        <v>12.152777777777777</v>
      </c>
      <c r="G45">
        <v>-1.4816122688402813</v>
      </c>
    </row>
    <row r="46" spans="1:7" x14ac:dyDescent="0.2">
      <c r="A46">
        <v>19</v>
      </c>
      <c r="B46">
        <v>9.7294682946070576E-2</v>
      </c>
      <c r="C46">
        <v>-0.28381408269923869</v>
      </c>
      <c r="D46">
        <v>-0.26557951477787411</v>
      </c>
      <c r="F46">
        <v>12.847222222222221</v>
      </c>
      <c r="G46">
        <v>-1.3850399013585131</v>
      </c>
    </row>
    <row r="47" spans="1:7" x14ac:dyDescent="0.2">
      <c r="A47">
        <v>20</v>
      </c>
      <c r="B47">
        <v>2.7507508942730183</v>
      </c>
      <c r="C47">
        <v>-0.34604912359868578</v>
      </c>
      <c r="D47">
        <v>-0.32381606106571853</v>
      </c>
      <c r="F47">
        <v>13.541666666666666</v>
      </c>
      <c r="G47">
        <v>-1.3845334693391671</v>
      </c>
    </row>
    <row r="48" spans="1:7" x14ac:dyDescent="0.2">
      <c r="A48">
        <v>21</v>
      </c>
      <c r="B48">
        <v>1.1858176760605854E-2</v>
      </c>
      <c r="C48">
        <v>0.81020934890884044</v>
      </c>
      <c r="D48">
        <v>0.75815478818128557</v>
      </c>
      <c r="F48">
        <v>14.236111111111111</v>
      </c>
      <c r="G48">
        <v>-1.3312319193447704</v>
      </c>
    </row>
    <row r="49" spans="1:7" x14ac:dyDescent="0.2">
      <c r="A49">
        <v>22</v>
      </c>
      <c r="B49">
        <v>0.24883427253357582</v>
      </c>
      <c r="C49">
        <v>0.54907333427743754</v>
      </c>
      <c r="D49">
        <v>0.51379631450283392</v>
      </c>
      <c r="F49">
        <v>14.930555555555554</v>
      </c>
      <c r="G49">
        <v>-1.2793531068196276</v>
      </c>
    </row>
    <row r="50" spans="1:7" x14ac:dyDescent="0.2">
      <c r="A50">
        <v>23</v>
      </c>
      <c r="B50">
        <v>-0.20807837001918239</v>
      </c>
      <c r="C50">
        <v>-2.6096691071828326E-2</v>
      </c>
      <c r="D50">
        <v>-2.4420023440164685E-2</v>
      </c>
      <c r="F50">
        <v>15.624999999999998</v>
      </c>
      <c r="G50">
        <v>-1.1425691586862545</v>
      </c>
    </row>
    <row r="51" spans="1:7" x14ac:dyDescent="0.2">
      <c r="A51">
        <v>24</v>
      </c>
      <c r="B51">
        <v>0.27390579828846018</v>
      </c>
      <c r="C51">
        <v>0.17515749761127958</v>
      </c>
      <c r="D51">
        <v>0.16390392887799807</v>
      </c>
      <c r="F51">
        <v>16.319444444444443</v>
      </c>
      <c r="G51">
        <v>-1.1072210028407516</v>
      </c>
    </row>
    <row r="52" spans="1:7" x14ac:dyDescent="0.2">
      <c r="A52">
        <v>25</v>
      </c>
      <c r="B52">
        <v>-1.8553282966119271</v>
      </c>
      <c r="C52">
        <v>-1.4889602778005533</v>
      </c>
      <c r="D52">
        <v>-1.3932971343104545</v>
      </c>
      <c r="F52">
        <v>17.013888888888886</v>
      </c>
      <c r="G52">
        <v>-1.0801430002995103</v>
      </c>
    </row>
    <row r="53" spans="1:7" x14ac:dyDescent="0.2">
      <c r="A53">
        <v>26</v>
      </c>
      <c r="B53">
        <v>1.1273870389728098</v>
      </c>
      <c r="C53">
        <v>0.82777308175469466</v>
      </c>
      <c r="D53">
        <v>0.7745900813229345</v>
      </c>
      <c r="F53">
        <v>17.708333333333332</v>
      </c>
      <c r="G53">
        <v>-0.94912629185626851</v>
      </c>
    </row>
    <row r="54" spans="1:7" x14ac:dyDescent="0.2">
      <c r="A54">
        <v>27</v>
      </c>
      <c r="B54">
        <v>-1.2052419612882557</v>
      </c>
      <c r="C54">
        <v>-1.7630367613367852</v>
      </c>
      <c r="D54">
        <v>-1.6497646739663849</v>
      </c>
      <c r="F54">
        <v>18.402777777777775</v>
      </c>
      <c r="G54">
        <v>-0.93339874585644023</v>
      </c>
    </row>
    <row r="55" spans="1:7" x14ac:dyDescent="0.2">
      <c r="A55">
        <v>28</v>
      </c>
      <c r="B55">
        <v>-0.9493987354921849</v>
      </c>
      <c r="C55">
        <v>2.7244363591638621E-4</v>
      </c>
      <c r="D55">
        <v>2.5493959969445781E-4</v>
      </c>
      <c r="F55">
        <v>19.097222222222221</v>
      </c>
      <c r="G55">
        <v>-0.8739297602339734</v>
      </c>
    </row>
    <row r="56" spans="1:7" x14ac:dyDescent="0.2">
      <c r="A56">
        <v>29</v>
      </c>
      <c r="B56">
        <v>1.8846064311732849</v>
      </c>
      <c r="C56">
        <v>0.79878484933891913</v>
      </c>
      <c r="D56">
        <v>0.74746429310964024</v>
      </c>
      <c r="F56">
        <v>19.791666666666664</v>
      </c>
      <c r="G56">
        <v>-0.85098504001589137</v>
      </c>
    </row>
    <row r="57" spans="1:7" x14ac:dyDescent="0.2">
      <c r="A57">
        <v>30</v>
      </c>
      <c r="B57">
        <v>2.9420025428938734E-2</v>
      </c>
      <c r="C57">
        <v>1.0554901563401222</v>
      </c>
      <c r="D57">
        <v>0.98767672452211297</v>
      </c>
      <c r="F57">
        <v>20.486111111111111</v>
      </c>
      <c r="G57">
        <v>-0.84486748191592764</v>
      </c>
    </row>
    <row r="58" spans="1:7" x14ac:dyDescent="0.2">
      <c r="A58">
        <v>31</v>
      </c>
      <c r="B58">
        <v>-1.2856972839178913</v>
      </c>
      <c r="C58">
        <v>0.68363792269082602</v>
      </c>
      <c r="D58">
        <v>0.63971535896048204</v>
      </c>
      <c r="F58">
        <v>21.180555555555554</v>
      </c>
      <c r="G58">
        <v>-0.83998798555617005</v>
      </c>
    </row>
    <row r="59" spans="1:7" x14ac:dyDescent="0.2">
      <c r="A59">
        <v>32</v>
      </c>
      <c r="B59">
        <v>-0.33195183666772654</v>
      </c>
      <c r="C59">
        <v>-1.0525816326714406</v>
      </c>
      <c r="D59">
        <v>-0.98495506850947956</v>
      </c>
      <c r="F59">
        <v>21.875</v>
      </c>
      <c r="G59">
        <v>-0.82038765576752415</v>
      </c>
    </row>
    <row r="60" spans="1:7" x14ac:dyDescent="0.2">
      <c r="A60">
        <v>33</v>
      </c>
      <c r="B60">
        <v>0.36563332624785144</v>
      </c>
      <c r="C60">
        <v>0.14705882311602941</v>
      </c>
      <c r="D60">
        <v>0.13761054601490033</v>
      </c>
      <c r="F60">
        <v>22.569444444444443</v>
      </c>
      <c r="G60">
        <v>-0.73047275946122014</v>
      </c>
    </row>
    <row r="61" spans="1:7" x14ac:dyDescent="0.2">
      <c r="A61">
        <v>34</v>
      </c>
      <c r="B61">
        <v>3.1615683164846375</v>
      </c>
      <c r="C61">
        <v>-1.0488358025125812</v>
      </c>
      <c r="D61">
        <v>-0.98144990151223643</v>
      </c>
      <c r="F61">
        <v>23.263888888888886</v>
      </c>
      <c r="G61">
        <v>-0.72114034769675106</v>
      </c>
    </row>
    <row r="62" spans="1:7" x14ac:dyDescent="0.2">
      <c r="A62">
        <v>35</v>
      </c>
      <c r="B62">
        <v>1.6513516077663968</v>
      </c>
      <c r="C62">
        <v>-1.2047091115314041</v>
      </c>
      <c r="D62">
        <v>-1.127308617832206</v>
      </c>
      <c r="F62">
        <v>23.958333333333332</v>
      </c>
      <c r="G62">
        <v>-0.70844610563042631</v>
      </c>
    </row>
    <row r="63" spans="1:7" x14ac:dyDescent="0.2">
      <c r="A63">
        <v>36</v>
      </c>
      <c r="B63">
        <v>0.68663901764874957</v>
      </c>
      <c r="C63">
        <v>0.12245669257282976</v>
      </c>
      <c r="D63">
        <v>0.11458906015336592</v>
      </c>
      <c r="F63">
        <v>24.652777777777775</v>
      </c>
      <c r="G63">
        <v>-0.63980558944311527</v>
      </c>
    </row>
    <row r="64" spans="1:7" x14ac:dyDescent="0.2">
      <c r="A64">
        <v>37</v>
      </c>
      <c r="B64">
        <v>1.7898715534391658</v>
      </c>
      <c r="C64">
        <v>1.6052103888487976</v>
      </c>
      <c r="D64">
        <v>1.5020783751546021</v>
      </c>
      <c r="F64">
        <v>25.347222222222221</v>
      </c>
      <c r="G64">
        <v>-0.63321922178810008</v>
      </c>
    </row>
    <row r="65" spans="1:7" x14ac:dyDescent="0.2">
      <c r="A65">
        <v>38</v>
      </c>
      <c r="B65">
        <v>3.0510357969300692</v>
      </c>
      <c r="C65">
        <v>5.8475101436120003E-2</v>
      </c>
      <c r="D65">
        <v>5.4718176484740651E-2</v>
      </c>
      <c r="F65">
        <v>26.041666666666664</v>
      </c>
      <c r="G65">
        <v>-0.62523746935851443</v>
      </c>
    </row>
    <row r="66" spans="1:7" x14ac:dyDescent="0.2">
      <c r="A66">
        <v>39</v>
      </c>
      <c r="B66">
        <v>2.342556215672376</v>
      </c>
      <c r="C66">
        <v>-0.76730858638827848</v>
      </c>
      <c r="D66">
        <v>-0.71801032605505077</v>
      </c>
      <c r="F66">
        <v>26.736111111111111</v>
      </c>
      <c r="G66">
        <v>-0.60205936122706527</v>
      </c>
    </row>
    <row r="67" spans="1:7" x14ac:dyDescent="0.2">
      <c r="A67">
        <v>40</v>
      </c>
      <c r="B67">
        <v>-0.36181696720516787</v>
      </c>
      <c r="C67">
        <v>0.75596101821338557</v>
      </c>
      <c r="D67">
        <v>0.70739181966828157</v>
      </c>
      <c r="F67">
        <v>27.430555555555554</v>
      </c>
      <c r="G67">
        <v>-0.49649597275839152</v>
      </c>
    </row>
    <row r="68" spans="1:7" x14ac:dyDescent="0.2">
      <c r="A68">
        <v>41</v>
      </c>
      <c r="B68">
        <v>-1.0784415739014754</v>
      </c>
      <c r="C68">
        <v>1.3709289671645464</v>
      </c>
      <c r="D68">
        <v>1.2828491328963536</v>
      </c>
      <c r="F68">
        <v>28.125</v>
      </c>
      <c r="G68">
        <v>-0.45287219230992509</v>
      </c>
    </row>
    <row r="69" spans="1:7" x14ac:dyDescent="0.2">
      <c r="A69">
        <v>42</v>
      </c>
      <c r="B69">
        <v>-0.62164078973391446</v>
      </c>
      <c r="C69">
        <v>-0.31175795612252577</v>
      </c>
      <c r="D69">
        <v>-0.29172804227231625</v>
      </c>
      <c r="F69">
        <v>28.819444444444443</v>
      </c>
      <c r="G69">
        <v>-0.44945692130845749</v>
      </c>
    </row>
    <row r="70" spans="1:7" x14ac:dyDescent="0.2">
      <c r="A70">
        <v>43</v>
      </c>
      <c r="B70">
        <v>2.2196761690599569</v>
      </c>
      <c r="C70">
        <v>0.64125990486237283</v>
      </c>
      <c r="D70">
        <v>0.60006005607667312</v>
      </c>
      <c r="F70">
        <v>29.513888888888886</v>
      </c>
      <c r="G70">
        <v>-0.42414010254649709</v>
      </c>
    </row>
    <row r="71" spans="1:7" x14ac:dyDescent="0.2">
      <c r="A71">
        <v>44</v>
      </c>
      <c r="B71">
        <v>6.6004315697563154E-2</v>
      </c>
      <c r="C71">
        <v>-0.51546123700602064</v>
      </c>
      <c r="D71">
        <v>-0.48234373681848647</v>
      </c>
      <c r="F71">
        <v>30.208333333333332</v>
      </c>
      <c r="G71">
        <v>-0.40587403799491967</v>
      </c>
    </row>
    <row r="72" spans="1:7" x14ac:dyDescent="0.2">
      <c r="A72">
        <v>45</v>
      </c>
      <c r="B72">
        <v>1.6862254082333825</v>
      </c>
      <c r="C72">
        <v>0.83947887882239591</v>
      </c>
      <c r="D72">
        <v>0.78554380101070209</v>
      </c>
      <c r="F72">
        <v>30.902777777777775</v>
      </c>
      <c r="G72">
        <v>-0.38364685529762182</v>
      </c>
    </row>
    <row r="73" spans="1:7" x14ac:dyDescent="0.2">
      <c r="A73">
        <v>46</v>
      </c>
      <c r="B73">
        <v>7.0418324605490037E-2</v>
      </c>
      <c r="C73">
        <v>0.25153277372583543</v>
      </c>
      <c r="D73">
        <v>0.23537222452640252</v>
      </c>
      <c r="F73">
        <v>31.597222222222221</v>
      </c>
      <c r="G73">
        <v>-0.34952011853591453</v>
      </c>
    </row>
    <row r="74" spans="1:7" x14ac:dyDescent="0.2">
      <c r="A74">
        <v>47</v>
      </c>
      <c r="B74">
        <v>1.0072725415770285</v>
      </c>
      <c r="C74">
        <v>-1.3909193968746503</v>
      </c>
      <c r="D74">
        <v>-1.3015552117917997</v>
      </c>
      <c r="F74">
        <v>32.291666666666664</v>
      </c>
      <c r="G74">
        <v>-0.32059917407416511</v>
      </c>
    </row>
    <row r="75" spans="1:7" x14ac:dyDescent="0.2">
      <c r="A75">
        <v>48</v>
      </c>
      <c r="B75">
        <v>1.1244484664852632</v>
      </c>
      <c r="C75">
        <v>0.68574031260106705</v>
      </c>
      <c r="D75">
        <v>0.64168267392570666</v>
      </c>
      <c r="F75">
        <v>32.986111111111107</v>
      </c>
      <c r="G75">
        <v>-0.25809067214290327</v>
      </c>
    </row>
    <row r="76" spans="1:7" x14ac:dyDescent="0.2">
      <c r="A76">
        <v>49</v>
      </c>
      <c r="B76">
        <v>-9.6961534994714493E-2</v>
      </c>
      <c r="C76">
        <v>-0.7769682252392589</v>
      </c>
      <c r="D76">
        <v>-0.72704934968127255</v>
      </c>
      <c r="F76">
        <v>33.68055555555555</v>
      </c>
      <c r="G76">
        <v>-0.23417506109101072</v>
      </c>
    </row>
    <row r="77" spans="1:7" x14ac:dyDescent="0.2">
      <c r="A77">
        <v>50</v>
      </c>
      <c r="B77">
        <v>0.98708897391831441</v>
      </c>
      <c r="C77">
        <v>-0.20795354505443975</v>
      </c>
      <c r="D77">
        <v>-0.19459288653559487</v>
      </c>
      <c r="F77">
        <v>34.375</v>
      </c>
      <c r="G77">
        <v>-0.18651939975316809</v>
      </c>
    </row>
    <row r="78" spans="1:7" x14ac:dyDescent="0.2">
      <c r="A78">
        <v>51</v>
      </c>
      <c r="B78">
        <v>0.542261922767029</v>
      </c>
      <c r="C78">
        <v>0.58297896219815926</v>
      </c>
      <c r="D78">
        <v>0.54552356399582946</v>
      </c>
      <c r="F78">
        <v>35.069444444444443</v>
      </c>
      <c r="G78">
        <v>-0.16023377056929605</v>
      </c>
    </row>
    <row r="79" spans="1:7" x14ac:dyDescent="0.2">
      <c r="A79">
        <v>52</v>
      </c>
      <c r="B79">
        <v>-0.16502928903748826</v>
      </c>
      <c r="C79">
        <v>-0.91511371126202201</v>
      </c>
      <c r="D79">
        <v>-0.85631922522003645</v>
      </c>
      <c r="F79">
        <v>35.763888888888886</v>
      </c>
      <c r="G79">
        <v>-0.15960421366991845</v>
      </c>
    </row>
    <row r="80" spans="1:7" x14ac:dyDescent="0.2">
      <c r="A80">
        <v>53</v>
      </c>
      <c r="B80">
        <v>0.47576067046058879</v>
      </c>
      <c r="C80">
        <v>0.8175473378991116</v>
      </c>
      <c r="D80">
        <v>0.76502132396748468</v>
      </c>
      <c r="F80">
        <v>36.458333333333329</v>
      </c>
      <c r="G80">
        <v>-0.12574664360828455</v>
      </c>
    </row>
    <row r="81" spans="1:7" x14ac:dyDescent="0.2">
      <c r="A81">
        <v>54</v>
      </c>
      <c r="B81">
        <v>2.5445257377366397E-2</v>
      </c>
      <c r="C81">
        <v>-0.37496537591328094</v>
      </c>
      <c r="D81">
        <v>-0.35087449377584901</v>
      </c>
      <c r="F81">
        <v>37.152777777777779</v>
      </c>
      <c r="G81">
        <v>-3.7635693365227305E-2</v>
      </c>
    </row>
    <row r="82" spans="1:7" x14ac:dyDescent="0.2">
      <c r="A82">
        <v>55</v>
      </c>
      <c r="B82">
        <v>0.8243838394145343</v>
      </c>
      <c r="C82">
        <v>1.3693830988979947</v>
      </c>
      <c r="D82">
        <v>1.2814025840139418</v>
      </c>
      <c r="F82">
        <v>37.847222222222221</v>
      </c>
      <c r="G82">
        <v>-2.8872892422191813E-2</v>
      </c>
    </row>
    <row r="83" spans="1:7" x14ac:dyDescent="0.2">
      <c r="A83">
        <v>56</v>
      </c>
      <c r="B83">
        <v>4.1213923116420803E-2</v>
      </c>
      <c r="C83">
        <v>-0.74966002874684712</v>
      </c>
      <c r="D83">
        <v>-0.7014956579654209</v>
      </c>
      <c r="F83">
        <v>38.541666666666664</v>
      </c>
      <c r="G83">
        <v>-2.1093949631446327E-2</v>
      </c>
    </row>
    <row r="84" spans="1:7" x14ac:dyDescent="0.2">
      <c r="A84">
        <v>57</v>
      </c>
      <c r="B84">
        <v>-0.51875998674704205</v>
      </c>
      <c r="C84">
        <v>-0.62380917193921248</v>
      </c>
      <c r="D84">
        <v>-0.58373050280653993</v>
      </c>
      <c r="F84">
        <v>39.236111111111107</v>
      </c>
      <c r="G84">
        <v>2.1744398396726858E-3</v>
      </c>
    </row>
    <row r="85" spans="1:7" x14ac:dyDescent="0.2">
      <c r="A85">
        <v>58</v>
      </c>
      <c r="B85">
        <v>0.10063556426088438</v>
      </c>
      <c r="C85">
        <v>-1.591865866262375</v>
      </c>
      <c r="D85">
        <v>-1.4895912152514055</v>
      </c>
      <c r="F85">
        <v>39.93055555555555</v>
      </c>
      <c r="G85">
        <v>1.3361896540353232E-2</v>
      </c>
    </row>
    <row r="86" spans="1:7" x14ac:dyDescent="0.2">
      <c r="A86">
        <v>59</v>
      </c>
      <c r="B86">
        <v>0.56608197249869963</v>
      </c>
      <c r="C86">
        <v>1.9050403146922659</v>
      </c>
      <c r="D86">
        <v>1.782644742630376</v>
      </c>
      <c r="F86">
        <v>40.625</v>
      </c>
      <c r="G86">
        <v>1.5244628300109645E-2</v>
      </c>
    </row>
    <row r="87" spans="1:7" x14ac:dyDescent="0.2">
      <c r="A87">
        <v>60</v>
      </c>
      <c r="B87">
        <v>6.0044809263520973E-2</v>
      </c>
      <c r="C87">
        <v>1.5031930455490277</v>
      </c>
      <c r="D87">
        <v>1.406615471147854</v>
      </c>
      <c r="F87">
        <v>41.319444444444443</v>
      </c>
      <c r="G87">
        <v>4.5162099813618559E-2</v>
      </c>
    </row>
    <row r="88" spans="1:7" x14ac:dyDescent="0.2">
      <c r="A88">
        <v>61</v>
      </c>
      <c r="B88">
        <v>-8.2866080991970459E-2</v>
      </c>
      <c r="C88">
        <v>0.25337192288326815</v>
      </c>
      <c r="D88">
        <v>0.2370932115055889</v>
      </c>
      <c r="F88">
        <v>42.013888888888886</v>
      </c>
      <c r="G88">
        <v>5.5182858323510636E-2</v>
      </c>
    </row>
    <row r="89" spans="1:7" x14ac:dyDescent="0.2">
      <c r="A89">
        <v>62</v>
      </c>
      <c r="B89">
        <v>1.0758948683838527</v>
      </c>
      <c r="C89">
        <v>0.25238027876990277</v>
      </c>
      <c r="D89">
        <v>0.23616527882531033</v>
      </c>
      <c r="F89">
        <v>42.708333333333329</v>
      </c>
      <c r="G89">
        <v>6.2862567183433013E-2</v>
      </c>
    </row>
    <row r="90" spans="1:7" x14ac:dyDescent="0.2">
      <c r="A90">
        <v>63</v>
      </c>
      <c r="B90">
        <v>0.54100104998791021</v>
      </c>
      <c r="C90">
        <v>-0.52763915344755696</v>
      </c>
      <c r="D90">
        <v>-0.49373924302025601</v>
      </c>
      <c r="F90">
        <v>43.402777777777779</v>
      </c>
      <c r="G90">
        <v>6.4450144874432388E-2</v>
      </c>
    </row>
    <row r="91" spans="1:7" x14ac:dyDescent="0.2">
      <c r="A91">
        <v>64</v>
      </c>
      <c r="B91">
        <v>-7.1704854830767495E-4</v>
      </c>
      <c r="C91">
        <v>4.5879148361926234E-2</v>
      </c>
      <c r="D91">
        <v>4.2931491786806789E-2</v>
      </c>
      <c r="F91">
        <v>44.097222222222221</v>
      </c>
      <c r="G91">
        <v>0.17050584189129772</v>
      </c>
    </row>
    <row r="92" spans="1:7" x14ac:dyDescent="0.2">
      <c r="A92">
        <v>65</v>
      </c>
      <c r="B92">
        <v>-0.45720032717391934</v>
      </c>
      <c r="C92">
        <v>-2.070846956454246</v>
      </c>
      <c r="D92">
        <v>-1.9377985921057024</v>
      </c>
      <c r="F92">
        <v>44.791666666666664</v>
      </c>
      <c r="G92">
        <v>0.20128346879376346</v>
      </c>
    </row>
    <row r="93" spans="1:7" x14ac:dyDescent="0.2">
      <c r="A93">
        <v>66</v>
      </c>
      <c r="B93">
        <v>-0.94276330218552751</v>
      </c>
      <c r="C93">
        <v>9.1778262169636138E-2</v>
      </c>
      <c r="D93">
        <v>8.5881666273756999E-2</v>
      </c>
      <c r="F93">
        <v>45.486111111111107</v>
      </c>
      <c r="G93">
        <v>0.25176219913533959</v>
      </c>
    </row>
    <row r="94" spans="1:7" x14ac:dyDescent="0.2">
      <c r="A94">
        <v>67</v>
      </c>
      <c r="B94">
        <v>5.6719918935255409E-2</v>
      </c>
      <c r="C94">
        <v>-2.5614175831020178</v>
      </c>
      <c r="D94">
        <v>-2.3968508975808258</v>
      </c>
      <c r="F94">
        <v>46.18055555555555</v>
      </c>
      <c r="G94">
        <v>0.27937046819359035</v>
      </c>
    </row>
    <row r="95" spans="1:7" x14ac:dyDescent="0.2">
      <c r="A95">
        <v>68</v>
      </c>
      <c r="B95">
        <v>0.89341972938940728</v>
      </c>
      <c r="C95">
        <v>-2.1727728362090346</v>
      </c>
      <c r="D95">
        <v>-2.0331759089433254</v>
      </c>
      <c r="F95">
        <v>46.875</v>
      </c>
      <c r="G95">
        <v>0.29248739326307094</v>
      </c>
    </row>
    <row r="96" spans="1:7" x14ac:dyDescent="0.2">
      <c r="A96">
        <v>69</v>
      </c>
      <c r="B96">
        <v>0.26197725307436853</v>
      </c>
      <c r="C96">
        <v>1.0581956395300156</v>
      </c>
      <c r="D96">
        <v>0.99020838505839792</v>
      </c>
      <c r="F96">
        <v>47.569444444444443</v>
      </c>
      <c r="G96">
        <v>0.32195109833132546</v>
      </c>
    </row>
    <row r="97" spans="1:7" x14ac:dyDescent="0.2">
      <c r="A97">
        <v>70</v>
      </c>
      <c r="B97">
        <v>0.25573172278073408</v>
      </c>
      <c r="C97">
        <v>-1.0957197083369041</v>
      </c>
      <c r="D97">
        <v>-1.0253215968181741</v>
      </c>
      <c r="F97">
        <v>48.263888888888886</v>
      </c>
      <c r="G97">
        <v>0.3416951439283733</v>
      </c>
    </row>
    <row r="98" spans="1:7" x14ac:dyDescent="0.2">
      <c r="A98">
        <v>71</v>
      </c>
      <c r="B98">
        <v>0.54699632910011486</v>
      </c>
      <c r="C98">
        <v>0.76030344538230532</v>
      </c>
      <c r="D98">
        <v>0.71145525334116977</v>
      </c>
      <c r="F98">
        <v>48.958333333333329</v>
      </c>
      <c r="G98">
        <v>0.3941440510082177</v>
      </c>
    </row>
    <row r="99" spans="1:7" x14ac:dyDescent="0.2">
      <c r="A99">
        <v>72</v>
      </c>
      <c r="B99">
        <v>0.89307094920315644</v>
      </c>
      <c r="C99">
        <v>-9.3770516644807733E-2</v>
      </c>
      <c r="D99">
        <v>-8.7745921816674566E-2</v>
      </c>
      <c r="F99">
        <v>49.652777777777779</v>
      </c>
      <c r="G99">
        <v>0.39463790345239053</v>
      </c>
    </row>
    <row r="100" spans="1:7" x14ac:dyDescent="0.2">
      <c r="A100">
        <v>73</v>
      </c>
      <c r="B100">
        <v>1.107694870413777</v>
      </c>
      <c r="C100">
        <v>-1.1287888200452234</v>
      </c>
      <c r="D100">
        <v>-1.0562660748303441</v>
      </c>
      <c r="F100">
        <v>50.347222222222221</v>
      </c>
      <c r="G100">
        <v>0.44664249623499269</v>
      </c>
    </row>
    <row r="101" spans="1:7" x14ac:dyDescent="0.2">
      <c r="A101">
        <v>74</v>
      </c>
      <c r="B101">
        <v>-0.88269440399032217</v>
      </c>
      <c r="C101">
        <v>-3.2700004203470892</v>
      </c>
      <c r="D101">
        <v>-3.0599085031292352</v>
      </c>
      <c r="F101">
        <v>51.041666666666664</v>
      </c>
      <c r="G101">
        <v>0.44906329589973976</v>
      </c>
    </row>
    <row r="102" spans="1:7" x14ac:dyDescent="0.2">
      <c r="A102">
        <v>75</v>
      </c>
      <c r="B102">
        <v>-7.7161327727450946</v>
      </c>
      <c r="C102">
        <v>0.71140428337790684</v>
      </c>
      <c r="D102">
        <v>0.66569777860749035</v>
      </c>
      <c r="F102">
        <v>51.736111111111107</v>
      </c>
      <c r="G102">
        <v>0.51269214936388086</v>
      </c>
    </row>
    <row r="103" spans="1:7" x14ac:dyDescent="0.2">
      <c r="A103">
        <v>76</v>
      </c>
      <c r="B103">
        <v>5.2796199299999547</v>
      </c>
      <c r="C103">
        <v>-0.77773768635426155</v>
      </c>
      <c r="D103">
        <v>-0.72776937423967125</v>
      </c>
      <c r="F103">
        <v>52.43055555555555</v>
      </c>
      <c r="G103">
        <v>0.54311279831289316</v>
      </c>
    </row>
    <row r="104" spans="1:7" x14ac:dyDescent="0.2">
      <c r="A104">
        <v>77</v>
      </c>
      <c r="B104">
        <v>2.1804317926293635</v>
      </c>
      <c r="C104">
        <v>0.52658627489718901</v>
      </c>
      <c r="D104">
        <v>0.49275401011050268</v>
      </c>
      <c r="F104">
        <v>53.125</v>
      </c>
      <c r="G104">
        <v>0.64991632276644051</v>
      </c>
    </row>
    <row r="105" spans="1:7" x14ac:dyDescent="0.2">
      <c r="A105">
        <v>78</v>
      </c>
      <c r="B105">
        <v>1.0910154652072273</v>
      </c>
      <c r="C105">
        <v>0.36604450430524316</v>
      </c>
      <c r="D105">
        <v>0.34252677286458943</v>
      </c>
      <c r="F105">
        <v>53.819444444444443</v>
      </c>
      <c r="G105">
        <v>0.74520035393408268</v>
      </c>
    </row>
    <row r="106" spans="1:7" x14ac:dyDescent="0.2">
      <c r="A106">
        <v>79</v>
      </c>
      <c r="B106">
        <v>2.3603389099670458</v>
      </c>
      <c r="C106">
        <v>-2.8132111022769708</v>
      </c>
      <c r="D106">
        <v>-2.632467115108557</v>
      </c>
      <c r="F106">
        <v>54.513888888888886</v>
      </c>
      <c r="G106">
        <v>0.76476526172699799</v>
      </c>
    </row>
    <row r="107" spans="1:7" x14ac:dyDescent="0.2">
      <c r="A107">
        <v>80</v>
      </c>
      <c r="B107">
        <v>0.41442092814363896</v>
      </c>
      <c r="C107">
        <v>1.0602292330882586</v>
      </c>
      <c r="D107">
        <v>0.99211132371921806</v>
      </c>
      <c r="F107">
        <v>55.208333333333329</v>
      </c>
      <c r="G107">
        <v>0.76715041455256716</v>
      </c>
    </row>
    <row r="108" spans="1:7" x14ac:dyDescent="0.2">
      <c r="A108">
        <v>81</v>
      </c>
      <c r="B108">
        <v>-0.27773650714741438</v>
      </c>
      <c r="C108">
        <v>-4.2862666926750725E-2</v>
      </c>
      <c r="D108">
        <v>-4.010881410897172E-2</v>
      </c>
      <c r="F108">
        <v>55.902777777777779</v>
      </c>
      <c r="G108">
        <v>0.77913542886387466</v>
      </c>
    </row>
    <row r="109" spans="1:7" x14ac:dyDescent="0.2">
      <c r="A109">
        <v>82</v>
      </c>
      <c r="B109">
        <v>0.3615250956623135</v>
      </c>
      <c r="C109">
        <v>-2.2617032965952473</v>
      </c>
      <c r="D109">
        <v>-2.11639273981275</v>
      </c>
      <c r="F109">
        <v>56.597222222222221</v>
      </c>
      <c r="G109">
        <v>0.79790760681101336</v>
      </c>
    </row>
    <row r="110" spans="1:7" x14ac:dyDescent="0.2">
      <c r="A110">
        <v>83</v>
      </c>
      <c r="B110">
        <v>3.0099895818473308</v>
      </c>
      <c r="C110">
        <v>2.5767127146054301</v>
      </c>
      <c r="D110">
        <v>2.4111633431244273</v>
      </c>
      <c r="F110">
        <v>57.291666666666664</v>
      </c>
      <c r="G110">
        <v>0.79930043255834871</v>
      </c>
    </row>
    <row r="111" spans="1:7" x14ac:dyDescent="0.2">
      <c r="A111">
        <v>84</v>
      </c>
      <c r="B111">
        <v>1.3363758687636074</v>
      </c>
      <c r="C111">
        <v>0.51557765055536331</v>
      </c>
      <c r="D111">
        <v>0.48245267099699501</v>
      </c>
      <c r="F111">
        <v>57.986111111111107</v>
      </c>
      <c r="G111">
        <v>0.80909571022157933</v>
      </c>
    </row>
    <row r="112" spans="1:7" x14ac:dyDescent="0.2">
      <c r="A112">
        <v>85</v>
      </c>
      <c r="B112">
        <v>-0.23463176401343755</v>
      </c>
      <c r="C112">
        <v>-0.48650858368331351</v>
      </c>
      <c r="D112">
        <v>-0.4552512418025681</v>
      </c>
      <c r="F112">
        <v>58.68055555555555</v>
      </c>
      <c r="G112">
        <v>0.8173714702258239</v>
      </c>
    </row>
    <row r="113" spans="1:7" x14ac:dyDescent="0.2">
      <c r="A113">
        <v>86</v>
      </c>
      <c r="B113">
        <v>-0.83436171165450745</v>
      </c>
      <c r="C113">
        <v>0.80548881923231563</v>
      </c>
      <c r="D113">
        <v>0.75373754443825902</v>
      </c>
      <c r="F113">
        <v>59.375</v>
      </c>
      <c r="G113">
        <v>0.8220675256694463</v>
      </c>
    </row>
    <row r="114" spans="1:7" x14ac:dyDescent="0.2">
      <c r="A114">
        <v>87</v>
      </c>
      <c r="B114">
        <v>0.59030035424491323</v>
      </c>
      <c r="C114">
        <v>1.5651145832281326</v>
      </c>
      <c r="D114">
        <v>1.4645586562594384</v>
      </c>
      <c r="F114">
        <v>60.069444444444443</v>
      </c>
      <c r="G114">
        <v>0.94080499762717185</v>
      </c>
    </row>
    <row r="115" spans="1:7" x14ac:dyDescent="0.2">
      <c r="A115">
        <v>88</v>
      </c>
      <c r="B115">
        <v>0.67605623798162306</v>
      </c>
      <c r="C115">
        <v>1.6349153757989712</v>
      </c>
      <c r="D115">
        <v>1.5298748676530745</v>
      </c>
      <c r="F115">
        <v>60.763888888888886</v>
      </c>
      <c r="G115">
        <v>0.98384974618307341</v>
      </c>
    </row>
    <row r="116" spans="1:7" x14ac:dyDescent="0.2">
      <c r="A116">
        <v>89</v>
      </c>
      <c r="B116">
        <v>0.54701094986639598</v>
      </c>
      <c r="C116">
        <v>-0.29524875073105639</v>
      </c>
      <c r="D116">
        <v>-0.27627952500518327</v>
      </c>
      <c r="F116">
        <v>61.458333333333329</v>
      </c>
      <c r="G116">
        <v>1.084910181769061</v>
      </c>
    </row>
    <row r="117" spans="1:7" x14ac:dyDescent="0.2">
      <c r="A117">
        <v>90</v>
      </c>
      <c r="B117">
        <v>0.90708751872416027</v>
      </c>
      <c r="C117">
        <v>0.28642447595357745</v>
      </c>
      <c r="D117">
        <v>0.26802219474383404</v>
      </c>
      <c r="F117">
        <v>62.152777777777771</v>
      </c>
      <c r="G117">
        <v>1.088562294937061</v>
      </c>
    </row>
    <row r="118" spans="1:7" x14ac:dyDescent="0.2">
      <c r="A118">
        <v>91</v>
      </c>
      <c r="B118">
        <v>0.9953596658564865</v>
      </c>
      <c r="C118">
        <v>9.3202629080574528E-2</v>
      </c>
      <c r="D118">
        <v>8.721452005421422E-2</v>
      </c>
      <c r="F118">
        <v>62.847222222222221</v>
      </c>
      <c r="G118">
        <v>1.1252408849651883</v>
      </c>
    </row>
    <row r="119" spans="1:7" x14ac:dyDescent="0.2">
      <c r="A119">
        <v>92</v>
      </c>
      <c r="B119">
        <v>0.38356113851205254</v>
      </c>
      <c r="C119">
        <v>1.096355596837141</v>
      </c>
      <c r="D119">
        <v>1.0259166305731577</v>
      </c>
      <c r="F119">
        <v>63.541666666666664</v>
      </c>
      <c r="G119">
        <v>1.1573512190828252</v>
      </c>
    </row>
    <row r="120" spans="1:7" x14ac:dyDescent="0.2">
      <c r="A120">
        <v>93</v>
      </c>
      <c r="B120">
        <v>-0.8314692189007038</v>
      </c>
      <c r="C120">
        <v>-0.49976270044406657</v>
      </c>
      <c r="D120">
        <v>-0.46765380429930054</v>
      </c>
      <c r="F120">
        <v>64.236111111111114</v>
      </c>
      <c r="G120">
        <v>1.1607317321410837</v>
      </c>
    </row>
    <row r="121" spans="1:7" x14ac:dyDescent="0.2">
      <c r="A121">
        <v>94</v>
      </c>
      <c r="B121">
        <v>0.40376859030698448</v>
      </c>
      <c r="C121">
        <v>1.3092435184678606</v>
      </c>
      <c r="D121">
        <v>1.225126868455086</v>
      </c>
      <c r="F121">
        <v>64.930555555555557</v>
      </c>
      <c r="G121">
        <v>1.1935119946777377</v>
      </c>
    </row>
    <row r="122" spans="1:7" x14ac:dyDescent="0.2">
      <c r="A122">
        <v>95</v>
      </c>
      <c r="B122">
        <v>6.6549256002877311E-2</v>
      </c>
      <c r="C122">
        <v>0.27514588792549599</v>
      </c>
      <c r="D122">
        <v>0.25746823664778129</v>
      </c>
      <c r="F122">
        <v>65.625</v>
      </c>
      <c r="G122">
        <v>1.2933080083597004</v>
      </c>
    </row>
    <row r="123" spans="1:7" x14ac:dyDescent="0.2">
      <c r="A123">
        <v>96</v>
      </c>
      <c r="B123">
        <v>0.75962475265645679</v>
      </c>
      <c r="C123">
        <v>0.59966834047665829</v>
      </c>
      <c r="D123">
        <v>0.56114067835109271</v>
      </c>
      <c r="F123">
        <v>66.319444444444443</v>
      </c>
      <c r="G123">
        <v>1.3006576888791135</v>
      </c>
    </row>
    <row r="124" spans="1:7" x14ac:dyDescent="0.2">
      <c r="A124">
        <v>97</v>
      </c>
      <c r="B124">
        <v>-2.1728048836168541</v>
      </c>
      <c r="C124">
        <v>-8.4006977125209215E-2</v>
      </c>
      <c r="D124">
        <v>-7.8609672961548499E-2</v>
      </c>
      <c r="F124">
        <v>67.013888888888886</v>
      </c>
      <c r="G124">
        <v>1.3072997744824202</v>
      </c>
    </row>
    <row r="125" spans="1:7" x14ac:dyDescent="0.2">
      <c r="A125">
        <v>98</v>
      </c>
      <c r="B125">
        <v>-1.2967079987091232</v>
      </c>
      <c r="C125">
        <v>0.18948699586837159</v>
      </c>
      <c r="D125">
        <v>0.17731278145478072</v>
      </c>
      <c r="F125">
        <v>67.708333333333343</v>
      </c>
      <c r="G125">
        <v>1.3201728926043841</v>
      </c>
    </row>
    <row r="126" spans="1:7" x14ac:dyDescent="0.2">
      <c r="A126">
        <v>99</v>
      </c>
      <c r="B126">
        <v>3.1157158971390042E-2</v>
      </c>
      <c r="C126">
        <v>1.9653917742597922</v>
      </c>
      <c r="D126">
        <v>1.839118724455532</v>
      </c>
      <c r="F126">
        <v>68.402777777777786</v>
      </c>
      <c r="G126">
        <v>1.3282751471537555</v>
      </c>
    </row>
    <row r="127" spans="1:7" x14ac:dyDescent="0.2">
      <c r="A127">
        <v>100</v>
      </c>
      <c r="B127">
        <v>-2.7732104928673702</v>
      </c>
      <c r="C127">
        <v>1.0568317270004357</v>
      </c>
      <c r="D127">
        <v>0.98893210156900835</v>
      </c>
      <c r="F127">
        <v>69.097222222222229</v>
      </c>
      <c r="G127">
        <v>1.3592930931331151</v>
      </c>
    </row>
    <row r="128" spans="1:7" x14ac:dyDescent="0.2">
      <c r="A128">
        <v>101</v>
      </c>
      <c r="B128">
        <v>6.5477176828632189E-2</v>
      </c>
      <c r="C128">
        <v>-0.88586483259615634</v>
      </c>
      <c r="D128">
        <v>-0.82894953683107353</v>
      </c>
      <c r="F128">
        <v>69.791666666666671</v>
      </c>
      <c r="G128">
        <v>1.3893836371301047</v>
      </c>
    </row>
    <row r="129" spans="1:7" x14ac:dyDescent="0.2">
      <c r="A129">
        <v>102</v>
      </c>
      <c r="B129">
        <v>-3.9683802843503395</v>
      </c>
      <c r="C129">
        <v>0.280856073043112</v>
      </c>
      <c r="D129">
        <v>0.26281155216759416</v>
      </c>
      <c r="F129">
        <v>70.486111111111114</v>
      </c>
      <c r="G129">
        <v>1.4570599695124704</v>
      </c>
    </row>
    <row r="130" spans="1:7" x14ac:dyDescent="0.2">
      <c r="A130">
        <v>103</v>
      </c>
      <c r="B130">
        <v>4.7628956770241473</v>
      </c>
      <c r="C130">
        <v>-0.94140679086720258</v>
      </c>
      <c r="D130">
        <v>-0.88092301956719621</v>
      </c>
      <c r="F130">
        <v>71.180555555555557</v>
      </c>
      <c r="G130">
        <v>1.4746501612318974</v>
      </c>
    </row>
    <row r="131" spans="1:7" x14ac:dyDescent="0.2">
      <c r="A131">
        <v>104</v>
      </c>
      <c r="B131">
        <v>-4.1571130348174368</v>
      </c>
      <c r="C131">
        <v>2.3303181157447819</v>
      </c>
      <c r="D131">
        <v>2.1805991745428255</v>
      </c>
      <c r="F131">
        <v>71.875</v>
      </c>
      <c r="G131">
        <v>1.4799167353491935</v>
      </c>
    </row>
    <row r="132" spans="1:7" x14ac:dyDescent="0.2">
      <c r="A132">
        <v>105</v>
      </c>
      <c r="B132">
        <v>-3.8429144523934884</v>
      </c>
      <c r="C132">
        <v>-0.84394544719170206</v>
      </c>
      <c r="D132">
        <v>-0.78972340002482</v>
      </c>
      <c r="F132">
        <v>72.569444444444443</v>
      </c>
      <c r="G132">
        <v>1.5120608050198472</v>
      </c>
    </row>
    <row r="133" spans="1:7" x14ac:dyDescent="0.2">
      <c r="A133">
        <v>106</v>
      </c>
      <c r="B133">
        <v>2.9665893820812181</v>
      </c>
      <c r="C133">
        <v>-0.72243243814616687</v>
      </c>
      <c r="D133">
        <v>-0.67601739335103905</v>
      </c>
      <c r="F133">
        <v>73.263888888888886</v>
      </c>
      <c r="G133">
        <v>1.5632378548125487</v>
      </c>
    </row>
    <row r="134" spans="1:7" x14ac:dyDescent="0.2">
      <c r="A134">
        <v>107</v>
      </c>
      <c r="B134">
        <v>2.5819639397252088</v>
      </c>
      <c r="C134">
        <v>-6.2095805983918506E-2</v>
      </c>
      <c r="D134">
        <v>-5.8106256976776606E-2</v>
      </c>
      <c r="F134">
        <v>73.958333333333343</v>
      </c>
      <c r="G134">
        <v>1.5752476292840976</v>
      </c>
    </row>
    <row r="135" spans="1:7" x14ac:dyDescent="0.2">
      <c r="A135">
        <v>108</v>
      </c>
      <c r="B135">
        <v>-0.39335522720649951</v>
      </c>
      <c r="C135">
        <v>-0.99168467415201356</v>
      </c>
      <c r="D135">
        <v>-0.9279706351042617</v>
      </c>
      <c r="F135">
        <v>74.652777777777786</v>
      </c>
      <c r="G135">
        <v>1.7130121087748451</v>
      </c>
    </row>
    <row r="136" spans="1:7" x14ac:dyDescent="0.2">
      <c r="A136">
        <v>109</v>
      </c>
      <c r="B136">
        <v>2.7830038170631308</v>
      </c>
      <c r="C136">
        <v>0.28686756567470351</v>
      </c>
      <c r="D136">
        <v>0.26843681671051223</v>
      </c>
      <c r="F136">
        <v>75.347222222222229</v>
      </c>
      <c r="G136">
        <v>1.8101887790863302</v>
      </c>
    </row>
    <row r="137" spans="1:7" x14ac:dyDescent="0.2">
      <c r="A137">
        <v>110</v>
      </c>
      <c r="B137">
        <v>-1.0507663497356938</v>
      </c>
      <c r="C137">
        <v>0.89053257916639783</v>
      </c>
      <c r="D137">
        <v>0.83331738869184424</v>
      </c>
      <c r="F137">
        <v>76.041666666666671</v>
      </c>
      <c r="G137">
        <v>1.8519535193189707</v>
      </c>
    </row>
    <row r="138" spans="1:7" x14ac:dyDescent="0.2">
      <c r="A138">
        <v>111</v>
      </c>
      <c r="B138">
        <v>1.0800359318530797</v>
      </c>
      <c r="C138">
        <v>-1.3381266039959829</v>
      </c>
      <c r="D138">
        <v>-1.2521542652878759</v>
      </c>
      <c r="F138">
        <v>76.736111111111114</v>
      </c>
      <c r="G138">
        <v>1.9551601207275044</v>
      </c>
    </row>
    <row r="139" spans="1:7" x14ac:dyDescent="0.2">
      <c r="A139">
        <v>112</v>
      </c>
      <c r="B139">
        <v>0.46269742538046316</v>
      </c>
      <c r="C139">
        <v>0.47810757224670869</v>
      </c>
      <c r="D139">
        <v>0.44738998093856353</v>
      </c>
      <c r="F139">
        <v>77.430555555555557</v>
      </c>
      <c r="G139">
        <v>1.9636320377819911</v>
      </c>
    </row>
    <row r="140" spans="1:7" x14ac:dyDescent="0.2">
      <c r="A140">
        <v>113</v>
      </c>
      <c r="B140">
        <v>-0.94520879104618016</v>
      </c>
      <c r="C140">
        <v>-0.53640347779410114</v>
      </c>
      <c r="D140">
        <v>-0.50194047456301116</v>
      </c>
      <c r="F140">
        <v>78.125</v>
      </c>
      <c r="G140">
        <v>1.9965489332311821</v>
      </c>
    </row>
    <row r="141" spans="1:7" x14ac:dyDescent="0.2">
      <c r="A141">
        <v>114</v>
      </c>
      <c r="B141">
        <v>0.44682466220203187</v>
      </c>
      <c r="C141">
        <v>0.32032575235053529</v>
      </c>
      <c r="D141">
        <v>0.2997453722910024</v>
      </c>
      <c r="F141">
        <v>78.819444444444443</v>
      </c>
      <c r="G141">
        <v>2.1127325139720563</v>
      </c>
    </row>
    <row r="142" spans="1:7" x14ac:dyDescent="0.2">
      <c r="A142">
        <v>115</v>
      </c>
      <c r="B142">
        <v>1.5661913647807646</v>
      </c>
      <c r="C142">
        <v>0.39744067300122654</v>
      </c>
      <c r="D142">
        <v>0.37190579158297921</v>
      </c>
      <c r="F142">
        <v>79.513888888888886</v>
      </c>
      <c r="G142">
        <v>2.1320616401803507</v>
      </c>
    </row>
    <row r="143" spans="1:7" x14ac:dyDescent="0.2">
      <c r="A143">
        <v>116</v>
      </c>
      <c r="B143">
        <v>0.25400030458430634</v>
      </c>
      <c r="C143">
        <v>-0.87923777394282077</v>
      </c>
      <c r="D143">
        <v>-0.82274825532728535</v>
      </c>
      <c r="F143">
        <v>80.208333333333343</v>
      </c>
      <c r="G143">
        <v>2.1528110708148573</v>
      </c>
    </row>
    <row r="144" spans="1:7" x14ac:dyDescent="0.2">
      <c r="A144">
        <v>117</v>
      </c>
      <c r="B144">
        <v>-4.4211464373694664E-2</v>
      </c>
      <c r="C144">
        <v>0.32358193256728501</v>
      </c>
      <c r="D144">
        <v>0.30279234851490638</v>
      </c>
      <c r="F144">
        <v>80.902777777777786</v>
      </c>
      <c r="G144">
        <v>2.1554149374730458</v>
      </c>
    </row>
    <row r="145" spans="1:7" x14ac:dyDescent="0.2">
      <c r="A145">
        <v>118</v>
      </c>
      <c r="B145">
        <v>-0.13244871665923919</v>
      </c>
      <c r="C145">
        <v>-1.5700182836424155</v>
      </c>
      <c r="D145">
        <v>-1.4691473023345574</v>
      </c>
      <c r="F145">
        <v>81.597222222222229</v>
      </c>
      <c r="G145">
        <v>2.1937669383125291</v>
      </c>
    </row>
    <row r="146" spans="1:7" x14ac:dyDescent="0.2">
      <c r="A146">
        <v>119</v>
      </c>
      <c r="B146">
        <v>3.3009480302030547</v>
      </c>
      <c r="C146">
        <v>-0.13426067390453822</v>
      </c>
      <c r="D146">
        <v>-0.12563465593461651</v>
      </c>
      <c r="F146">
        <v>82.291666666666671</v>
      </c>
      <c r="G146">
        <v>2.2441569439350513</v>
      </c>
    </row>
    <row r="147" spans="1:7" x14ac:dyDescent="0.2">
      <c r="A147">
        <v>120</v>
      </c>
      <c r="B147">
        <v>3.3654659277147587</v>
      </c>
      <c r="C147">
        <v>0.21460545190259328</v>
      </c>
      <c r="D147">
        <v>0.20081741978031176</v>
      </c>
      <c r="F147">
        <v>82.986111111111114</v>
      </c>
      <c r="G147">
        <v>2.3109716137805942</v>
      </c>
    </row>
    <row r="148" spans="1:7" x14ac:dyDescent="0.2">
      <c r="A148">
        <v>121</v>
      </c>
      <c r="B148">
        <v>-0.20578036867434873</v>
      </c>
      <c r="C148">
        <v>0.26096322699785934</v>
      </c>
      <c r="D148">
        <v>0.24419678735394063</v>
      </c>
      <c r="F148">
        <v>83.680555555555557</v>
      </c>
      <c r="G148">
        <v>2.3644571963769208</v>
      </c>
    </row>
    <row r="149" spans="1:7" x14ac:dyDescent="0.2">
      <c r="A149">
        <v>122</v>
      </c>
      <c r="B149">
        <v>7.9261793899646993E-2</v>
      </c>
      <c r="C149">
        <v>0.73810967632617697</v>
      </c>
      <c r="D149">
        <v>0.69068739587278283</v>
      </c>
      <c r="F149">
        <v>84.375</v>
      </c>
      <c r="G149">
        <v>2.3878145236429944</v>
      </c>
    </row>
    <row r="150" spans="1:7" x14ac:dyDescent="0.2">
      <c r="A150">
        <v>123</v>
      </c>
      <c r="B150">
        <v>1.2068363991637008</v>
      </c>
      <c r="C150">
        <v>1.327480396007843</v>
      </c>
      <c r="D150">
        <v>1.2421920578990664</v>
      </c>
      <c r="F150">
        <v>85.069444444444443</v>
      </c>
      <c r="G150">
        <v>2.4047017706743326</v>
      </c>
    </row>
    <row r="151" spans="1:7" x14ac:dyDescent="0.2">
      <c r="A151">
        <v>124</v>
      </c>
      <c r="B151">
        <v>-0.63974115333680048</v>
      </c>
      <c r="C151">
        <v>0.14324518057840896</v>
      </c>
      <c r="D151">
        <v>0.13404192346789726</v>
      </c>
      <c r="F151">
        <v>85.763888888888886</v>
      </c>
      <c r="G151">
        <v>2.4711222871909655</v>
      </c>
    </row>
    <row r="152" spans="1:7" x14ac:dyDescent="0.2">
      <c r="A152">
        <v>125</v>
      </c>
      <c r="B152">
        <v>1.0374340507173516</v>
      </c>
      <c r="C152">
        <v>0.11991716836547361</v>
      </c>
      <c r="D152">
        <v>0.11221269601969808</v>
      </c>
      <c r="F152">
        <v>86.458333333333343</v>
      </c>
      <c r="G152">
        <v>2.5118747000438195</v>
      </c>
    </row>
    <row r="153" spans="1:7" x14ac:dyDescent="0.2">
      <c r="A153">
        <v>126</v>
      </c>
      <c r="B153">
        <v>0.67142216003601696</v>
      </c>
      <c r="C153">
        <v>0.48930957210506676</v>
      </c>
      <c r="D153">
        <v>0.4578722715234082</v>
      </c>
      <c r="F153">
        <v>87.152777777777786</v>
      </c>
      <c r="G153">
        <v>2.5198681337412903</v>
      </c>
    </row>
    <row r="154" spans="1:7" x14ac:dyDescent="0.2">
      <c r="A154">
        <v>127</v>
      </c>
      <c r="B154">
        <v>1.4531275764605667</v>
      </c>
      <c r="C154">
        <v>-0.46927783027749326</v>
      </c>
      <c r="D154">
        <v>-0.43912753474316779</v>
      </c>
      <c r="F154">
        <v>87.847222222222229</v>
      </c>
      <c r="G154">
        <v>2.5257042870557784</v>
      </c>
    </row>
    <row r="155" spans="1:7" x14ac:dyDescent="0.2">
      <c r="A155">
        <v>128</v>
      </c>
      <c r="B155">
        <v>1.0176384449627731</v>
      </c>
      <c r="C155">
        <v>-0.81635497616900965</v>
      </c>
      <c r="D155">
        <v>-0.76390556943300736</v>
      </c>
      <c r="F155">
        <v>88.541666666666671</v>
      </c>
      <c r="G155">
        <v>2.5343167951715437</v>
      </c>
    </row>
    <row r="156" spans="1:7" x14ac:dyDescent="0.2">
      <c r="A156">
        <v>129</v>
      </c>
      <c r="B156">
        <v>1.0100731227310478</v>
      </c>
      <c r="C156">
        <v>-0.9472105555476148</v>
      </c>
      <c r="D156">
        <v>-0.88635390232343436</v>
      </c>
      <c r="F156">
        <v>89.236111111111114</v>
      </c>
      <c r="G156">
        <v>2.6303236664701828</v>
      </c>
    </row>
    <row r="157" spans="1:7" x14ac:dyDescent="0.2">
      <c r="A157">
        <v>130</v>
      </c>
      <c r="B157">
        <v>-0.46484173449906668</v>
      </c>
      <c r="C157">
        <v>0.48008636279917632</v>
      </c>
      <c r="D157">
        <v>0.44924163759271307</v>
      </c>
      <c r="F157">
        <v>89.930555555555557</v>
      </c>
      <c r="G157">
        <v>2.6535892327475388</v>
      </c>
    </row>
    <row r="158" spans="1:7" x14ac:dyDescent="0.2">
      <c r="A158">
        <v>131</v>
      </c>
      <c r="B158">
        <v>1.4329964160881175</v>
      </c>
      <c r="C158">
        <v>1.0788782839557021</v>
      </c>
      <c r="D158">
        <v>1.0095622050614665</v>
      </c>
      <c r="F158">
        <v>90.625</v>
      </c>
      <c r="G158">
        <v>2.664630651168546</v>
      </c>
    </row>
    <row r="159" spans="1:7" x14ac:dyDescent="0.2">
      <c r="A159">
        <v>132</v>
      </c>
      <c r="B159">
        <v>0.10122180244511209</v>
      </c>
      <c r="C159">
        <v>-0.83169456190633229</v>
      </c>
      <c r="D159">
        <v>-0.778259613102253</v>
      </c>
      <c r="F159">
        <v>91.319444444444443</v>
      </c>
      <c r="G159">
        <v>2.683391280512204</v>
      </c>
    </row>
    <row r="160" spans="1:7" x14ac:dyDescent="0.2">
      <c r="A160">
        <v>133</v>
      </c>
      <c r="B160">
        <v>1.017901937698086</v>
      </c>
      <c r="C160">
        <v>1.64672871347046</v>
      </c>
      <c r="D160">
        <v>1.5409292186453256</v>
      </c>
      <c r="F160">
        <v>92.013888888888886</v>
      </c>
      <c r="G160">
        <v>2.7070180675265525</v>
      </c>
    </row>
    <row r="161" spans="1:7" x14ac:dyDescent="0.2">
      <c r="A161">
        <v>134</v>
      </c>
      <c r="B161">
        <v>0.66788683621122802</v>
      </c>
      <c r="C161">
        <v>-1.3076924256543432</v>
      </c>
      <c r="D161">
        <v>-1.2236754306938882</v>
      </c>
      <c r="F161">
        <v>92.708333333333343</v>
      </c>
      <c r="G161">
        <v>2.8438546235537174</v>
      </c>
    </row>
    <row r="162" spans="1:7" x14ac:dyDescent="0.2">
      <c r="A162">
        <v>135</v>
      </c>
      <c r="B162">
        <v>-0.78007998398874401</v>
      </c>
      <c r="C162">
        <v>-1.7879771158465121</v>
      </c>
      <c r="D162">
        <v>-1.673102653484831</v>
      </c>
      <c r="F162">
        <v>93.402777777777786</v>
      </c>
      <c r="G162">
        <v>2.8609360739223297</v>
      </c>
    </row>
    <row r="163" spans="1:7" x14ac:dyDescent="0.2">
      <c r="A163">
        <v>136</v>
      </c>
      <c r="B163">
        <v>1.0720217567190566</v>
      </c>
      <c r="C163">
        <v>-1.1977684003273412</v>
      </c>
      <c r="D163">
        <v>-1.1208138354159938</v>
      </c>
      <c r="F163">
        <v>94.097222222222229</v>
      </c>
      <c r="G163">
        <v>3.0698713827378343</v>
      </c>
    </row>
    <row r="164" spans="1:7" x14ac:dyDescent="0.2">
      <c r="A164">
        <v>137</v>
      </c>
      <c r="B164">
        <v>0.74328320670740999</v>
      </c>
      <c r="C164">
        <v>1.6445313169355844</v>
      </c>
      <c r="D164">
        <v>1.5388730010681122</v>
      </c>
      <c r="F164">
        <v>94.791666666666671</v>
      </c>
      <c r="G164">
        <v>3.1095108983661892</v>
      </c>
    </row>
    <row r="165" spans="1:7" x14ac:dyDescent="0.2">
      <c r="A165">
        <v>138</v>
      </c>
      <c r="B165">
        <v>1.1867246263582398</v>
      </c>
      <c r="C165">
        <v>0.11393306252087365</v>
      </c>
      <c r="D165">
        <v>0.10661305870969026</v>
      </c>
      <c r="F165">
        <v>95.486111111111114</v>
      </c>
      <c r="G165">
        <v>3.1666873562985165</v>
      </c>
    </row>
    <row r="166" spans="1:7" x14ac:dyDescent="0.2">
      <c r="A166">
        <v>139</v>
      </c>
      <c r="B166">
        <v>0.78823554262207374</v>
      </c>
      <c r="C166">
        <v>1.576221653754847</v>
      </c>
      <c r="D166">
        <v>1.4749521165593433</v>
      </c>
      <c r="F166">
        <v>96.180555555555557</v>
      </c>
      <c r="G166">
        <v>3.3950819422879635</v>
      </c>
    </row>
    <row r="167" spans="1:7" x14ac:dyDescent="0.2">
      <c r="A167">
        <v>140</v>
      </c>
      <c r="B167">
        <v>0.26448666430441492</v>
      </c>
      <c r="C167">
        <v>-0.30212235766964224</v>
      </c>
      <c r="D167">
        <v>-0.28271151448985571</v>
      </c>
      <c r="F167">
        <v>96.875</v>
      </c>
      <c r="G167">
        <v>3.4388141552305238</v>
      </c>
    </row>
    <row r="168" spans="1:7" x14ac:dyDescent="0.2">
      <c r="A168">
        <v>141</v>
      </c>
      <c r="B168">
        <v>0.88623357141539238</v>
      </c>
      <c r="C168">
        <v>0.6258272336044548</v>
      </c>
      <c r="D168">
        <v>0.5856189074718392</v>
      </c>
      <c r="F168">
        <v>97.569444444444443</v>
      </c>
      <c r="G168">
        <v>3.580071379617352</v>
      </c>
    </row>
    <row r="169" spans="1:7" x14ac:dyDescent="0.2">
      <c r="A169">
        <v>142</v>
      </c>
      <c r="B169">
        <v>1.1072431307427744</v>
      </c>
      <c r="C169">
        <v>1.5230805357274084</v>
      </c>
      <c r="D169">
        <v>1.4252252241998939</v>
      </c>
      <c r="F169">
        <v>98.263888888888886</v>
      </c>
      <c r="G169">
        <v>3.8214888861569447</v>
      </c>
    </row>
    <row r="170" spans="1:7" x14ac:dyDescent="0.2">
      <c r="A170">
        <v>143</v>
      </c>
      <c r="B170">
        <v>0.22402131121876964</v>
      </c>
      <c r="C170">
        <v>-0.15957116634433727</v>
      </c>
      <c r="D170">
        <v>-0.14931899265611109</v>
      </c>
      <c r="F170">
        <v>98.958333333333343</v>
      </c>
      <c r="G170">
        <v>4.5018822436456931</v>
      </c>
    </row>
    <row r="171" spans="1:7" ht="17" thickBot="1" x14ac:dyDescent="0.25">
      <c r="A171" s="2">
        <v>144</v>
      </c>
      <c r="B171" s="2">
        <v>0.638634301376519</v>
      </c>
      <c r="C171" s="2">
        <v>1.1282021389921515E-2</v>
      </c>
      <c r="D171" s="2">
        <v>1.0557170870284622E-2</v>
      </c>
      <c r="F171" s="2">
        <v>99.652777777777786</v>
      </c>
      <c r="G171" s="2">
        <v>5.5867022964527608</v>
      </c>
    </row>
  </sheetData>
  <sortState xmlns:xlrd2="http://schemas.microsoft.com/office/spreadsheetml/2017/richdata2" ref="G28:G171">
    <sortCondition ref="G28"/>
  </sortState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B5AE4-1025-4D49-97F8-0C104BC5E001}">
  <dimension ref="A1:I170"/>
  <sheetViews>
    <sheetView workbookViewId="0">
      <selection activeCell="F22" sqref="F22"/>
    </sheetView>
  </sheetViews>
  <sheetFormatPr baseColWidth="10" defaultRowHeight="16" x14ac:dyDescent="0.2"/>
  <cols>
    <col min="1" max="1" width="18" bestFit="1" customWidth="1"/>
    <col min="2" max="2" width="25" bestFit="1" customWidth="1"/>
    <col min="3" max="3" width="13.5" bestFit="1" customWidth="1"/>
    <col min="4" max="4" width="17.5" bestFit="1" customWidth="1"/>
    <col min="5" max="5" width="12.1640625" bestFit="1" customWidth="1"/>
    <col min="6" max="6" width="19.6640625" bestFit="1" customWidth="1"/>
    <col min="7" max="7" width="16.6640625" bestFit="1" customWidth="1"/>
    <col min="8" max="8" width="12.33203125" bestFit="1" customWidth="1"/>
    <col min="9" max="9" width="12.83203125" bestFit="1" customWidth="1"/>
  </cols>
  <sheetData>
    <row r="1" spans="1:9" x14ac:dyDescent="0.2">
      <c r="A1" t="s">
        <v>21</v>
      </c>
    </row>
    <row r="2" spans="1:9" ht="17" thickBot="1" x14ac:dyDescent="0.25"/>
    <row r="3" spans="1:9" x14ac:dyDescent="0.2">
      <c r="A3" s="4" t="s">
        <v>22</v>
      </c>
      <c r="B3" s="4"/>
    </row>
    <row r="4" spans="1:9" x14ac:dyDescent="0.2">
      <c r="A4" t="s">
        <v>23</v>
      </c>
      <c r="B4">
        <v>0.82957254600275343</v>
      </c>
    </row>
    <row r="5" spans="1:9" x14ac:dyDescent="0.2">
      <c r="A5" t="s">
        <v>24</v>
      </c>
      <c r="B5">
        <v>0.68819060908149043</v>
      </c>
    </row>
    <row r="6" spans="1:9" x14ac:dyDescent="0.2">
      <c r="A6" t="s">
        <v>25</v>
      </c>
      <c r="B6">
        <v>0.68150897927609388</v>
      </c>
    </row>
    <row r="7" spans="1:9" x14ac:dyDescent="0.2">
      <c r="A7" t="s">
        <v>26</v>
      </c>
      <c r="B7">
        <v>1.0545581770677179</v>
      </c>
    </row>
    <row r="8" spans="1:9" ht="17" thickBot="1" x14ac:dyDescent="0.25">
      <c r="A8" s="2" t="s">
        <v>27</v>
      </c>
      <c r="B8" s="2">
        <v>144</v>
      </c>
    </row>
    <row r="10" spans="1:9" ht="17" thickBot="1" x14ac:dyDescent="0.25">
      <c r="A10" t="s">
        <v>28</v>
      </c>
    </row>
    <row r="11" spans="1:9" x14ac:dyDescent="0.2">
      <c r="A11" s="3"/>
      <c r="B11" s="3" t="s">
        <v>33</v>
      </c>
      <c r="C11" s="3" t="s">
        <v>34</v>
      </c>
      <c r="D11" s="3" t="s">
        <v>35</v>
      </c>
      <c r="E11" s="3" t="s">
        <v>36</v>
      </c>
      <c r="F11" s="3" t="s">
        <v>37</v>
      </c>
    </row>
    <row r="12" spans="1:9" x14ac:dyDescent="0.2">
      <c r="A12" t="s">
        <v>29</v>
      </c>
      <c r="B12">
        <v>3</v>
      </c>
      <c r="C12">
        <v>343.62810246646211</v>
      </c>
      <c r="D12">
        <v>114.54270082215403</v>
      </c>
      <c r="E12">
        <v>102.99741666706096</v>
      </c>
      <c r="F12">
        <v>2.9498272447980826E-35</v>
      </c>
    </row>
    <row r="13" spans="1:9" x14ac:dyDescent="0.2">
      <c r="A13" t="s">
        <v>30</v>
      </c>
      <c r="B13">
        <v>140</v>
      </c>
      <c r="C13">
        <v>155.69301283485436</v>
      </c>
      <c r="D13">
        <v>1.1120929488203883</v>
      </c>
    </row>
    <row r="14" spans="1:9" ht="17" thickBot="1" x14ac:dyDescent="0.25">
      <c r="A14" s="2" t="s">
        <v>31</v>
      </c>
      <c r="B14" s="2">
        <v>143</v>
      </c>
      <c r="C14" s="2">
        <v>499.32111530131647</v>
      </c>
      <c r="D14" s="2"/>
      <c r="E14" s="2"/>
      <c r="F14" s="2"/>
    </row>
    <row r="15" spans="1:9" ht="17" thickBot="1" x14ac:dyDescent="0.25"/>
    <row r="16" spans="1:9" x14ac:dyDescent="0.2">
      <c r="A16" s="3"/>
      <c r="B16" s="3" t="s">
        <v>38</v>
      </c>
      <c r="C16" s="3" t="s">
        <v>26</v>
      </c>
      <c r="D16" s="3" t="s">
        <v>39</v>
      </c>
      <c r="E16" s="3" t="s">
        <v>40</v>
      </c>
      <c r="F16" s="3" t="s">
        <v>41</v>
      </c>
      <c r="G16" s="3" t="s">
        <v>42</v>
      </c>
      <c r="H16" s="3" t="s">
        <v>43</v>
      </c>
      <c r="I16" s="3" t="s">
        <v>44</v>
      </c>
    </row>
    <row r="17" spans="1:9" x14ac:dyDescent="0.2">
      <c r="A17" t="s">
        <v>32</v>
      </c>
      <c r="B17">
        <v>1.1132794493266001</v>
      </c>
      <c r="C17">
        <v>0.28358883244973693</v>
      </c>
      <c r="D17">
        <v>3.9256815570264632</v>
      </c>
      <c r="E17">
        <v>1.3514631248520608E-4</v>
      </c>
      <c r="F17">
        <v>0.5526090932786325</v>
      </c>
      <c r="G17">
        <v>1.6739498053745676</v>
      </c>
      <c r="H17">
        <v>0.5526090932786325</v>
      </c>
      <c r="I17">
        <v>1.6739498053745676</v>
      </c>
    </row>
    <row r="18" spans="1:9" x14ac:dyDescent="0.2">
      <c r="A18" t="s">
        <v>17</v>
      </c>
      <c r="B18">
        <v>0.73523726849294491</v>
      </c>
      <c r="C18">
        <v>5.1300464314235968E-2</v>
      </c>
      <c r="D18">
        <v>14.33198077875711</v>
      </c>
      <c r="E18">
        <v>3.0535033627483521E-29</v>
      </c>
      <c r="F18">
        <v>0.6338134947003482</v>
      </c>
      <c r="G18">
        <v>0.83666104228554161</v>
      </c>
      <c r="H18">
        <v>0.6338134947003482</v>
      </c>
      <c r="I18">
        <v>0.83666104228554161</v>
      </c>
    </row>
    <row r="19" spans="1:9" x14ac:dyDescent="0.2">
      <c r="A19" t="s">
        <v>18</v>
      </c>
      <c r="B19">
        <v>0.41479087194380643</v>
      </c>
      <c r="C19">
        <v>6.1285313915720299E-2</v>
      </c>
      <c r="D19">
        <v>6.7681936412078718</v>
      </c>
      <c r="E19">
        <v>3.2933991800045184E-10</v>
      </c>
      <c r="F19">
        <v>0.29362651410637836</v>
      </c>
      <c r="G19">
        <v>0.53595522978123455</v>
      </c>
      <c r="H19">
        <v>0.29362651410637836</v>
      </c>
      <c r="I19">
        <v>0.53595522978123455</v>
      </c>
    </row>
    <row r="20" spans="1:9" ht="17" thickBot="1" x14ac:dyDescent="0.25">
      <c r="A20" s="2" t="s">
        <v>57</v>
      </c>
      <c r="B20" s="2">
        <v>-4.1670891584910302E-2</v>
      </c>
      <c r="C20" s="2">
        <v>1.4723655653010223E-2</v>
      </c>
      <c r="D20" s="2">
        <v>-2.8302000920804455</v>
      </c>
      <c r="E20" s="2">
        <v>5.3367802700880389E-3</v>
      </c>
      <c r="F20" s="2">
        <v>-7.0780349760644512E-2</v>
      </c>
      <c r="G20" s="2">
        <v>-1.2561433409176096E-2</v>
      </c>
      <c r="H20" s="2">
        <v>-7.0780349760644512E-2</v>
      </c>
      <c r="I20" s="2">
        <v>-1.2561433409176096E-2</v>
      </c>
    </row>
    <row r="24" spans="1:9" x14ac:dyDescent="0.2">
      <c r="A24" t="s">
        <v>45</v>
      </c>
      <c r="F24" t="s">
        <v>48</v>
      </c>
    </row>
    <row r="25" spans="1:9" ht="17" thickBot="1" x14ac:dyDescent="0.25"/>
    <row r="26" spans="1:9" x14ac:dyDescent="0.2">
      <c r="A26" s="3" t="s">
        <v>46</v>
      </c>
      <c r="B26" s="3" t="s">
        <v>50</v>
      </c>
      <c r="C26" s="3" t="s">
        <v>47</v>
      </c>
      <c r="D26" s="3" t="s">
        <v>52</v>
      </c>
      <c r="F26" s="3" t="s">
        <v>49</v>
      </c>
      <c r="G26" s="3" t="s">
        <v>2</v>
      </c>
    </row>
    <row r="27" spans="1:9" x14ac:dyDescent="0.2">
      <c r="A27">
        <v>1</v>
      </c>
      <c r="B27">
        <v>-0.90278074947081122</v>
      </c>
      <c r="C27">
        <v>-2.2203704715431032</v>
      </c>
      <c r="D27">
        <v>-2.1279376583418039</v>
      </c>
      <c r="F27">
        <v>0.34722222222222221</v>
      </c>
      <c r="G27">
        <v>-7.0047284893671877</v>
      </c>
    </row>
    <row r="28" spans="1:9" x14ac:dyDescent="0.2">
      <c r="A28">
        <v>2</v>
      </c>
      <c r="B28">
        <v>2.2673056162365426</v>
      </c>
      <c r="C28">
        <v>1.1715085389939812</v>
      </c>
      <c r="D28">
        <v>1.1227392766855604</v>
      </c>
      <c r="F28">
        <v>1.0416666666666665</v>
      </c>
      <c r="G28">
        <v>-4.6868598995851904</v>
      </c>
    </row>
    <row r="29" spans="1:9" x14ac:dyDescent="0.2">
      <c r="A29">
        <v>3</v>
      </c>
      <c r="B29">
        <v>-0.25609187058228949</v>
      </c>
      <c r="C29">
        <v>-1.586225821956605</v>
      </c>
      <c r="D29">
        <v>-1.5201921050723703</v>
      </c>
      <c r="F29">
        <v>1.7361111111111112</v>
      </c>
      <c r="G29">
        <v>-4.1526948243374111</v>
      </c>
    </row>
    <row r="30" spans="1:9" x14ac:dyDescent="0.2">
      <c r="A30">
        <v>4</v>
      </c>
      <c r="B30">
        <v>1.1492580573669646</v>
      </c>
      <c r="C30">
        <v>-0.38449279563996663</v>
      </c>
      <c r="D30">
        <v>-0.36848657000684737</v>
      </c>
      <c r="F30">
        <v>2.4305555555555554</v>
      </c>
      <c r="G30">
        <v>-3.6875242113072275</v>
      </c>
    </row>
    <row r="31" spans="1:9" x14ac:dyDescent="0.2">
      <c r="A31">
        <v>5</v>
      </c>
      <c r="B31">
        <v>2.1720532887408135</v>
      </c>
      <c r="C31">
        <v>0.67180133481290394</v>
      </c>
      <c r="D31">
        <v>0.64383461120304208</v>
      </c>
      <c r="F31">
        <v>3.125</v>
      </c>
      <c r="G31">
        <v>-3.3442885744124804</v>
      </c>
    </row>
    <row r="32" spans="1:9" x14ac:dyDescent="0.2">
      <c r="A32">
        <v>6</v>
      </c>
      <c r="B32">
        <v>5.0995098368119995E-2</v>
      </c>
      <c r="C32">
        <v>-0.45686913636303966</v>
      </c>
      <c r="D32">
        <v>-0.43784992309205112</v>
      </c>
      <c r="F32">
        <v>3.8194444444444446</v>
      </c>
      <c r="G32">
        <v>-3.1231512210139143</v>
      </c>
    </row>
    <row r="33" spans="1:7" x14ac:dyDescent="0.2">
      <c r="A33">
        <v>7</v>
      </c>
      <c r="B33">
        <v>0.49615823170951479</v>
      </c>
      <c r="C33">
        <v>-0.10152032825712426</v>
      </c>
      <c r="D33">
        <v>-9.7294092294166315E-2</v>
      </c>
      <c r="F33">
        <v>4.5138888888888884</v>
      </c>
      <c r="G33">
        <v>-2.9682787226250409</v>
      </c>
    </row>
    <row r="34" spans="1:7" x14ac:dyDescent="0.2">
      <c r="A34">
        <v>8</v>
      </c>
      <c r="B34">
        <v>1.1744204426882159</v>
      </c>
      <c r="C34">
        <v>-2.0192879246041437</v>
      </c>
      <c r="D34">
        <v>-1.9352260682938056</v>
      </c>
      <c r="F34">
        <v>5.208333333333333</v>
      </c>
      <c r="G34">
        <v>-2.5680570998352561</v>
      </c>
    </row>
    <row r="35" spans="1:7" x14ac:dyDescent="0.2">
      <c r="A35">
        <v>9</v>
      </c>
      <c r="B35">
        <v>1.3284428655003875</v>
      </c>
      <c r="C35">
        <v>0.80361877467996323</v>
      </c>
      <c r="D35">
        <v>0.77016456285493085</v>
      </c>
      <c r="F35">
        <v>5.9027777777777777</v>
      </c>
      <c r="G35">
        <v>-2.5280472836281653</v>
      </c>
    </row>
    <row r="36" spans="1:7" x14ac:dyDescent="0.2">
      <c r="A36">
        <v>10</v>
      </c>
      <c r="B36">
        <v>0.38282966935666207</v>
      </c>
      <c r="C36">
        <v>-0.80696977190315922</v>
      </c>
      <c r="D36">
        <v>-0.77337605988915414</v>
      </c>
      <c r="F36">
        <v>6.5972222222222223</v>
      </c>
      <c r="G36">
        <v>-2.5046976641667626</v>
      </c>
    </row>
    <row r="37" spans="1:7" x14ac:dyDescent="0.2">
      <c r="A37">
        <v>11</v>
      </c>
      <c r="B37">
        <v>1.1544533999797228</v>
      </c>
      <c r="C37">
        <v>-0.40925304604564017</v>
      </c>
      <c r="D37">
        <v>-0.39221606467608094</v>
      </c>
      <c r="F37">
        <v>7.291666666666667</v>
      </c>
      <c r="G37">
        <v>-2.2568118607420633</v>
      </c>
    </row>
    <row r="38" spans="1:7" x14ac:dyDescent="0.2">
      <c r="A38">
        <v>12</v>
      </c>
      <c r="B38">
        <v>1.1559982685880539</v>
      </c>
      <c r="C38">
        <v>0.23338536854205083</v>
      </c>
      <c r="D38">
        <v>0.22366966278445652</v>
      </c>
      <c r="F38">
        <v>7.9861111111111107</v>
      </c>
      <c r="G38">
        <v>-1.9001782009329338</v>
      </c>
    </row>
    <row r="39" spans="1:7" x14ac:dyDescent="0.2">
      <c r="A39">
        <v>13</v>
      </c>
      <c r="B39">
        <v>0.80321515112890074</v>
      </c>
      <c r="C39">
        <v>-0.96281936479881924</v>
      </c>
      <c r="D39">
        <v>-0.92273771913038594</v>
      </c>
      <c r="F39">
        <v>8.6805555555555536</v>
      </c>
      <c r="G39">
        <v>-1.8423176925388944</v>
      </c>
    </row>
    <row r="40" spans="1:7" x14ac:dyDescent="0.2">
      <c r="A40">
        <v>14</v>
      </c>
      <c r="B40">
        <v>-0.13013243764279092</v>
      </c>
      <c r="C40">
        <v>0.13230687748246361</v>
      </c>
      <c r="D40">
        <v>0.12679901424598103</v>
      </c>
      <c r="F40">
        <v>9.3749999999999982</v>
      </c>
      <c r="G40">
        <v>-1.8267949190726551</v>
      </c>
    </row>
    <row r="41" spans="1:7" x14ac:dyDescent="0.2">
      <c r="A41">
        <v>15</v>
      </c>
      <c r="B41">
        <v>2.0974306226911601</v>
      </c>
      <c r="C41">
        <v>5.5380448123697246E-2</v>
      </c>
      <c r="D41">
        <v>5.3074990236363521E-2</v>
      </c>
      <c r="F41">
        <v>10.069444444444443</v>
      </c>
      <c r="G41">
        <v>-1.7163787658669345</v>
      </c>
    </row>
    <row r="42" spans="1:7" x14ac:dyDescent="0.2">
      <c r="A42">
        <v>16</v>
      </c>
      <c r="B42">
        <v>-0.51628591895350928</v>
      </c>
      <c r="C42">
        <v>-0.1169333028345908</v>
      </c>
      <c r="D42">
        <v>-0.11206543313606745</v>
      </c>
      <c r="F42">
        <v>10.763888888888888</v>
      </c>
      <c r="G42">
        <v>-1.7024670003016547</v>
      </c>
    </row>
    <row r="43" spans="1:7" x14ac:dyDescent="0.2">
      <c r="A43">
        <v>17</v>
      </c>
      <c r="B43">
        <v>1.2556536825234264</v>
      </c>
      <c r="C43">
        <v>-0.71254088421053319</v>
      </c>
      <c r="D43">
        <v>-0.68287819535179151</v>
      </c>
      <c r="F43">
        <v>11.458333333333332</v>
      </c>
      <c r="G43">
        <v>-1.4912303020014905</v>
      </c>
    </row>
    <row r="44" spans="1:7" x14ac:dyDescent="0.2">
      <c r="A44">
        <v>18</v>
      </c>
      <c r="B44">
        <v>1.1176064588658834</v>
      </c>
      <c r="C44">
        <v>1.5359827738816554</v>
      </c>
      <c r="D44">
        <v>1.4720406477192827</v>
      </c>
      <c r="F44">
        <v>12.152777777777777</v>
      </c>
      <c r="G44">
        <v>-1.4816122688402813</v>
      </c>
    </row>
    <row r="45" spans="1:7" x14ac:dyDescent="0.2">
      <c r="A45">
        <v>19</v>
      </c>
      <c r="B45">
        <v>0.18644532762281851</v>
      </c>
      <c r="C45">
        <v>-0.37296472737598663</v>
      </c>
      <c r="D45">
        <v>-0.35743840894487394</v>
      </c>
      <c r="F45">
        <v>12.847222222222221</v>
      </c>
      <c r="G45">
        <v>-1.3850399013585131</v>
      </c>
    </row>
    <row r="46" spans="1:7" x14ac:dyDescent="0.2">
      <c r="A46">
        <v>20</v>
      </c>
      <c r="B46">
        <v>2.6012290519057331</v>
      </c>
      <c r="C46">
        <v>-0.19652728123140051</v>
      </c>
      <c r="D46">
        <v>-0.18834595757040054</v>
      </c>
      <c r="F46">
        <v>13.541666666666666</v>
      </c>
      <c r="G46">
        <v>-1.3845334693391671</v>
      </c>
    </row>
    <row r="47" spans="1:7" x14ac:dyDescent="0.2">
      <c r="A47">
        <v>21</v>
      </c>
      <c r="B47">
        <v>0.18526014222227982</v>
      </c>
      <c r="C47">
        <v>0.63680738344716648</v>
      </c>
      <c r="D47">
        <v>0.61029743896998545</v>
      </c>
      <c r="F47">
        <v>14.236111111111111</v>
      </c>
      <c r="G47">
        <v>-1.3312319193447704</v>
      </c>
    </row>
    <row r="48" spans="1:7" x14ac:dyDescent="0.2">
      <c r="A48">
        <v>22</v>
      </c>
      <c r="B48">
        <v>0.47095839751337309</v>
      </c>
      <c r="C48">
        <v>0.32694920929764026</v>
      </c>
      <c r="D48">
        <v>0.31333849181754403</v>
      </c>
      <c r="F48">
        <v>14.930555555555554</v>
      </c>
      <c r="G48">
        <v>-1.2793531068196276</v>
      </c>
    </row>
    <row r="49" spans="1:7" x14ac:dyDescent="0.2">
      <c r="A49">
        <v>23</v>
      </c>
      <c r="B49">
        <v>-1.115829123117551E-2</v>
      </c>
      <c r="C49">
        <v>-0.22301676985983521</v>
      </c>
      <c r="D49">
        <v>-0.21373270321717039</v>
      </c>
      <c r="F49">
        <v>15.624999999999998</v>
      </c>
      <c r="G49">
        <v>-1.1425691586862545</v>
      </c>
    </row>
    <row r="50" spans="1:7" x14ac:dyDescent="0.2">
      <c r="A50">
        <v>24</v>
      </c>
      <c r="B50">
        <v>0.52832661246418799</v>
      </c>
      <c r="C50">
        <v>-7.9263316564448238E-2</v>
      </c>
      <c r="D50">
        <v>-7.596362787392745E-2</v>
      </c>
      <c r="F50">
        <v>16.319444444444443</v>
      </c>
      <c r="G50">
        <v>-1.1072210028407516</v>
      </c>
    </row>
    <row r="51" spans="1:7" x14ac:dyDescent="0.2">
      <c r="A51">
        <v>25</v>
      </c>
      <c r="B51">
        <v>-1.664453378078723</v>
      </c>
      <c r="C51">
        <v>-1.6798351963337574</v>
      </c>
      <c r="D51">
        <v>-1.6099045721871592</v>
      </c>
      <c r="F51">
        <v>17.013888888888886</v>
      </c>
      <c r="G51">
        <v>-1.0801430002995103</v>
      </c>
    </row>
    <row r="52" spans="1:7" x14ac:dyDescent="0.2">
      <c r="A52">
        <v>26</v>
      </c>
      <c r="B52">
        <v>1.4215320871040429</v>
      </c>
      <c r="C52">
        <v>0.53362803362346156</v>
      </c>
      <c r="D52">
        <v>0.51141338927331648</v>
      </c>
      <c r="F52">
        <v>17.708333333333332</v>
      </c>
      <c r="G52">
        <v>-0.94912629185626851</v>
      </c>
    </row>
    <row r="53" spans="1:7" x14ac:dyDescent="0.2">
      <c r="A53">
        <v>27</v>
      </c>
      <c r="B53">
        <v>-1.4622602731261498</v>
      </c>
      <c r="C53">
        <v>-1.5060184494988911</v>
      </c>
      <c r="D53">
        <v>-1.4433237218377468</v>
      </c>
      <c r="F53">
        <v>18.402777777777775</v>
      </c>
      <c r="G53">
        <v>-0.93339874585644023</v>
      </c>
    </row>
    <row r="54" spans="1:7" x14ac:dyDescent="0.2">
      <c r="A54">
        <v>28</v>
      </c>
      <c r="B54">
        <v>-0.98345563036128536</v>
      </c>
      <c r="C54">
        <v>3.4329338505016849E-2</v>
      </c>
      <c r="D54">
        <v>3.2900226843685342E-2</v>
      </c>
      <c r="F54">
        <v>19.097222222222221</v>
      </c>
      <c r="G54">
        <v>-0.8739297602339734</v>
      </c>
    </row>
    <row r="55" spans="1:7" x14ac:dyDescent="0.2">
      <c r="A55">
        <v>29</v>
      </c>
      <c r="B55">
        <v>1.8927033157946584</v>
      </c>
      <c r="C55">
        <v>0.79068796471754554</v>
      </c>
      <c r="D55">
        <v>0.75777205546729343</v>
      </c>
      <c r="F55">
        <v>19.791666666666664</v>
      </c>
      <c r="G55">
        <v>-0.85098504001589137</v>
      </c>
    </row>
    <row r="56" spans="1:7" x14ac:dyDescent="0.2">
      <c r="A56">
        <v>30</v>
      </c>
      <c r="B56">
        <v>0.28432199974762062</v>
      </c>
      <c r="C56">
        <v>0.80058818202144033</v>
      </c>
      <c r="D56">
        <v>0.76726013211789124</v>
      </c>
      <c r="F56">
        <v>20.486111111111111</v>
      </c>
      <c r="G56">
        <v>-0.84486748191592764</v>
      </c>
    </row>
    <row r="57" spans="1:7" x14ac:dyDescent="0.2">
      <c r="A57">
        <v>31</v>
      </c>
      <c r="B57">
        <v>-1.0807065493709103</v>
      </c>
      <c r="C57">
        <v>0.47864718814384499</v>
      </c>
      <c r="D57">
        <v>0.45872136644064088</v>
      </c>
      <c r="F57">
        <v>21.180555555555554</v>
      </c>
      <c r="G57">
        <v>-0.83998798555617005</v>
      </c>
    </row>
    <row r="58" spans="1:7" x14ac:dyDescent="0.2">
      <c r="A58">
        <v>32</v>
      </c>
      <c r="B58">
        <v>-0.25226523223050634</v>
      </c>
      <c r="C58">
        <v>-1.1322682371086608</v>
      </c>
      <c r="D58">
        <v>-1.0851325271918855</v>
      </c>
      <c r="F58">
        <v>21.875</v>
      </c>
      <c r="G58">
        <v>-0.82038765576752415</v>
      </c>
    </row>
    <row r="59" spans="1:7" x14ac:dyDescent="0.2">
      <c r="A59">
        <v>33</v>
      </c>
      <c r="B59">
        <v>0.30171054060327573</v>
      </c>
      <c r="C59">
        <v>0.21098160876060512</v>
      </c>
      <c r="D59">
        <v>0.20219855931844358</v>
      </c>
      <c r="F59">
        <v>22.569444444444443</v>
      </c>
      <c r="G59">
        <v>-0.73047275946122014</v>
      </c>
    </row>
    <row r="60" spans="1:7" x14ac:dyDescent="0.2">
      <c r="A60">
        <v>34</v>
      </c>
      <c r="B60">
        <v>3.1847017443753485</v>
      </c>
      <c r="C60">
        <v>-1.0719692304032922</v>
      </c>
      <c r="D60">
        <v>-1.0273437352882602</v>
      </c>
      <c r="F60">
        <v>23.263888888888886</v>
      </c>
      <c r="G60">
        <v>-0.72114034769675106</v>
      </c>
    </row>
    <row r="61" spans="1:7" x14ac:dyDescent="0.2">
      <c r="A61">
        <v>35</v>
      </c>
      <c r="B61">
        <v>1.6929849798925436</v>
      </c>
      <c r="C61">
        <v>-1.246342483657551</v>
      </c>
      <c r="D61">
        <v>-1.1944579249979781</v>
      </c>
      <c r="F61">
        <v>23.958333333333332</v>
      </c>
      <c r="G61">
        <v>-0.70844610563042631</v>
      </c>
    </row>
    <row r="62" spans="1:7" x14ac:dyDescent="0.2">
      <c r="A62">
        <v>36</v>
      </c>
      <c r="B62">
        <v>0.90056457655397781</v>
      </c>
      <c r="C62">
        <v>-9.146886633239848E-2</v>
      </c>
      <c r="D62">
        <v>-8.7661067253913455E-2</v>
      </c>
      <c r="F62">
        <v>24.652777777777775</v>
      </c>
      <c r="G62">
        <v>-0.63980558944311527</v>
      </c>
    </row>
    <row r="63" spans="1:7" x14ac:dyDescent="0.2">
      <c r="A63">
        <v>37</v>
      </c>
      <c r="B63">
        <v>1.9077284620988033</v>
      </c>
      <c r="C63">
        <v>1.4873534801891601</v>
      </c>
      <c r="D63">
        <v>1.4254357650327873</v>
      </c>
      <c r="F63">
        <v>25.347222222222221</v>
      </c>
      <c r="G63">
        <v>-0.63321922178810008</v>
      </c>
    </row>
    <row r="64" spans="1:7" x14ac:dyDescent="0.2">
      <c r="A64">
        <v>38</v>
      </c>
      <c r="B64">
        <v>3.218288586594146</v>
      </c>
      <c r="C64">
        <v>-0.10877768822795675</v>
      </c>
      <c r="D64">
        <v>-0.1042493323228018</v>
      </c>
      <c r="F64">
        <v>26.041666666666664</v>
      </c>
      <c r="G64">
        <v>-0.62523746935851443</v>
      </c>
    </row>
    <row r="65" spans="1:7" x14ac:dyDescent="0.2">
      <c r="A65">
        <v>39</v>
      </c>
      <c r="B65">
        <v>2.4872285863877663</v>
      </c>
      <c r="C65">
        <v>-0.91198095710366878</v>
      </c>
      <c r="D65">
        <v>-0.87401568665376905</v>
      </c>
      <c r="F65">
        <v>26.736111111111111</v>
      </c>
      <c r="G65">
        <v>-0.60205936122706527</v>
      </c>
    </row>
    <row r="66" spans="1:7" x14ac:dyDescent="0.2">
      <c r="A66">
        <v>40</v>
      </c>
      <c r="B66">
        <v>-6.5613758739434647E-2</v>
      </c>
      <c r="C66">
        <v>0.45975780974765235</v>
      </c>
      <c r="D66">
        <v>0.44061834257724408</v>
      </c>
      <c r="F66">
        <v>27.430555555555554</v>
      </c>
      <c r="G66">
        <v>-0.49649597275839152</v>
      </c>
    </row>
    <row r="67" spans="1:7" x14ac:dyDescent="0.2">
      <c r="A67">
        <v>41</v>
      </c>
      <c r="B67">
        <v>-0.93398664124812036</v>
      </c>
      <c r="C67">
        <v>1.2264740345111913</v>
      </c>
      <c r="D67">
        <v>1.1754165885664027</v>
      </c>
      <c r="F67">
        <v>28.125</v>
      </c>
      <c r="G67">
        <v>-0.45287219230992509</v>
      </c>
    </row>
    <row r="68" spans="1:7" x14ac:dyDescent="0.2">
      <c r="A68">
        <v>42</v>
      </c>
      <c r="B68">
        <v>-0.29462586754969022</v>
      </c>
      <c r="C68">
        <v>-0.63877287830675</v>
      </c>
      <c r="D68">
        <v>-0.61218111134925202</v>
      </c>
      <c r="F68">
        <v>28.819444444444443</v>
      </c>
      <c r="G68">
        <v>-0.44945692130845749</v>
      </c>
    </row>
    <row r="69" spans="1:7" x14ac:dyDescent="0.2">
      <c r="A69">
        <v>43</v>
      </c>
      <c r="B69">
        <v>2.3282372142198007</v>
      </c>
      <c r="C69">
        <v>0.53269885970252906</v>
      </c>
      <c r="D69">
        <v>0.51052289635655235</v>
      </c>
      <c r="F69">
        <v>29.513888888888886</v>
      </c>
      <c r="G69">
        <v>-0.42414010254649709</v>
      </c>
    </row>
    <row r="70" spans="1:7" x14ac:dyDescent="0.2">
      <c r="A70">
        <v>44</v>
      </c>
      <c r="B70">
        <v>0.36849477640057582</v>
      </c>
      <c r="C70">
        <v>-0.81795169770903331</v>
      </c>
      <c r="D70">
        <v>-0.78390081410604584</v>
      </c>
      <c r="F70">
        <v>30.208333333333332</v>
      </c>
      <c r="G70">
        <v>-0.40587403799491967</v>
      </c>
    </row>
    <row r="71" spans="1:7" x14ac:dyDescent="0.2">
      <c r="A71">
        <v>45</v>
      </c>
      <c r="B71">
        <v>1.893766558052502</v>
      </c>
      <c r="C71">
        <v>0.63193772900327638</v>
      </c>
      <c r="D71">
        <v>0.60563050558788922</v>
      </c>
      <c r="F71">
        <v>30.902777777777775</v>
      </c>
      <c r="G71">
        <v>-0.38364685529762182</v>
      </c>
    </row>
    <row r="72" spans="1:7" x14ac:dyDescent="0.2">
      <c r="A72">
        <v>46</v>
      </c>
      <c r="B72">
        <v>0.39408206040778015</v>
      </c>
      <c r="C72">
        <v>-7.2130962076454697E-2</v>
      </c>
      <c r="D72">
        <v>-6.9128189417976063E-2</v>
      </c>
      <c r="F72">
        <v>31.597222222222221</v>
      </c>
      <c r="G72">
        <v>-0.34952011853591453</v>
      </c>
    </row>
    <row r="73" spans="1:7" x14ac:dyDescent="0.2">
      <c r="A73">
        <v>47</v>
      </c>
      <c r="B73">
        <v>1.3142123538442463</v>
      </c>
      <c r="C73">
        <v>-1.6978592091418681</v>
      </c>
      <c r="D73">
        <v>-1.627178255160505</v>
      </c>
      <c r="F73">
        <v>32.291666666666664</v>
      </c>
      <c r="G73">
        <v>-0.32059917407416511</v>
      </c>
    </row>
    <row r="74" spans="1:7" x14ac:dyDescent="0.2">
      <c r="A74">
        <v>48</v>
      </c>
      <c r="B74">
        <v>1.4619147995668627</v>
      </c>
      <c r="C74">
        <v>0.34827397951946759</v>
      </c>
      <c r="D74">
        <v>0.33377552347153455</v>
      </c>
      <c r="F74">
        <v>32.986111111111107</v>
      </c>
      <c r="G74">
        <v>-0.25809067214290327</v>
      </c>
    </row>
    <row r="75" spans="1:7" x14ac:dyDescent="0.2">
      <c r="A75">
        <v>49</v>
      </c>
      <c r="B75">
        <v>0.26088307012576445</v>
      </c>
      <c r="C75">
        <v>-1.1348128303597378</v>
      </c>
      <c r="D75">
        <v>-1.0875711904120671</v>
      </c>
      <c r="F75">
        <v>33.68055555555555</v>
      </c>
      <c r="G75">
        <v>-0.23417506109101072</v>
      </c>
    </row>
    <row r="76" spans="1:7" x14ac:dyDescent="0.2">
      <c r="A76">
        <v>50</v>
      </c>
      <c r="B76">
        <v>1.3319681396512248</v>
      </c>
      <c r="C76">
        <v>-0.55283271078735019</v>
      </c>
      <c r="D76">
        <v>-0.52981858618846656</v>
      </c>
      <c r="F76">
        <v>34.375</v>
      </c>
      <c r="G76">
        <v>-0.18651939975316809</v>
      </c>
    </row>
    <row r="77" spans="1:7" x14ac:dyDescent="0.2">
      <c r="A77">
        <v>51</v>
      </c>
      <c r="B77">
        <v>0.91885900293271527</v>
      </c>
      <c r="C77">
        <v>0.20638188203247299</v>
      </c>
      <c r="D77">
        <v>0.19779031670833927</v>
      </c>
      <c r="F77">
        <v>35.069444444444443</v>
      </c>
      <c r="G77">
        <v>-0.16023377056929605</v>
      </c>
    </row>
    <row r="78" spans="1:7" x14ac:dyDescent="0.2">
      <c r="A78">
        <v>52</v>
      </c>
      <c r="B78">
        <v>0.2438579313755348</v>
      </c>
      <c r="C78">
        <v>-1.324000931675045</v>
      </c>
      <c r="D78">
        <v>-1.2688834941283218</v>
      </c>
      <c r="F78">
        <v>35.763888888888886</v>
      </c>
      <c r="G78">
        <v>-0.15960421366991845</v>
      </c>
    </row>
    <row r="79" spans="1:7" x14ac:dyDescent="0.2">
      <c r="A79">
        <v>53</v>
      </c>
      <c r="B79">
        <v>0.85913619293637467</v>
      </c>
      <c r="C79">
        <v>0.43417181542332572</v>
      </c>
      <c r="D79">
        <v>0.41609747925887358</v>
      </c>
      <c r="F79">
        <v>36.458333333333329</v>
      </c>
      <c r="G79">
        <v>-0.12574664360828455</v>
      </c>
    </row>
    <row r="80" spans="1:7" x14ac:dyDescent="0.2">
      <c r="A80">
        <v>54</v>
      </c>
      <c r="B80">
        <v>0.38340588725556657</v>
      </c>
      <c r="C80">
        <v>-0.73292600579148104</v>
      </c>
      <c r="D80">
        <v>-0.70241469542595625</v>
      </c>
      <c r="F80">
        <v>37.152777777777779</v>
      </c>
      <c r="G80">
        <v>-3.7635693365227305E-2</v>
      </c>
    </row>
    <row r="81" spans="1:7" x14ac:dyDescent="0.2">
      <c r="A81">
        <v>55</v>
      </c>
      <c r="B81">
        <v>1.1716077325265006</v>
      </c>
      <c r="C81">
        <v>1.0221592057860285</v>
      </c>
      <c r="D81">
        <v>0.97960727486220101</v>
      </c>
      <c r="F81">
        <v>37.847222222222221</v>
      </c>
      <c r="G81">
        <v>-2.8872892422191813E-2</v>
      </c>
    </row>
    <row r="82" spans="1:7" x14ac:dyDescent="0.2">
      <c r="A82">
        <v>56</v>
      </c>
      <c r="B82">
        <v>0.28951350213670257</v>
      </c>
      <c r="C82">
        <v>-0.99795960776712889</v>
      </c>
      <c r="D82">
        <v>-0.9564150929262909</v>
      </c>
      <c r="F82">
        <v>38.541666666666664</v>
      </c>
      <c r="G82">
        <v>-2.1093949631446327E-2</v>
      </c>
    </row>
    <row r="83" spans="1:7" x14ac:dyDescent="0.2">
      <c r="A83">
        <v>57</v>
      </c>
      <c r="B83">
        <v>-0.48207326983630683</v>
      </c>
      <c r="C83">
        <v>-0.6604958888499477</v>
      </c>
      <c r="D83">
        <v>-0.63299980479697249</v>
      </c>
      <c r="F83">
        <v>39.236111111111107</v>
      </c>
      <c r="G83">
        <v>2.1744398396726858E-3</v>
      </c>
    </row>
    <row r="84" spans="1:7" x14ac:dyDescent="0.2">
      <c r="A84">
        <v>58</v>
      </c>
      <c r="B84">
        <v>0.11544377967617003</v>
      </c>
      <c r="C84">
        <v>-1.6066740816776606</v>
      </c>
      <c r="D84">
        <v>-1.539789114880264</v>
      </c>
      <c r="F84">
        <v>39.93055555555555</v>
      </c>
      <c r="G84">
        <v>1.3361896540353232E-2</v>
      </c>
    </row>
    <row r="85" spans="1:7" x14ac:dyDescent="0.2">
      <c r="A85">
        <v>59</v>
      </c>
      <c r="B85">
        <v>0.69438656583317426</v>
      </c>
      <c r="C85">
        <v>1.7767357213577912</v>
      </c>
      <c r="D85">
        <v>1.7027711811402277</v>
      </c>
      <c r="F85">
        <v>40.625</v>
      </c>
      <c r="G85">
        <v>1.5244628300109645E-2</v>
      </c>
    </row>
    <row r="86" spans="1:7" x14ac:dyDescent="0.2">
      <c r="A86">
        <v>60</v>
      </c>
      <c r="B86">
        <v>0.24674408392240199</v>
      </c>
      <c r="C86">
        <v>1.3164937708901467</v>
      </c>
      <c r="D86">
        <v>1.261688852357433</v>
      </c>
      <c r="F86">
        <v>41.319444444444443</v>
      </c>
      <c r="G86">
        <v>4.5162099813618559E-2</v>
      </c>
    </row>
    <row r="87" spans="1:7" x14ac:dyDescent="0.2">
      <c r="A87">
        <v>61</v>
      </c>
      <c r="B87">
        <v>9.4673371882931567E-2</v>
      </c>
      <c r="C87">
        <v>7.5832470008366154E-2</v>
      </c>
      <c r="D87">
        <v>7.2675605591048867E-2</v>
      </c>
      <c r="F87">
        <v>42.013888888888886</v>
      </c>
      <c r="G87">
        <v>5.5182858323510636E-2</v>
      </c>
    </row>
    <row r="88" spans="1:7" x14ac:dyDescent="0.2">
      <c r="A88">
        <v>62</v>
      </c>
      <c r="B88">
        <v>1.271320647549113</v>
      </c>
      <c r="C88">
        <v>5.6954499604642495E-2</v>
      </c>
      <c r="D88">
        <v>5.4583514811608967E-2</v>
      </c>
      <c r="F88">
        <v>42.708333333333329</v>
      </c>
      <c r="G88">
        <v>6.2862567183433013E-2</v>
      </c>
    </row>
    <row r="89" spans="1:7" x14ac:dyDescent="0.2">
      <c r="A89">
        <v>63</v>
      </c>
      <c r="B89">
        <v>0.79821689225570491</v>
      </c>
      <c r="C89">
        <v>-0.78485499571535167</v>
      </c>
      <c r="D89">
        <v>-0.75218190978719768</v>
      </c>
      <c r="F89">
        <v>43.402777777777779</v>
      </c>
      <c r="G89">
        <v>6.4450144874432388E-2</v>
      </c>
    </row>
    <row r="90" spans="1:7" x14ac:dyDescent="0.2">
      <c r="A90">
        <v>64</v>
      </c>
      <c r="B90">
        <v>0.29580838067356585</v>
      </c>
      <c r="C90">
        <v>-0.25064628085994728</v>
      </c>
      <c r="D90">
        <v>-0.24021201272530274</v>
      </c>
      <c r="F90">
        <v>44.097222222222221</v>
      </c>
      <c r="G90">
        <v>0.17050584189129772</v>
      </c>
    </row>
    <row r="91" spans="1:7" x14ac:dyDescent="0.2">
      <c r="A91">
        <v>65</v>
      </c>
      <c r="B91">
        <v>-0.44455677990953113</v>
      </c>
      <c r="C91">
        <v>-2.0834905037186342</v>
      </c>
      <c r="D91">
        <v>-1.996755929013601</v>
      </c>
      <c r="F91">
        <v>44.791666666666664</v>
      </c>
      <c r="G91">
        <v>0.20128346879376346</v>
      </c>
    </row>
    <row r="92" spans="1:7" x14ac:dyDescent="0.2">
      <c r="A92">
        <v>66</v>
      </c>
      <c r="B92">
        <v>-0.82016783969149798</v>
      </c>
      <c r="C92">
        <v>-3.081720032439339E-2</v>
      </c>
      <c r="D92">
        <v>-2.9534297062312077E-2</v>
      </c>
      <c r="F92">
        <v>45.486111111111107</v>
      </c>
      <c r="G92">
        <v>0.25176219913533959</v>
      </c>
    </row>
    <row r="93" spans="1:7" x14ac:dyDescent="0.2">
      <c r="A93">
        <v>67</v>
      </c>
      <c r="B93">
        <v>-0.12681882160989311</v>
      </c>
      <c r="C93">
        <v>-2.3778788425568695</v>
      </c>
      <c r="D93">
        <v>-2.2788890416716914</v>
      </c>
      <c r="F93">
        <v>46.18055555555555</v>
      </c>
      <c r="G93">
        <v>0.27937046819359035</v>
      </c>
    </row>
    <row r="94" spans="1:7" x14ac:dyDescent="0.2">
      <c r="A94">
        <v>68</v>
      </c>
      <c r="B94">
        <v>0.8757013115496064</v>
      </c>
      <c r="C94">
        <v>-2.1550544183692342</v>
      </c>
      <c r="D94">
        <v>-2.0653406768811662</v>
      </c>
      <c r="F94">
        <v>46.875</v>
      </c>
      <c r="G94">
        <v>0.29248739326307094</v>
      </c>
    </row>
    <row r="95" spans="1:7" x14ac:dyDescent="0.2">
      <c r="A95">
        <v>69</v>
      </c>
      <c r="B95">
        <v>0.39427694596237239</v>
      </c>
      <c r="C95">
        <v>0.92589594664201169</v>
      </c>
      <c r="D95">
        <v>0.88735140275770985</v>
      </c>
      <c r="F95">
        <v>47.569444444444443</v>
      </c>
      <c r="G95">
        <v>0.32195109833132546</v>
      </c>
    </row>
    <row r="96" spans="1:7" x14ac:dyDescent="0.2">
      <c r="A96">
        <v>70</v>
      </c>
      <c r="B96">
        <v>0.50759549396668613</v>
      </c>
      <c r="C96">
        <v>-1.3475834795228563</v>
      </c>
      <c r="D96">
        <v>-1.2914843133556329</v>
      </c>
      <c r="F96">
        <v>48.263888888888886</v>
      </c>
      <c r="G96">
        <v>0.3416951439283733</v>
      </c>
    </row>
    <row r="97" spans="1:7" x14ac:dyDescent="0.2">
      <c r="A97">
        <v>71</v>
      </c>
      <c r="B97">
        <v>0.79304380170759903</v>
      </c>
      <c r="C97">
        <v>0.51425597277482116</v>
      </c>
      <c r="D97">
        <v>0.49284777676502989</v>
      </c>
      <c r="F97">
        <v>48.958333333333329</v>
      </c>
      <c r="G97">
        <v>0.3941440510082177</v>
      </c>
    </row>
    <row r="98" spans="1:7" x14ac:dyDescent="0.2">
      <c r="A98">
        <v>72</v>
      </c>
      <c r="B98">
        <v>1.0519394608287533</v>
      </c>
      <c r="C98">
        <v>-0.25263902827040463</v>
      </c>
      <c r="D98">
        <v>-0.24212180314659595</v>
      </c>
      <c r="F98">
        <v>49.652777777777779</v>
      </c>
      <c r="G98">
        <v>0.39463790345239053</v>
      </c>
    </row>
    <row r="99" spans="1:7" x14ac:dyDescent="0.2">
      <c r="A99">
        <v>73</v>
      </c>
      <c r="B99">
        <v>1.1389652270445532</v>
      </c>
      <c r="C99">
        <v>-1.1600591766759996</v>
      </c>
      <c r="D99">
        <v>-1.1117665450839278</v>
      </c>
      <c r="F99">
        <v>50.347222222222221</v>
      </c>
      <c r="G99">
        <v>0.44664249623499269</v>
      </c>
    </row>
    <row r="100" spans="1:7" x14ac:dyDescent="0.2">
      <c r="A100">
        <v>74</v>
      </c>
      <c r="B100">
        <v>-1.6554386868278419</v>
      </c>
      <c r="C100">
        <v>-2.4972561375095692</v>
      </c>
      <c r="D100">
        <v>-2.3932967248653361</v>
      </c>
      <c r="F100">
        <v>51.041666666666664</v>
      </c>
      <c r="G100">
        <v>0.44906329589973976</v>
      </c>
    </row>
    <row r="101" spans="1:7" x14ac:dyDescent="0.2">
      <c r="A101">
        <v>75</v>
      </c>
      <c r="B101">
        <v>-8.3833634175708003</v>
      </c>
      <c r="C101">
        <v>1.3786349282036126</v>
      </c>
      <c r="D101">
        <v>1.3212431071428372</v>
      </c>
      <c r="F101">
        <v>51.736111111111107</v>
      </c>
      <c r="G101">
        <v>0.51269214936388086</v>
      </c>
    </row>
    <row r="102" spans="1:7" x14ac:dyDescent="0.2">
      <c r="A102">
        <v>76</v>
      </c>
      <c r="B102">
        <v>4.3447632625770334</v>
      </c>
      <c r="C102">
        <v>0.15711898106865974</v>
      </c>
      <c r="D102">
        <v>0.15057820347607861</v>
      </c>
      <c r="F102">
        <v>52.43055555555555</v>
      </c>
      <c r="G102">
        <v>0.54311279831289316</v>
      </c>
    </row>
    <row r="103" spans="1:7" x14ac:dyDescent="0.2">
      <c r="A103">
        <v>77</v>
      </c>
      <c r="B103">
        <v>1.6850138640072894</v>
      </c>
      <c r="C103">
        <v>1.0220042035192631</v>
      </c>
      <c r="D103">
        <v>0.97945872525536493</v>
      </c>
      <c r="F103">
        <v>53.125</v>
      </c>
      <c r="G103">
        <v>0.64991632276644051</v>
      </c>
    </row>
    <row r="104" spans="1:7" x14ac:dyDescent="0.2">
      <c r="A104">
        <v>78</v>
      </c>
      <c r="B104">
        <v>0.60017317151365157</v>
      </c>
      <c r="C104">
        <v>0.85688679799881884</v>
      </c>
      <c r="D104">
        <v>0.82121506738035177</v>
      </c>
      <c r="F104">
        <v>53.819444444444443</v>
      </c>
      <c r="G104">
        <v>0.74520035393408268</v>
      </c>
    </row>
    <row r="105" spans="1:7" x14ac:dyDescent="0.2">
      <c r="A105">
        <v>79</v>
      </c>
      <c r="B105">
        <v>2.0054946395589739</v>
      </c>
      <c r="C105">
        <v>-2.4583668318688989</v>
      </c>
      <c r="D105">
        <v>-2.3560263598338489</v>
      </c>
      <c r="F105">
        <v>54.513888888888886</v>
      </c>
      <c r="G105">
        <v>0.76476526172699799</v>
      </c>
    </row>
    <row r="106" spans="1:7" x14ac:dyDescent="0.2">
      <c r="A106">
        <v>80</v>
      </c>
      <c r="B106">
        <v>0.10025303063197222</v>
      </c>
      <c r="C106">
        <v>1.3743971305999252</v>
      </c>
      <c r="D106">
        <v>1.3171817267448851</v>
      </c>
      <c r="F106">
        <v>55.208333333333329</v>
      </c>
      <c r="G106">
        <v>0.76715041455256716</v>
      </c>
    </row>
    <row r="107" spans="1:7" x14ac:dyDescent="0.2">
      <c r="A107">
        <v>81</v>
      </c>
      <c r="B107">
        <v>-0.4667058389176475</v>
      </c>
      <c r="C107">
        <v>0.14610666484348239</v>
      </c>
      <c r="D107">
        <v>0.14002432397648432</v>
      </c>
      <c r="F107">
        <v>55.902777777777779</v>
      </c>
      <c r="G107">
        <v>0.77913542886387466</v>
      </c>
    </row>
    <row r="108" spans="1:7" x14ac:dyDescent="0.2">
      <c r="A108">
        <v>82</v>
      </c>
      <c r="B108">
        <v>-0.38008322885200685</v>
      </c>
      <c r="C108">
        <v>-1.5200949720809269</v>
      </c>
      <c r="D108">
        <v>-1.4568142464527656</v>
      </c>
      <c r="F108">
        <v>56.597222222222221</v>
      </c>
      <c r="G108">
        <v>0.79790760681101336</v>
      </c>
    </row>
    <row r="109" spans="1:7" x14ac:dyDescent="0.2">
      <c r="A109">
        <v>83</v>
      </c>
      <c r="B109">
        <v>2.7501564590691459</v>
      </c>
      <c r="C109">
        <v>2.836545837383615</v>
      </c>
      <c r="D109">
        <v>2.7184619793589735</v>
      </c>
      <c r="F109">
        <v>57.291666666666664</v>
      </c>
      <c r="G109">
        <v>0.79930043255834871</v>
      </c>
    </row>
    <row r="110" spans="1:7" x14ac:dyDescent="0.2">
      <c r="A110">
        <v>84</v>
      </c>
      <c r="B110">
        <v>1.1537529406397466</v>
      </c>
      <c r="C110">
        <v>0.69820057867922403</v>
      </c>
      <c r="D110">
        <v>0.66913486892798402</v>
      </c>
      <c r="F110">
        <v>57.986111111111107</v>
      </c>
      <c r="G110">
        <v>0.80909571022157933</v>
      </c>
    </row>
    <row r="111" spans="1:7" x14ac:dyDescent="0.2">
      <c r="A111">
        <v>85</v>
      </c>
      <c r="B111">
        <v>-0.76622526758666554</v>
      </c>
      <c r="C111">
        <v>4.5084919889914477E-2</v>
      </c>
      <c r="D111">
        <v>4.3208059234546542E-2</v>
      </c>
      <c r="F111">
        <v>58.68055555555555</v>
      </c>
      <c r="G111">
        <v>0.8173714702258239</v>
      </c>
    </row>
    <row r="112" spans="1:7" x14ac:dyDescent="0.2">
      <c r="A112">
        <v>86</v>
      </c>
      <c r="B112">
        <v>-1.1394159810101712</v>
      </c>
      <c r="C112">
        <v>1.1105430885879795</v>
      </c>
      <c r="D112">
        <v>1.0643117847695194</v>
      </c>
      <c r="F112">
        <v>59.375</v>
      </c>
      <c r="G112">
        <v>0.8220675256694463</v>
      </c>
    </row>
    <row r="113" spans="1:7" x14ac:dyDescent="0.2">
      <c r="A113">
        <v>87</v>
      </c>
      <c r="B113">
        <v>0.58528716542218939</v>
      </c>
      <c r="C113">
        <v>1.5701277720508564</v>
      </c>
      <c r="D113">
        <v>1.5047642082149142</v>
      </c>
      <c r="F113">
        <v>60.069444444444443</v>
      </c>
      <c r="G113">
        <v>0.94080499762717185</v>
      </c>
    </row>
    <row r="114" spans="1:7" x14ac:dyDescent="0.2">
      <c r="A114">
        <v>88</v>
      </c>
      <c r="B114">
        <v>0.70361369851531308</v>
      </c>
      <c r="C114">
        <v>1.6073579152652813</v>
      </c>
      <c r="D114">
        <v>1.540444480848145</v>
      </c>
      <c r="F114">
        <v>60.763888888888886</v>
      </c>
      <c r="G114">
        <v>0.98384974618307341</v>
      </c>
    </row>
    <row r="115" spans="1:7" x14ac:dyDescent="0.2">
      <c r="A115">
        <v>89</v>
      </c>
      <c r="B115">
        <v>0.66374521870665415</v>
      </c>
      <c r="C115">
        <v>-0.41198301957131456</v>
      </c>
      <c r="D115">
        <v>-0.39483239089101269</v>
      </c>
      <c r="F115">
        <v>61.458333333333329</v>
      </c>
      <c r="G115">
        <v>1.084910181769061</v>
      </c>
    </row>
    <row r="116" spans="1:7" x14ac:dyDescent="0.2">
      <c r="A116">
        <v>90</v>
      </c>
      <c r="B116">
        <v>1.0359132741527115</v>
      </c>
      <c r="C116">
        <v>0.15759872052502621</v>
      </c>
      <c r="D116">
        <v>0.15103797164021079</v>
      </c>
      <c r="F116">
        <v>62.152777777777771</v>
      </c>
      <c r="G116">
        <v>1.088562294937061</v>
      </c>
    </row>
    <row r="117" spans="1:7" x14ac:dyDescent="0.2">
      <c r="A117">
        <v>91</v>
      </c>
      <c r="B117">
        <v>1.0357061307475206</v>
      </c>
      <c r="C117">
        <v>5.2856164189540422E-2</v>
      </c>
      <c r="D117">
        <v>5.0655790867302181E-2</v>
      </c>
      <c r="F117">
        <v>62.847222222222221</v>
      </c>
      <c r="G117">
        <v>1.1252408849651883</v>
      </c>
    </row>
    <row r="118" spans="1:7" x14ac:dyDescent="0.2">
      <c r="A118">
        <v>92</v>
      </c>
      <c r="B118">
        <v>0.5105839477175439</v>
      </c>
      <c r="C118">
        <v>0.96933278763164965</v>
      </c>
      <c r="D118">
        <v>0.92897999171882062</v>
      </c>
      <c r="F118">
        <v>63.541666666666664</v>
      </c>
      <c r="G118">
        <v>1.1573512190828252</v>
      </c>
    </row>
    <row r="119" spans="1:7" x14ac:dyDescent="0.2">
      <c r="A119">
        <v>93</v>
      </c>
      <c r="B119">
        <v>-0.92556736210399648</v>
      </c>
      <c r="C119">
        <v>-0.40566455724077388</v>
      </c>
      <c r="D119">
        <v>-0.38877696270536066</v>
      </c>
      <c r="F119">
        <v>64.236111111111114</v>
      </c>
      <c r="G119">
        <v>1.1607317321410837</v>
      </c>
    </row>
    <row r="120" spans="1:7" x14ac:dyDescent="0.2">
      <c r="A120">
        <v>94</v>
      </c>
      <c r="B120">
        <v>0.55022444481748845</v>
      </c>
      <c r="C120">
        <v>1.1627876639573567</v>
      </c>
      <c r="D120">
        <v>1.1143814469260838</v>
      </c>
      <c r="F120">
        <v>64.930555555555557</v>
      </c>
      <c r="G120">
        <v>1.1935119946777377</v>
      </c>
    </row>
    <row r="121" spans="1:7" x14ac:dyDescent="0.2">
      <c r="A121">
        <v>95</v>
      </c>
      <c r="B121">
        <v>-0.19921184837791872</v>
      </c>
      <c r="C121">
        <v>0.54090699230629202</v>
      </c>
      <c r="D121">
        <v>0.51838932887133515</v>
      </c>
      <c r="F121">
        <v>65.625</v>
      </c>
      <c r="G121">
        <v>1.2933080083597004</v>
      </c>
    </row>
    <row r="122" spans="1:7" x14ac:dyDescent="0.2">
      <c r="A122">
        <v>96</v>
      </c>
      <c r="B122">
        <v>0.76090917863547602</v>
      </c>
      <c r="C122">
        <v>0.59838391449763906</v>
      </c>
      <c r="D122">
        <v>0.57347351810194969</v>
      </c>
      <c r="F122">
        <v>66.319444444444443</v>
      </c>
      <c r="G122">
        <v>1.3006576888791135</v>
      </c>
    </row>
    <row r="123" spans="1:7" x14ac:dyDescent="0.2">
      <c r="A123">
        <v>97</v>
      </c>
      <c r="B123">
        <v>-2.2382007965860877</v>
      </c>
      <c r="C123">
        <v>-1.8611064155975576E-2</v>
      </c>
      <c r="D123">
        <v>-1.7836295693390531E-2</v>
      </c>
      <c r="F123">
        <v>67.013888888888886</v>
      </c>
      <c r="G123">
        <v>1.3072997744824202</v>
      </c>
    </row>
    <row r="124" spans="1:7" x14ac:dyDescent="0.2">
      <c r="A124">
        <v>98</v>
      </c>
      <c r="B124">
        <v>-1.6824419420941392</v>
      </c>
      <c r="C124">
        <v>0.57522093925338758</v>
      </c>
      <c r="D124">
        <v>0.55127480489927105</v>
      </c>
      <c r="F124">
        <v>67.708333333333343</v>
      </c>
      <c r="G124">
        <v>1.3201728926043841</v>
      </c>
    </row>
    <row r="125" spans="1:7" x14ac:dyDescent="0.2">
      <c r="A125">
        <v>99</v>
      </c>
      <c r="B125">
        <v>-1.4347738104187768E-2</v>
      </c>
      <c r="C125">
        <v>2.0108966713353698</v>
      </c>
      <c r="D125">
        <v>1.9271841383275428</v>
      </c>
      <c r="F125">
        <v>68.402777777777786</v>
      </c>
      <c r="G125">
        <v>1.3282751471537555</v>
      </c>
    </row>
    <row r="126" spans="1:7" x14ac:dyDescent="0.2">
      <c r="A126">
        <v>100</v>
      </c>
      <c r="B126">
        <v>-3.1566192701072548</v>
      </c>
      <c r="C126">
        <v>1.4402405042403204</v>
      </c>
      <c r="D126">
        <v>1.3802840766082813</v>
      </c>
      <c r="F126">
        <v>69.097222222222229</v>
      </c>
      <c r="G126">
        <v>1.3592930931331151</v>
      </c>
    </row>
    <row r="127" spans="1:7" x14ac:dyDescent="0.2">
      <c r="A127">
        <v>101</v>
      </c>
      <c r="B127">
        <v>-0.29977713758884184</v>
      </c>
      <c r="C127">
        <v>-0.52061051817868231</v>
      </c>
      <c r="D127">
        <v>-0.49893778590531607</v>
      </c>
      <c r="F127">
        <v>69.791666666666671</v>
      </c>
      <c r="G127">
        <v>1.3893836371301047</v>
      </c>
    </row>
    <row r="128" spans="1:7" x14ac:dyDescent="0.2">
      <c r="A128">
        <v>102</v>
      </c>
      <c r="B128">
        <v>-4.0257085443494081</v>
      </c>
      <c r="C128">
        <v>0.33818433304218054</v>
      </c>
      <c r="D128">
        <v>0.32410590348084284</v>
      </c>
      <c r="F128">
        <v>70.486111111111114</v>
      </c>
      <c r="G128">
        <v>1.4570599695124704</v>
      </c>
    </row>
    <row r="129" spans="1:7" x14ac:dyDescent="0.2">
      <c r="A129">
        <v>103</v>
      </c>
      <c r="B129">
        <v>4.2272332268991182</v>
      </c>
      <c r="C129">
        <v>-0.40574434074217347</v>
      </c>
      <c r="D129">
        <v>-0.38885342486305841</v>
      </c>
      <c r="F129">
        <v>71.180555555555557</v>
      </c>
      <c r="G129">
        <v>1.4746501612318974</v>
      </c>
    </row>
    <row r="130" spans="1:7" x14ac:dyDescent="0.2">
      <c r="A130">
        <v>104</v>
      </c>
      <c r="B130">
        <v>-4.2630458694906697</v>
      </c>
      <c r="C130">
        <v>2.4362509504180148</v>
      </c>
      <c r="D130">
        <v>2.3348311504803156</v>
      </c>
      <c r="F130">
        <v>71.875</v>
      </c>
      <c r="G130">
        <v>1.4799167353491935</v>
      </c>
    </row>
    <row r="131" spans="1:7" x14ac:dyDescent="0.2">
      <c r="A131">
        <v>105</v>
      </c>
      <c r="B131">
        <v>-4.2770729564518133</v>
      </c>
      <c r="C131">
        <v>-0.40978694313337716</v>
      </c>
      <c r="D131">
        <v>-0.3927277359188916</v>
      </c>
      <c r="F131">
        <v>72.569444444444443</v>
      </c>
      <c r="G131">
        <v>1.5120608050198472</v>
      </c>
    </row>
    <row r="132" spans="1:7" x14ac:dyDescent="0.2">
      <c r="A132">
        <v>106</v>
      </c>
      <c r="B132">
        <v>2.4097888698233016</v>
      </c>
      <c r="C132">
        <v>-0.16563192588825038</v>
      </c>
      <c r="D132">
        <v>-0.15873675904018825</v>
      </c>
      <c r="F132">
        <v>73.263888888888886</v>
      </c>
      <c r="G132">
        <v>1.5632378548125487</v>
      </c>
    </row>
    <row r="133" spans="1:7" x14ac:dyDescent="0.2">
      <c r="A133">
        <v>107</v>
      </c>
      <c r="B133">
        <v>2.2302326585813064</v>
      </c>
      <c r="C133">
        <v>0.28963547515998389</v>
      </c>
      <c r="D133">
        <v>0.27757810810568029</v>
      </c>
      <c r="F133">
        <v>73.958333333333343</v>
      </c>
      <c r="G133">
        <v>1.5752476292840976</v>
      </c>
    </row>
    <row r="134" spans="1:7" x14ac:dyDescent="0.2">
      <c r="A134">
        <v>108</v>
      </c>
      <c r="B134">
        <v>-0.616823679436318</v>
      </c>
      <c r="C134">
        <v>-0.76821622192219507</v>
      </c>
      <c r="D134">
        <v>-0.73623579908321135</v>
      </c>
      <c r="F134">
        <v>74.652777777777786</v>
      </c>
      <c r="G134">
        <v>1.7130121087748451</v>
      </c>
    </row>
    <row r="135" spans="1:7" x14ac:dyDescent="0.2">
      <c r="A135">
        <v>109</v>
      </c>
      <c r="B135">
        <v>2.4405453946520468</v>
      </c>
      <c r="C135">
        <v>0.62932598808578755</v>
      </c>
      <c r="D135">
        <v>0.60312749002207044</v>
      </c>
      <c r="F135">
        <v>75.347222222222229</v>
      </c>
      <c r="G135">
        <v>1.8101887790863302</v>
      </c>
    </row>
    <row r="136" spans="1:7" x14ac:dyDescent="0.2">
      <c r="A136">
        <v>110</v>
      </c>
      <c r="B136">
        <v>-1.2325885933529042</v>
      </c>
      <c r="C136">
        <v>1.0723548227836082</v>
      </c>
      <c r="D136">
        <v>1.027713275667832</v>
      </c>
      <c r="F136">
        <v>76.041666666666671</v>
      </c>
      <c r="G136">
        <v>1.8519535193189707</v>
      </c>
    </row>
    <row r="137" spans="1:7" x14ac:dyDescent="0.2">
      <c r="A137">
        <v>111</v>
      </c>
      <c r="B137">
        <v>0.88169234071177349</v>
      </c>
      <c r="C137">
        <v>-1.1397830128546769</v>
      </c>
      <c r="D137">
        <v>-1.092334466917209</v>
      </c>
      <c r="F137">
        <v>76.736111111111114</v>
      </c>
      <c r="G137">
        <v>1.9551601207275044</v>
      </c>
    </row>
    <row r="138" spans="1:7" x14ac:dyDescent="0.2">
      <c r="A138">
        <v>112</v>
      </c>
      <c r="B138">
        <v>0.41478426125004653</v>
      </c>
      <c r="C138">
        <v>0.52602073637712532</v>
      </c>
      <c r="D138">
        <v>0.50412277966733088</v>
      </c>
      <c r="F138">
        <v>77.430555555555557</v>
      </c>
      <c r="G138">
        <v>1.9636320377819911</v>
      </c>
    </row>
    <row r="139" spans="1:7" x14ac:dyDescent="0.2">
      <c r="A139">
        <v>113</v>
      </c>
      <c r="B139">
        <v>-1.0272355595593035</v>
      </c>
      <c r="C139">
        <v>-0.45437670928097784</v>
      </c>
      <c r="D139">
        <v>-0.43546125439168581</v>
      </c>
      <c r="F139">
        <v>78.125</v>
      </c>
      <c r="G139">
        <v>1.9965489332311821</v>
      </c>
    </row>
    <row r="140" spans="1:7" x14ac:dyDescent="0.2">
      <c r="A140">
        <v>114</v>
      </c>
      <c r="B140">
        <v>0.42168565719235174</v>
      </c>
      <c r="C140">
        <v>0.34546475736021542</v>
      </c>
      <c r="D140">
        <v>0.33108324770047076</v>
      </c>
      <c r="F140">
        <v>78.819444444444443</v>
      </c>
      <c r="G140">
        <v>2.1127325139720563</v>
      </c>
    </row>
    <row r="141" spans="1:7" x14ac:dyDescent="0.2">
      <c r="A141">
        <v>115</v>
      </c>
      <c r="B141">
        <v>1.5055546637020227</v>
      </c>
      <c r="C141">
        <v>0.4580773740799684</v>
      </c>
      <c r="D141">
        <v>0.43900786253100194</v>
      </c>
      <c r="F141">
        <v>79.513888888888886</v>
      </c>
      <c r="G141">
        <v>2.1320616401803507</v>
      </c>
    </row>
    <row r="142" spans="1:7" x14ac:dyDescent="0.2">
      <c r="A142">
        <v>116</v>
      </c>
      <c r="B142">
        <v>0.25362955209610061</v>
      </c>
      <c r="C142">
        <v>-0.87886702145461504</v>
      </c>
      <c r="D142">
        <v>-0.84228026610723405</v>
      </c>
      <c r="F142">
        <v>80.208333333333343</v>
      </c>
      <c r="G142">
        <v>2.1528110708148573</v>
      </c>
    </row>
    <row r="143" spans="1:7" x14ac:dyDescent="0.2">
      <c r="A143">
        <v>117</v>
      </c>
      <c r="B143">
        <v>-0.15728493480743844</v>
      </c>
      <c r="C143">
        <v>0.43665540300102879</v>
      </c>
      <c r="D143">
        <v>0.41847767643863132</v>
      </c>
      <c r="F143">
        <v>80.902777777777786</v>
      </c>
      <c r="G143">
        <v>2.1554149374730458</v>
      </c>
    </row>
    <row r="144" spans="1:7" x14ac:dyDescent="0.2">
      <c r="A144">
        <v>118</v>
      </c>
      <c r="B144">
        <v>-0.2547682520308413</v>
      </c>
      <c r="C144">
        <v>-1.4476987482708132</v>
      </c>
      <c r="D144">
        <v>-1.3874318380026036</v>
      </c>
      <c r="F144">
        <v>81.597222222222229</v>
      </c>
      <c r="G144">
        <v>2.1937669383125291</v>
      </c>
    </row>
    <row r="145" spans="1:7" x14ac:dyDescent="0.2">
      <c r="A145">
        <v>119</v>
      </c>
      <c r="B145">
        <v>3.1209323427779356</v>
      </c>
      <c r="C145">
        <v>4.5755013520580867E-2</v>
      </c>
      <c r="D145">
        <v>4.3850257232396432E-2</v>
      </c>
      <c r="F145">
        <v>82.291666666666671</v>
      </c>
      <c r="G145">
        <v>2.2441569439350513</v>
      </c>
    </row>
    <row r="146" spans="1:7" x14ac:dyDescent="0.2">
      <c r="A146">
        <v>120</v>
      </c>
      <c r="B146">
        <v>3.2353577778443157</v>
      </c>
      <c r="C146">
        <v>0.34471360177303634</v>
      </c>
      <c r="D146">
        <v>0.33036336231119995</v>
      </c>
      <c r="F146">
        <v>82.986111111111114</v>
      </c>
      <c r="G146">
        <v>2.3109716137805942</v>
      </c>
    </row>
    <row r="147" spans="1:7" x14ac:dyDescent="0.2">
      <c r="A147">
        <v>121</v>
      </c>
      <c r="B147">
        <v>-0.18084121923967833</v>
      </c>
      <c r="C147">
        <v>0.23602407756318897</v>
      </c>
      <c r="D147">
        <v>0.22619852378646027</v>
      </c>
      <c r="F147">
        <v>83.680555555555557</v>
      </c>
      <c r="G147">
        <v>2.3644571963769208</v>
      </c>
    </row>
    <row r="148" spans="1:7" x14ac:dyDescent="0.2">
      <c r="A148">
        <v>122</v>
      </c>
      <c r="B148">
        <v>0.12304905318808657</v>
      </c>
      <c r="C148">
        <v>0.69432241703773734</v>
      </c>
      <c r="D148">
        <v>0.66541815304303498</v>
      </c>
      <c r="F148">
        <v>84.375</v>
      </c>
      <c r="G148">
        <v>2.3878145236429944</v>
      </c>
    </row>
    <row r="149" spans="1:7" x14ac:dyDescent="0.2">
      <c r="A149">
        <v>123</v>
      </c>
      <c r="B149">
        <v>1.2185993994875297</v>
      </c>
      <c r="C149">
        <v>1.315717395684014</v>
      </c>
      <c r="D149">
        <v>1.2609447972282075</v>
      </c>
      <c r="F149">
        <v>85.069444444444443</v>
      </c>
      <c r="G149">
        <v>2.4047017706743326</v>
      </c>
    </row>
    <row r="150" spans="1:7" x14ac:dyDescent="0.2">
      <c r="A150">
        <v>124</v>
      </c>
      <c r="B150">
        <v>-0.64778680402994682</v>
      </c>
      <c r="C150">
        <v>0.15129083127155529</v>
      </c>
      <c r="D150">
        <v>0.1449926763801897</v>
      </c>
      <c r="F150">
        <v>85.763888888888886</v>
      </c>
      <c r="G150">
        <v>2.4711222871909655</v>
      </c>
    </row>
    <row r="151" spans="1:7" x14ac:dyDescent="0.2">
      <c r="A151">
        <v>125</v>
      </c>
      <c r="B151">
        <v>1.0400670137027062</v>
      </c>
      <c r="C151">
        <v>0.11728420538011908</v>
      </c>
      <c r="D151">
        <v>0.11240172779977674</v>
      </c>
      <c r="F151">
        <v>86.458333333333343</v>
      </c>
      <c r="G151">
        <v>2.5118747000438195</v>
      </c>
    </row>
    <row r="152" spans="1:7" x14ac:dyDescent="0.2">
      <c r="A152">
        <v>126</v>
      </c>
      <c r="B152">
        <v>0.74050309654302937</v>
      </c>
      <c r="C152">
        <v>0.42022863559805435</v>
      </c>
      <c r="D152">
        <v>0.40273474641429263</v>
      </c>
      <c r="F152">
        <v>87.152777777777786</v>
      </c>
      <c r="G152">
        <v>2.5198681337412903</v>
      </c>
    </row>
    <row r="153" spans="1:7" x14ac:dyDescent="0.2">
      <c r="A153">
        <v>127</v>
      </c>
      <c r="B153">
        <v>1.2912168182930128</v>
      </c>
      <c r="C153">
        <v>-0.30736707210993941</v>
      </c>
      <c r="D153">
        <v>-0.29457154833375471</v>
      </c>
      <c r="F153">
        <v>87.847222222222229</v>
      </c>
      <c r="G153">
        <v>2.5257042870557784</v>
      </c>
    </row>
    <row r="154" spans="1:7" x14ac:dyDescent="0.2">
      <c r="A154">
        <v>128</v>
      </c>
      <c r="B154">
        <v>0.93443230013676526</v>
      </c>
      <c r="C154">
        <v>-0.73314883134300179</v>
      </c>
      <c r="D154">
        <v>-0.70262824487114961</v>
      </c>
      <c r="F154">
        <v>88.541666666666671</v>
      </c>
      <c r="G154">
        <v>2.5343167951715437</v>
      </c>
    </row>
    <row r="155" spans="1:7" x14ac:dyDescent="0.2">
      <c r="A155">
        <v>129</v>
      </c>
      <c r="B155">
        <v>0.85817512661728412</v>
      </c>
      <c r="C155">
        <v>-0.79531255943385115</v>
      </c>
      <c r="D155">
        <v>-0.76220413082477023</v>
      </c>
      <c r="F155">
        <v>89.236111111111114</v>
      </c>
      <c r="G155">
        <v>2.6303236664701828</v>
      </c>
    </row>
    <row r="156" spans="1:7" x14ac:dyDescent="0.2">
      <c r="A156">
        <v>130</v>
      </c>
      <c r="B156">
        <v>-0.75804795125804181</v>
      </c>
      <c r="C156">
        <v>0.77329257955815145</v>
      </c>
      <c r="D156">
        <v>0.74110083071608812</v>
      </c>
      <c r="F156">
        <v>89.930555555555557</v>
      </c>
      <c r="G156">
        <v>2.6535892327475388</v>
      </c>
    </row>
    <row r="157" spans="1:7" x14ac:dyDescent="0.2">
      <c r="A157">
        <v>131</v>
      </c>
      <c r="B157">
        <v>1.4287104584775721</v>
      </c>
      <c r="C157">
        <v>1.0831642415662475</v>
      </c>
      <c r="D157">
        <v>1.0380727042348945</v>
      </c>
      <c r="F157">
        <v>90.625</v>
      </c>
      <c r="G157">
        <v>2.664630651168546</v>
      </c>
    </row>
    <row r="158" spans="1:7" x14ac:dyDescent="0.2">
      <c r="A158">
        <v>132</v>
      </c>
      <c r="B158">
        <v>2.3307877509628039E-2</v>
      </c>
      <c r="C158">
        <v>-0.75378063697084818</v>
      </c>
      <c r="D158">
        <v>-0.72240115966971974</v>
      </c>
      <c r="F158">
        <v>91.319444444444443</v>
      </c>
      <c r="G158">
        <v>2.683391280512204</v>
      </c>
    </row>
    <row r="159" spans="1:7" x14ac:dyDescent="0.2">
      <c r="A159">
        <v>133</v>
      </c>
      <c r="B159">
        <v>0.90801452739560995</v>
      </c>
      <c r="C159">
        <v>1.7566161237729361</v>
      </c>
      <c r="D159">
        <v>1.6834891514428405</v>
      </c>
      <c r="F159">
        <v>92.013888888888886</v>
      </c>
      <c r="G159">
        <v>2.7070180675265525</v>
      </c>
    </row>
    <row r="160" spans="1:7" x14ac:dyDescent="0.2">
      <c r="A160">
        <v>134</v>
      </c>
      <c r="B160">
        <v>0.4666143409663408</v>
      </c>
      <c r="C160">
        <v>-1.106419930409456</v>
      </c>
      <c r="D160">
        <v>-1.0603602714199105</v>
      </c>
      <c r="F160">
        <v>92.708333333333343</v>
      </c>
      <c r="G160">
        <v>2.8438546235537174</v>
      </c>
    </row>
    <row r="161" spans="1:7" x14ac:dyDescent="0.2">
      <c r="A161">
        <v>135</v>
      </c>
      <c r="B161">
        <v>-0.98495659028724614</v>
      </c>
      <c r="C161">
        <v>-1.58310050954801</v>
      </c>
      <c r="D161">
        <v>-1.5171968977168562</v>
      </c>
      <c r="F161">
        <v>93.402777777777786</v>
      </c>
      <c r="G161">
        <v>2.8609360739223297</v>
      </c>
    </row>
    <row r="162" spans="1:7" x14ac:dyDescent="0.2">
      <c r="A162">
        <v>136</v>
      </c>
      <c r="B162">
        <v>0.65523321052447736</v>
      </c>
      <c r="C162">
        <v>-0.78097985413276194</v>
      </c>
      <c r="D162">
        <v>-0.7484680882377388</v>
      </c>
      <c r="F162">
        <v>94.097222222222229</v>
      </c>
      <c r="G162">
        <v>3.0698713827378343</v>
      </c>
    </row>
    <row r="163" spans="1:7" x14ac:dyDescent="0.2">
      <c r="A163">
        <v>137</v>
      </c>
      <c r="B163">
        <v>0.57496518892351056</v>
      </c>
      <c r="C163">
        <v>1.8128493347194838</v>
      </c>
      <c r="D163">
        <v>1.7373814044502749</v>
      </c>
      <c r="F163">
        <v>94.791666666666671</v>
      </c>
      <c r="G163">
        <v>3.1095108983661892</v>
      </c>
    </row>
    <row r="164" spans="1:7" x14ac:dyDescent="0.2">
      <c r="A164">
        <v>138</v>
      </c>
      <c r="B164">
        <v>1.1043994689671883</v>
      </c>
      <c r="C164">
        <v>0.19625821991192516</v>
      </c>
      <c r="D164">
        <v>0.18808809712708596</v>
      </c>
      <c r="F164">
        <v>95.486111111111114</v>
      </c>
      <c r="G164">
        <v>3.1666873562985165</v>
      </c>
    </row>
    <row r="165" spans="1:7" x14ac:dyDescent="0.2">
      <c r="A165">
        <v>139</v>
      </c>
      <c r="B165">
        <v>0.70367622462122814</v>
      </c>
      <c r="C165">
        <v>1.6607809717556927</v>
      </c>
      <c r="D165">
        <v>1.5916435645986431</v>
      </c>
      <c r="F165">
        <v>96.180555555555557</v>
      </c>
      <c r="G165">
        <v>3.3950819422879635</v>
      </c>
    </row>
    <row r="166" spans="1:7" x14ac:dyDescent="0.2">
      <c r="A166">
        <v>140</v>
      </c>
      <c r="B166">
        <v>0.27865137090851588</v>
      </c>
      <c r="C166">
        <v>-0.3162870642737432</v>
      </c>
      <c r="D166">
        <v>-0.30312020608287366</v>
      </c>
      <c r="F166">
        <v>96.875</v>
      </c>
      <c r="G166">
        <v>3.4388141552305238</v>
      </c>
    </row>
    <row r="167" spans="1:7" x14ac:dyDescent="0.2">
      <c r="A167">
        <v>141</v>
      </c>
      <c r="B167">
        <v>0.84815794364263519</v>
      </c>
      <c r="C167">
        <v>0.66390286137721199</v>
      </c>
      <c r="D167">
        <v>0.63626494691384783</v>
      </c>
      <c r="F167">
        <v>97.569444444444443</v>
      </c>
      <c r="G167">
        <v>3.580071379617352</v>
      </c>
    </row>
    <row r="168" spans="1:7" x14ac:dyDescent="0.2">
      <c r="A168">
        <v>142</v>
      </c>
      <c r="B168">
        <v>1.028730347384974</v>
      </c>
      <c r="C168">
        <v>1.6015933190852087</v>
      </c>
      <c r="D168">
        <v>1.5349198616668314</v>
      </c>
      <c r="F168">
        <v>98.263888888888886</v>
      </c>
      <c r="G168">
        <v>3.8214888861569447</v>
      </c>
    </row>
    <row r="169" spans="1:7" x14ac:dyDescent="0.2">
      <c r="A169">
        <v>143</v>
      </c>
      <c r="B169">
        <v>0.23042492992136254</v>
      </c>
      <c r="C169">
        <v>-0.16597478504693014</v>
      </c>
      <c r="D169">
        <v>-0.15906534515886195</v>
      </c>
      <c r="F169">
        <v>98.958333333333343</v>
      </c>
      <c r="G169">
        <v>4.5018822436456931</v>
      </c>
    </row>
    <row r="170" spans="1:7" ht="17" thickBot="1" x14ac:dyDescent="0.25">
      <c r="A170" s="2">
        <v>144</v>
      </c>
      <c r="B170" s="2">
        <v>0.67667332147056281</v>
      </c>
      <c r="C170" s="2">
        <v>-2.6756998704122292E-2</v>
      </c>
      <c r="D170" s="2">
        <v>-2.5643119423730536E-2</v>
      </c>
      <c r="F170" s="2">
        <v>99.652777777777786</v>
      </c>
      <c r="G170" s="2">
        <v>5.5867022964527608</v>
      </c>
    </row>
  </sheetData>
  <sortState xmlns:xlrd2="http://schemas.microsoft.com/office/spreadsheetml/2017/richdata2" ref="G27:G170">
    <sortCondition ref="G27"/>
  </sortState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14AF6-73EF-2B46-802A-A14220ED5E9C}">
  <dimension ref="A1:I172"/>
  <sheetViews>
    <sheetView workbookViewId="0">
      <selection activeCell="F24" sqref="F24"/>
    </sheetView>
  </sheetViews>
  <sheetFormatPr baseColWidth="10" defaultRowHeight="16" x14ac:dyDescent="0.2"/>
  <cols>
    <col min="1" max="1" width="18.33203125" bestFit="1" customWidth="1"/>
    <col min="2" max="2" width="25" bestFit="1" customWidth="1"/>
    <col min="3" max="3" width="13.5" bestFit="1" customWidth="1"/>
    <col min="4" max="4" width="17.5" bestFit="1" customWidth="1"/>
    <col min="5" max="5" width="12.1640625" bestFit="1" customWidth="1"/>
    <col min="6" max="6" width="19.6640625" bestFit="1" customWidth="1"/>
    <col min="7" max="7" width="16.6640625" bestFit="1" customWidth="1"/>
    <col min="8" max="9" width="12.83203125" bestFit="1" customWidth="1"/>
  </cols>
  <sheetData>
    <row r="1" spans="1:9" x14ac:dyDescent="0.2">
      <c r="A1" t="s">
        <v>21</v>
      </c>
    </row>
    <row r="2" spans="1:9" ht="17" thickBot="1" x14ac:dyDescent="0.25"/>
    <row r="3" spans="1:9" x14ac:dyDescent="0.2">
      <c r="A3" s="4" t="s">
        <v>22</v>
      </c>
      <c r="B3" s="4"/>
    </row>
    <row r="4" spans="1:9" x14ac:dyDescent="0.2">
      <c r="A4" t="s">
        <v>23</v>
      </c>
      <c r="B4">
        <v>0.82993454910763942</v>
      </c>
    </row>
    <row r="5" spans="1:9" x14ac:dyDescent="0.2">
      <c r="A5" t="s">
        <v>24</v>
      </c>
      <c r="B5">
        <v>0.68879135580250084</v>
      </c>
    </row>
    <row r="6" spans="1:9" x14ac:dyDescent="0.2">
      <c r="A6" t="s">
        <v>25</v>
      </c>
      <c r="B6">
        <v>0.67751568028809872</v>
      </c>
    </row>
    <row r="7" spans="1:9" x14ac:dyDescent="0.2">
      <c r="A7" t="s">
        <v>26</v>
      </c>
      <c r="B7">
        <v>1.0611487052837623</v>
      </c>
    </row>
    <row r="8" spans="1:9" ht="17" thickBot="1" x14ac:dyDescent="0.25">
      <c r="A8" s="2" t="s">
        <v>27</v>
      </c>
      <c r="B8" s="2">
        <v>144</v>
      </c>
    </row>
    <row r="10" spans="1:9" ht="17" thickBot="1" x14ac:dyDescent="0.25">
      <c r="A10" t="s">
        <v>28</v>
      </c>
    </row>
    <row r="11" spans="1:9" x14ac:dyDescent="0.2">
      <c r="A11" s="3"/>
      <c r="B11" s="3" t="s">
        <v>33</v>
      </c>
      <c r="C11" s="3" t="s">
        <v>34</v>
      </c>
      <c r="D11" s="3" t="s">
        <v>35</v>
      </c>
      <c r="E11" s="3" t="s">
        <v>36</v>
      </c>
      <c r="F11" s="3" t="s">
        <v>37</v>
      </c>
    </row>
    <row r="12" spans="1:9" x14ac:dyDescent="0.2">
      <c r="A12" t="s">
        <v>29</v>
      </c>
      <c r="B12">
        <v>5</v>
      </c>
      <c r="C12">
        <v>343.9280679892106</v>
      </c>
      <c r="D12">
        <v>68.785613597842115</v>
      </c>
      <c r="E12">
        <v>61.086482572394388</v>
      </c>
      <c r="F12">
        <v>2.6805237157597439E-33</v>
      </c>
    </row>
    <row r="13" spans="1:9" x14ac:dyDescent="0.2">
      <c r="A13" t="s">
        <v>30</v>
      </c>
      <c r="B13">
        <v>138</v>
      </c>
      <c r="C13">
        <v>155.39304731210586</v>
      </c>
      <c r="D13">
        <v>1.1260365747254049</v>
      </c>
    </row>
    <row r="14" spans="1:9" ht="17" thickBot="1" x14ac:dyDescent="0.25">
      <c r="A14" s="2" t="s">
        <v>31</v>
      </c>
      <c r="B14" s="2">
        <v>143</v>
      </c>
      <c r="C14" s="2">
        <v>499.32111530131647</v>
      </c>
      <c r="D14" s="2"/>
      <c r="E14" s="2"/>
      <c r="F14" s="2"/>
    </row>
    <row r="15" spans="1:9" ht="17" thickBot="1" x14ac:dyDescent="0.25"/>
    <row r="16" spans="1:9" x14ac:dyDescent="0.2">
      <c r="A16" s="3"/>
      <c r="B16" s="3" t="s">
        <v>38</v>
      </c>
      <c r="C16" s="3" t="s">
        <v>26</v>
      </c>
      <c r="D16" s="3" t="s">
        <v>39</v>
      </c>
      <c r="E16" s="3" t="s">
        <v>40</v>
      </c>
      <c r="F16" s="3" t="s">
        <v>41</v>
      </c>
      <c r="G16" s="3" t="s">
        <v>42</v>
      </c>
      <c r="H16" s="3" t="s">
        <v>43</v>
      </c>
      <c r="I16" s="3" t="s">
        <v>44</v>
      </c>
    </row>
    <row r="17" spans="1:9" x14ac:dyDescent="0.2">
      <c r="A17" t="s">
        <v>32</v>
      </c>
      <c r="B17">
        <v>1.1197811036894887</v>
      </c>
      <c r="C17">
        <v>0.28800815705315885</v>
      </c>
      <c r="D17">
        <v>3.8880187115075566</v>
      </c>
      <c r="E17">
        <v>1.5642852360556368E-4</v>
      </c>
      <c r="F17">
        <v>0.55030155461542063</v>
      </c>
      <c r="G17">
        <v>1.6892606527635567</v>
      </c>
      <c r="H17">
        <v>0.55030155461542063</v>
      </c>
      <c r="I17">
        <v>1.6892606527635567</v>
      </c>
    </row>
    <row r="18" spans="1:9" x14ac:dyDescent="0.2">
      <c r="A18" t="s">
        <v>60</v>
      </c>
      <c r="B18">
        <v>-1.0717889599841941</v>
      </c>
      <c r="C18">
        <v>6.1779262836041644</v>
      </c>
      <c r="D18">
        <v>-0.17348684830193845</v>
      </c>
      <c r="E18">
        <v>0.86252298180791653</v>
      </c>
      <c r="F18">
        <v>-13.287424482940452</v>
      </c>
      <c r="G18">
        <v>11.143846562972065</v>
      </c>
      <c r="H18">
        <v>-13.287424482940452</v>
      </c>
      <c r="I18">
        <v>11.143846562972065</v>
      </c>
    </row>
    <row r="19" spans="1:9" x14ac:dyDescent="0.2">
      <c r="A19" t="s">
        <v>61</v>
      </c>
      <c r="B19">
        <v>5.4520341518013131</v>
      </c>
      <c r="C19">
        <v>10.601973085631295</v>
      </c>
      <c r="D19">
        <v>0.51424712247104065</v>
      </c>
      <c r="E19">
        <v>0.60790175931097279</v>
      </c>
      <c r="F19">
        <v>-15.51128478289931</v>
      </c>
      <c r="G19">
        <v>26.415353086501938</v>
      </c>
      <c r="H19">
        <v>-15.51128478289931</v>
      </c>
      <c r="I19">
        <v>26.415353086501938</v>
      </c>
    </row>
    <row r="20" spans="1:9" x14ac:dyDescent="0.2">
      <c r="A20" t="s">
        <v>17</v>
      </c>
      <c r="B20">
        <v>0.74128427334050451</v>
      </c>
      <c r="C20">
        <v>5.3544032373431263E-2</v>
      </c>
      <c r="D20">
        <v>13.844386395305042</v>
      </c>
      <c r="E20">
        <v>7.0993375435439809E-28</v>
      </c>
      <c r="F20">
        <v>0.63541146847407548</v>
      </c>
      <c r="G20">
        <v>0.84715707820693353</v>
      </c>
      <c r="H20">
        <v>0.63541146847407548</v>
      </c>
      <c r="I20">
        <v>0.84715707820693353</v>
      </c>
    </row>
    <row r="21" spans="1:9" x14ac:dyDescent="0.2">
      <c r="A21" t="s">
        <v>18</v>
      </c>
      <c r="B21">
        <v>0.40776500244529457</v>
      </c>
      <c r="C21">
        <v>6.3270860580504712E-2</v>
      </c>
      <c r="D21">
        <v>6.4447519553880834</v>
      </c>
      <c r="E21">
        <v>1.7976838602674533E-9</v>
      </c>
      <c r="F21">
        <v>0.28265930571232467</v>
      </c>
      <c r="G21">
        <v>0.53287069917826446</v>
      </c>
      <c r="H21">
        <v>0.28265930571232467</v>
      </c>
      <c r="I21">
        <v>0.53287069917826446</v>
      </c>
    </row>
    <row r="22" spans="1:9" ht="17" thickBot="1" x14ac:dyDescent="0.25">
      <c r="A22" s="2" t="s">
        <v>57</v>
      </c>
      <c r="B22" s="2">
        <v>-4.1905714675501825E-2</v>
      </c>
      <c r="C22" s="2">
        <v>1.4928969363192204E-2</v>
      </c>
      <c r="D22" s="2">
        <v>-2.8070065425160258</v>
      </c>
      <c r="E22" s="2">
        <v>5.7247201353851571E-3</v>
      </c>
      <c r="F22" s="2">
        <v>-7.1424818676164112E-2</v>
      </c>
      <c r="G22" s="2">
        <v>-1.2386610674839541E-2</v>
      </c>
      <c r="H22" s="2">
        <v>-7.1424818676164112E-2</v>
      </c>
      <c r="I22" s="2">
        <v>-1.2386610674839541E-2</v>
      </c>
    </row>
    <row r="26" spans="1:9" x14ac:dyDescent="0.2">
      <c r="A26" t="s">
        <v>45</v>
      </c>
      <c r="F26" t="s">
        <v>48</v>
      </c>
    </row>
    <row r="27" spans="1:9" ht="17" thickBot="1" x14ac:dyDescent="0.25"/>
    <row r="28" spans="1:9" x14ac:dyDescent="0.2">
      <c r="A28" s="3" t="s">
        <v>46</v>
      </c>
      <c r="B28" s="3" t="s">
        <v>50</v>
      </c>
      <c r="C28" s="3" t="s">
        <v>47</v>
      </c>
      <c r="D28" s="3" t="s">
        <v>52</v>
      </c>
      <c r="F28" s="3" t="s">
        <v>49</v>
      </c>
      <c r="G28" s="3" t="s">
        <v>2</v>
      </c>
    </row>
    <row r="29" spans="1:9" x14ac:dyDescent="0.2">
      <c r="A29">
        <v>1</v>
      </c>
      <c r="B29">
        <v>-0.97477656465864948</v>
      </c>
      <c r="C29">
        <v>-2.1483746563552648</v>
      </c>
      <c r="D29">
        <v>-2.0609252849724569</v>
      </c>
      <c r="F29">
        <v>0.34722222222222221</v>
      </c>
      <c r="G29">
        <v>-7.0047284893671877</v>
      </c>
    </row>
    <row r="30" spans="1:9" x14ac:dyDescent="0.2">
      <c r="A30">
        <v>2</v>
      </c>
      <c r="B30">
        <v>2.2725518790603876</v>
      </c>
      <c r="C30">
        <v>1.1662622761701362</v>
      </c>
      <c r="D30">
        <v>1.118789689106767</v>
      </c>
      <c r="F30">
        <v>1.0416666666666665</v>
      </c>
      <c r="G30">
        <v>-4.6868598995851904</v>
      </c>
    </row>
    <row r="31" spans="1:9" x14ac:dyDescent="0.2">
      <c r="A31">
        <v>3</v>
      </c>
      <c r="B31">
        <v>-0.15245405427484149</v>
      </c>
      <c r="C31">
        <v>-1.6898636382640531</v>
      </c>
      <c r="D31">
        <v>-1.6210779111322862</v>
      </c>
      <c r="F31">
        <v>1.7361111111111112</v>
      </c>
      <c r="G31">
        <v>-4.1526948243374111</v>
      </c>
    </row>
    <row r="32" spans="1:9" x14ac:dyDescent="0.2">
      <c r="A32">
        <v>4</v>
      </c>
      <c r="B32">
        <v>1.1345938838343912</v>
      </c>
      <c r="C32">
        <v>-0.3698286221073932</v>
      </c>
      <c r="D32">
        <v>-0.35477478574463844</v>
      </c>
      <c r="F32">
        <v>2.4305555555555554</v>
      </c>
      <c r="G32">
        <v>-3.6875242113072275</v>
      </c>
    </row>
    <row r="33" spans="1:7" x14ac:dyDescent="0.2">
      <c r="A33">
        <v>5</v>
      </c>
      <c r="B33">
        <v>2.1687677197535153</v>
      </c>
      <c r="C33">
        <v>0.67508690380020209</v>
      </c>
      <c r="D33">
        <v>0.64760756019900312</v>
      </c>
      <c r="F33">
        <v>3.125</v>
      </c>
      <c r="G33">
        <v>-3.3442885744124804</v>
      </c>
    </row>
    <row r="34" spans="1:7" x14ac:dyDescent="0.2">
      <c r="A34">
        <v>6</v>
      </c>
      <c r="B34">
        <v>8.7573764518855901E-2</v>
      </c>
      <c r="C34">
        <v>-0.49344780251377557</v>
      </c>
      <c r="D34">
        <v>-0.47336206001425041</v>
      </c>
      <c r="F34">
        <v>3.8194444444444446</v>
      </c>
      <c r="G34">
        <v>-3.1231512210139143</v>
      </c>
    </row>
    <row r="35" spans="1:7" x14ac:dyDescent="0.2">
      <c r="A35">
        <v>7</v>
      </c>
      <c r="B35">
        <v>0.59237344751351373</v>
      </c>
      <c r="C35">
        <v>-0.1977355440611232</v>
      </c>
      <c r="D35">
        <v>-0.18968673889716797</v>
      </c>
      <c r="F35">
        <v>4.5138888888888884</v>
      </c>
      <c r="G35">
        <v>-2.9682787226250409</v>
      </c>
    </row>
    <row r="36" spans="1:7" x14ac:dyDescent="0.2">
      <c r="A36">
        <v>8</v>
      </c>
      <c r="B36">
        <v>1.0465841741810571</v>
      </c>
      <c r="C36">
        <v>-1.8914516560969847</v>
      </c>
      <c r="D36">
        <v>-1.8144603092491003</v>
      </c>
      <c r="F36">
        <v>5.208333333333333</v>
      </c>
      <c r="G36">
        <v>-2.5680570998352561</v>
      </c>
    </row>
    <row r="37" spans="1:7" x14ac:dyDescent="0.2">
      <c r="A37">
        <v>9</v>
      </c>
      <c r="B37">
        <v>1.3415716070899171</v>
      </c>
      <c r="C37">
        <v>0.79049003309043364</v>
      </c>
      <c r="D37">
        <v>0.75831321687560749</v>
      </c>
      <c r="F37">
        <v>5.9027777777777777</v>
      </c>
      <c r="G37">
        <v>-2.5280472836281653</v>
      </c>
    </row>
    <row r="38" spans="1:7" x14ac:dyDescent="0.2">
      <c r="A38">
        <v>10</v>
      </c>
      <c r="B38">
        <v>0.34830690641927153</v>
      </c>
      <c r="C38">
        <v>-0.77244700896576868</v>
      </c>
      <c r="D38">
        <v>-0.74100463220864099</v>
      </c>
      <c r="F38">
        <v>6.5972222222222223</v>
      </c>
      <c r="G38">
        <v>-2.5046976641667626</v>
      </c>
    </row>
    <row r="39" spans="1:7" x14ac:dyDescent="0.2">
      <c r="A39">
        <v>11</v>
      </c>
      <c r="B39">
        <v>1.1392708312844679</v>
      </c>
      <c r="C39">
        <v>-0.39407047735038525</v>
      </c>
      <c r="D39">
        <v>-0.37802987874116589</v>
      </c>
      <c r="F39">
        <v>7.291666666666667</v>
      </c>
      <c r="G39">
        <v>-2.2568118607420633</v>
      </c>
    </row>
    <row r="40" spans="1:7" x14ac:dyDescent="0.2">
      <c r="A40">
        <v>12</v>
      </c>
      <c r="B40">
        <v>1.1280267339912964</v>
      </c>
      <c r="C40">
        <v>0.26135690313880833</v>
      </c>
      <c r="D40">
        <v>0.25071839703912235</v>
      </c>
      <c r="F40">
        <v>7.9861111111111107</v>
      </c>
      <c r="G40">
        <v>-1.9001782009329338</v>
      </c>
    </row>
    <row r="41" spans="1:7" x14ac:dyDescent="0.2">
      <c r="A41">
        <v>13</v>
      </c>
      <c r="B41">
        <v>0.7874015114737607</v>
      </c>
      <c r="C41">
        <v>-0.9470057251436792</v>
      </c>
      <c r="D41">
        <v>-0.90845795363894943</v>
      </c>
      <c r="F41">
        <v>8.6805555555555536</v>
      </c>
      <c r="G41">
        <v>-1.8423176925388944</v>
      </c>
    </row>
    <row r="42" spans="1:7" x14ac:dyDescent="0.2">
      <c r="A42">
        <v>14</v>
      </c>
      <c r="B42">
        <v>-9.2630651268038489E-2</v>
      </c>
      <c r="C42">
        <v>9.4805091107711181E-2</v>
      </c>
      <c r="D42">
        <v>9.0946059538550728E-2</v>
      </c>
      <c r="F42">
        <v>9.3749999999999982</v>
      </c>
      <c r="G42">
        <v>-1.8267949190726551</v>
      </c>
    </row>
    <row r="43" spans="1:7" x14ac:dyDescent="0.2">
      <c r="A43">
        <v>15</v>
      </c>
      <c r="B43">
        <v>2.0631632280530927</v>
      </c>
      <c r="C43">
        <v>8.9647842761764629E-2</v>
      </c>
      <c r="D43">
        <v>8.5998736460798864E-2</v>
      </c>
      <c r="F43">
        <v>10.069444444444443</v>
      </c>
      <c r="G43">
        <v>-1.7163787658669345</v>
      </c>
    </row>
    <row r="44" spans="1:7" x14ac:dyDescent="0.2">
      <c r="A44">
        <v>16</v>
      </c>
      <c r="B44">
        <v>-0.50266094119087434</v>
      </c>
      <c r="C44">
        <v>-0.13055828059722574</v>
      </c>
      <c r="D44">
        <v>-0.1252439190945551</v>
      </c>
      <c r="F44">
        <v>10.763888888888888</v>
      </c>
      <c r="G44">
        <v>-1.7024670003016547</v>
      </c>
    </row>
    <row r="45" spans="1:7" x14ac:dyDescent="0.2">
      <c r="A45">
        <v>17</v>
      </c>
      <c r="B45">
        <v>1.2276895098703926</v>
      </c>
      <c r="C45">
        <v>-0.68457671155749944</v>
      </c>
      <c r="D45">
        <v>-0.65671108629892549</v>
      </c>
      <c r="F45">
        <v>11.458333333333332</v>
      </c>
      <c r="G45">
        <v>-1.4912303020014905</v>
      </c>
    </row>
    <row r="46" spans="1:7" x14ac:dyDescent="0.2">
      <c r="A46">
        <v>18</v>
      </c>
      <c r="B46">
        <v>1.116982309214122</v>
      </c>
      <c r="C46">
        <v>1.5366069235334168</v>
      </c>
      <c r="D46">
        <v>1.4740594953518551</v>
      </c>
      <c r="F46">
        <v>12.152777777777777</v>
      </c>
      <c r="G46">
        <v>-1.4816122688402813</v>
      </c>
    </row>
    <row r="47" spans="1:7" x14ac:dyDescent="0.2">
      <c r="A47">
        <v>19</v>
      </c>
      <c r="B47">
        <v>0.18875463791714353</v>
      </c>
      <c r="C47">
        <v>-0.37527403767031164</v>
      </c>
      <c r="D47">
        <v>-0.35999854622217098</v>
      </c>
      <c r="F47">
        <v>12.847222222222221</v>
      </c>
      <c r="G47">
        <v>-1.3850399013585131</v>
      </c>
    </row>
    <row r="48" spans="1:7" x14ac:dyDescent="0.2">
      <c r="A48">
        <v>20</v>
      </c>
      <c r="B48">
        <v>2.5994421157194898</v>
      </c>
      <c r="C48">
        <v>-0.19474034504515725</v>
      </c>
      <c r="D48">
        <v>-0.18681345915181796</v>
      </c>
      <c r="F48">
        <v>13.541666666666666</v>
      </c>
      <c r="G48">
        <v>-1.3845334693391671</v>
      </c>
    </row>
    <row r="49" spans="1:7" x14ac:dyDescent="0.2">
      <c r="A49">
        <v>21</v>
      </c>
      <c r="B49">
        <v>0.21327288353956275</v>
      </c>
      <c r="C49">
        <v>0.60879464212988355</v>
      </c>
      <c r="D49">
        <v>0.58401371828217818</v>
      </c>
      <c r="F49">
        <v>14.236111111111111</v>
      </c>
      <c r="G49">
        <v>-1.3312319193447704</v>
      </c>
    </row>
    <row r="50" spans="1:7" x14ac:dyDescent="0.2">
      <c r="A50">
        <v>22</v>
      </c>
      <c r="B50">
        <v>0.47433872981642555</v>
      </c>
      <c r="C50">
        <v>0.32356887699458781</v>
      </c>
      <c r="D50">
        <v>0.31039803884095679</v>
      </c>
      <c r="F50">
        <v>14.930555555555554</v>
      </c>
      <c r="G50">
        <v>-1.2793531068196276</v>
      </c>
    </row>
    <row r="51" spans="1:7" x14ac:dyDescent="0.2">
      <c r="A51">
        <v>23</v>
      </c>
      <c r="B51">
        <v>1.9559627881272301E-2</v>
      </c>
      <c r="C51">
        <v>-0.25373468897228302</v>
      </c>
      <c r="D51">
        <v>-0.24340644432324113</v>
      </c>
      <c r="F51">
        <v>15.624999999999998</v>
      </c>
      <c r="G51">
        <v>-1.1425691586862545</v>
      </c>
    </row>
    <row r="52" spans="1:7" x14ac:dyDescent="0.2">
      <c r="A52">
        <v>24</v>
      </c>
      <c r="B52">
        <v>0.52956403376581751</v>
      </c>
      <c r="C52">
        <v>-8.0500737866077754E-2</v>
      </c>
      <c r="D52">
        <v>-7.7223963537440071E-2</v>
      </c>
      <c r="F52">
        <v>16.319444444444443</v>
      </c>
      <c r="G52">
        <v>-1.1072210028407516</v>
      </c>
    </row>
    <row r="53" spans="1:7" x14ac:dyDescent="0.2">
      <c r="A53">
        <v>25</v>
      </c>
      <c r="B53">
        <v>-1.6540874077716377</v>
      </c>
      <c r="C53">
        <v>-1.6902011666408427</v>
      </c>
      <c r="D53">
        <v>-1.6214017004509063</v>
      </c>
      <c r="F53">
        <v>17.013888888888886</v>
      </c>
      <c r="G53">
        <v>-1.0801430002995103</v>
      </c>
    </row>
    <row r="54" spans="1:7" x14ac:dyDescent="0.2">
      <c r="A54">
        <v>26</v>
      </c>
      <c r="B54">
        <v>1.4107252777076222</v>
      </c>
      <c r="C54">
        <v>0.54443484301988221</v>
      </c>
      <c r="D54">
        <v>0.52227367823414683</v>
      </c>
      <c r="F54">
        <v>17.708333333333332</v>
      </c>
      <c r="G54">
        <v>-0.94912629185626851</v>
      </c>
    </row>
    <row r="55" spans="1:7" x14ac:dyDescent="0.2">
      <c r="A55">
        <v>27</v>
      </c>
      <c r="B55">
        <v>-1.5024418163318458</v>
      </c>
      <c r="C55">
        <v>-1.4658369062931951</v>
      </c>
      <c r="D55">
        <v>-1.40617016444914</v>
      </c>
      <c r="F55">
        <v>18.402777777777775</v>
      </c>
      <c r="G55">
        <v>-0.93339874585644023</v>
      </c>
    </row>
    <row r="56" spans="1:7" x14ac:dyDescent="0.2">
      <c r="A56">
        <v>28</v>
      </c>
      <c r="B56">
        <v>-1.0223664056377353</v>
      </c>
      <c r="C56">
        <v>7.3240113781466776E-2</v>
      </c>
      <c r="D56">
        <v>7.0258882416049162E-2</v>
      </c>
      <c r="F56">
        <v>19.097222222222221</v>
      </c>
      <c r="G56">
        <v>-0.8739297602339734</v>
      </c>
    </row>
    <row r="57" spans="1:7" x14ac:dyDescent="0.2">
      <c r="A57">
        <v>29</v>
      </c>
      <c r="B57">
        <v>1.9121795116632085</v>
      </c>
      <c r="C57">
        <v>0.77121176884899545</v>
      </c>
      <c r="D57">
        <v>0.73981967241490132</v>
      </c>
      <c r="F57">
        <v>19.791666666666664</v>
      </c>
      <c r="G57">
        <v>-0.85098504001589137</v>
      </c>
    </row>
    <row r="58" spans="1:7" x14ac:dyDescent="0.2">
      <c r="A58">
        <v>30</v>
      </c>
      <c r="B58">
        <v>0.29527765489717328</v>
      </c>
      <c r="C58">
        <v>0.78963252687188767</v>
      </c>
      <c r="D58">
        <v>0.75749061536027373</v>
      </c>
      <c r="F58">
        <v>20.486111111111111</v>
      </c>
      <c r="G58">
        <v>-0.84486748191592764</v>
      </c>
    </row>
    <row r="59" spans="1:7" x14ac:dyDescent="0.2">
      <c r="A59">
        <v>31</v>
      </c>
      <c r="B59">
        <v>-1.0622046514490728</v>
      </c>
      <c r="C59">
        <v>0.46014529022200756</v>
      </c>
      <c r="D59">
        <v>0.44141512309047898</v>
      </c>
      <c r="F59">
        <v>21.180555555555554</v>
      </c>
      <c r="G59">
        <v>-0.83998798555617005</v>
      </c>
    </row>
    <row r="60" spans="1:7" x14ac:dyDescent="0.2">
      <c r="A60">
        <v>32</v>
      </c>
      <c r="B60">
        <v>-0.24915563341672131</v>
      </c>
      <c r="C60">
        <v>-1.1353778359224458</v>
      </c>
      <c r="D60">
        <v>-1.0891623968510158</v>
      </c>
      <c r="F60">
        <v>21.875</v>
      </c>
      <c r="G60">
        <v>-0.82038765576752415</v>
      </c>
    </row>
    <row r="61" spans="1:7" x14ac:dyDescent="0.2">
      <c r="A61">
        <v>33</v>
      </c>
      <c r="B61">
        <v>0.18788545719196625</v>
      </c>
      <c r="C61">
        <v>0.3248066921719146</v>
      </c>
      <c r="D61">
        <v>0.31158546887767269</v>
      </c>
      <c r="F61">
        <v>22.569444444444443</v>
      </c>
      <c r="G61">
        <v>-0.73047275946122014</v>
      </c>
    </row>
    <row r="62" spans="1:7" x14ac:dyDescent="0.2">
      <c r="A62">
        <v>34</v>
      </c>
      <c r="B62">
        <v>3.2493544430621268</v>
      </c>
      <c r="C62">
        <v>-1.1366219290900705</v>
      </c>
      <c r="D62">
        <v>-1.0903558493330745</v>
      </c>
      <c r="F62">
        <v>23.263888888888886</v>
      </c>
      <c r="G62">
        <v>-0.72114034769675106</v>
      </c>
    </row>
    <row r="63" spans="1:7" x14ac:dyDescent="0.2">
      <c r="A63">
        <v>35</v>
      </c>
      <c r="B63">
        <v>1.7462902503128301</v>
      </c>
      <c r="C63">
        <v>-1.2996477540778375</v>
      </c>
      <c r="D63">
        <v>-1.2467457247334777</v>
      </c>
      <c r="F63">
        <v>23.958333333333332</v>
      </c>
      <c r="G63">
        <v>-0.70844610563042631</v>
      </c>
    </row>
    <row r="64" spans="1:7" x14ac:dyDescent="0.2">
      <c r="A64">
        <v>36</v>
      </c>
      <c r="B64">
        <v>0.89659136927645455</v>
      </c>
      <c r="C64">
        <v>-8.7495659054875219E-2</v>
      </c>
      <c r="D64">
        <v>-8.393415717230597E-2</v>
      </c>
      <c r="F64">
        <v>24.652777777777775</v>
      </c>
      <c r="G64">
        <v>-0.63980558944311527</v>
      </c>
    </row>
    <row r="65" spans="1:7" x14ac:dyDescent="0.2">
      <c r="A65">
        <v>37</v>
      </c>
      <c r="B65">
        <v>1.8955915028980468</v>
      </c>
      <c r="C65">
        <v>1.4994904393899167</v>
      </c>
      <c r="D65">
        <v>1.4384538339117823</v>
      </c>
      <c r="F65">
        <v>25.347222222222221</v>
      </c>
      <c r="G65">
        <v>-0.63321922178810008</v>
      </c>
    </row>
    <row r="66" spans="1:7" x14ac:dyDescent="0.2">
      <c r="A66">
        <v>38</v>
      </c>
      <c r="B66">
        <v>3.2038433843591392</v>
      </c>
      <c r="C66">
        <v>-9.4332485992949966E-2</v>
      </c>
      <c r="D66">
        <v>-9.0492691766808769E-2</v>
      </c>
      <c r="F66">
        <v>26.041666666666664</v>
      </c>
      <c r="G66">
        <v>-0.62523746935851443</v>
      </c>
    </row>
    <row r="67" spans="1:7" x14ac:dyDescent="0.2">
      <c r="A67">
        <v>39</v>
      </c>
      <c r="B67">
        <v>2.5479206888052355</v>
      </c>
      <c r="C67">
        <v>-0.97267305952113792</v>
      </c>
      <c r="D67">
        <v>-0.93308050178708768</v>
      </c>
      <c r="F67">
        <v>26.736111111111111</v>
      </c>
      <c r="G67">
        <v>-0.60205936122706527</v>
      </c>
    </row>
    <row r="68" spans="1:7" x14ac:dyDescent="0.2">
      <c r="A68">
        <v>40</v>
      </c>
      <c r="B68">
        <v>-9.0151521224326125E-2</v>
      </c>
      <c r="C68">
        <v>0.48429557223254383</v>
      </c>
      <c r="D68">
        <v>0.46458237033364286</v>
      </c>
      <c r="F68">
        <v>27.430555555555554</v>
      </c>
      <c r="G68">
        <v>-0.49649597275839152</v>
      </c>
    </row>
    <row r="69" spans="1:7" x14ac:dyDescent="0.2">
      <c r="A69">
        <v>41</v>
      </c>
      <c r="B69">
        <v>-0.85475447349288969</v>
      </c>
      <c r="C69">
        <v>1.1472418667559605</v>
      </c>
      <c r="D69">
        <v>1.1005435035188651</v>
      </c>
      <c r="F69">
        <v>28.125</v>
      </c>
      <c r="G69">
        <v>-0.45287219230992509</v>
      </c>
    </row>
    <row r="70" spans="1:7" x14ac:dyDescent="0.2">
      <c r="A70">
        <v>42</v>
      </c>
      <c r="B70">
        <v>-0.21083528166775639</v>
      </c>
      <c r="C70">
        <v>-0.72256346418868378</v>
      </c>
      <c r="D70">
        <v>-0.69315159203660626</v>
      </c>
      <c r="F70">
        <v>28.819444444444443</v>
      </c>
      <c r="G70">
        <v>-0.44945692130845749</v>
      </c>
    </row>
    <row r="71" spans="1:7" x14ac:dyDescent="0.2">
      <c r="A71">
        <v>43</v>
      </c>
      <c r="B71">
        <v>2.3208981596304548</v>
      </c>
      <c r="C71">
        <v>0.54003791429187498</v>
      </c>
      <c r="D71">
        <v>0.51805572604179273</v>
      </c>
      <c r="F71">
        <v>29.513888888888886</v>
      </c>
      <c r="G71">
        <v>-0.42414010254649709</v>
      </c>
    </row>
    <row r="72" spans="1:7" x14ac:dyDescent="0.2">
      <c r="A72">
        <v>44</v>
      </c>
      <c r="B72">
        <v>0.36824484123743506</v>
      </c>
      <c r="C72">
        <v>-0.81770176254589255</v>
      </c>
      <c r="D72">
        <v>-0.78441729565753071</v>
      </c>
      <c r="F72">
        <v>30.208333333333332</v>
      </c>
      <c r="G72">
        <v>-0.40587403799491967</v>
      </c>
    </row>
    <row r="73" spans="1:7" x14ac:dyDescent="0.2">
      <c r="A73">
        <v>45</v>
      </c>
      <c r="B73">
        <v>1.8108765812645533</v>
      </c>
      <c r="C73">
        <v>0.71482770579122512</v>
      </c>
      <c r="D73">
        <v>0.68573071689613718</v>
      </c>
      <c r="F73">
        <v>30.902777777777775</v>
      </c>
      <c r="G73">
        <v>-0.38364685529762182</v>
      </c>
    </row>
    <row r="74" spans="1:7" x14ac:dyDescent="0.2">
      <c r="A74">
        <v>46</v>
      </c>
      <c r="B74">
        <v>0.39783484413077641</v>
      </c>
      <c r="C74">
        <v>-7.5883745799450952E-2</v>
      </c>
      <c r="D74">
        <v>-7.2794905662231679E-2</v>
      </c>
      <c r="F74">
        <v>31.597222222222221</v>
      </c>
      <c r="G74">
        <v>-0.34952011853591453</v>
      </c>
    </row>
    <row r="75" spans="1:7" x14ac:dyDescent="0.2">
      <c r="A75">
        <v>47</v>
      </c>
      <c r="B75">
        <v>1.3169962871940559</v>
      </c>
      <c r="C75">
        <v>-1.7006431424916777</v>
      </c>
      <c r="D75">
        <v>-1.6314186367391821</v>
      </c>
      <c r="F75">
        <v>32.291666666666664</v>
      </c>
      <c r="G75">
        <v>-0.32059917407416511</v>
      </c>
    </row>
    <row r="76" spans="1:7" x14ac:dyDescent="0.2">
      <c r="A76">
        <v>48</v>
      </c>
      <c r="B76">
        <v>1.4632086989964583</v>
      </c>
      <c r="C76">
        <v>0.34698008008987191</v>
      </c>
      <c r="D76">
        <v>0.33285629130077254</v>
      </c>
      <c r="F76">
        <v>32.986111111111107</v>
      </c>
      <c r="G76">
        <v>-0.25809067214290327</v>
      </c>
    </row>
    <row r="77" spans="1:7" x14ac:dyDescent="0.2">
      <c r="A77">
        <v>49</v>
      </c>
      <c r="B77">
        <v>0.27598611202654777</v>
      </c>
      <c r="C77">
        <v>-1.1499158722605212</v>
      </c>
      <c r="D77">
        <v>-1.1031086639019494</v>
      </c>
      <c r="F77">
        <v>33.68055555555555</v>
      </c>
      <c r="G77">
        <v>-0.23417506109101072</v>
      </c>
    </row>
    <row r="78" spans="1:7" x14ac:dyDescent="0.2">
      <c r="A78">
        <v>50</v>
      </c>
      <c r="B78">
        <v>1.3369055746554175</v>
      </c>
      <c r="C78">
        <v>-0.55777014579154283</v>
      </c>
      <c r="D78">
        <v>-0.53506616886588054</v>
      </c>
      <c r="F78">
        <v>34.375</v>
      </c>
      <c r="G78">
        <v>-0.18651939975316809</v>
      </c>
    </row>
    <row r="79" spans="1:7" x14ac:dyDescent="0.2">
      <c r="A79">
        <v>51</v>
      </c>
      <c r="B79">
        <v>0.90396928783887676</v>
      </c>
      <c r="C79">
        <v>0.2212715971263115</v>
      </c>
      <c r="D79">
        <v>0.21226475932159011</v>
      </c>
      <c r="F79">
        <v>35.069444444444443</v>
      </c>
      <c r="G79">
        <v>-0.16023377056929605</v>
      </c>
    </row>
    <row r="80" spans="1:7" x14ac:dyDescent="0.2">
      <c r="A80">
        <v>52</v>
      </c>
      <c r="B80">
        <v>0.27067914784752189</v>
      </c>
      <c r="C80">
        <v>-1.3508221481470322</v>
      </c>
      <c r="D80">
        <v>-1.2958370703087754</v>
      </c>
      <c r="F80">
        <v>35.763888888888886</v>
      </c>
      <c r="G80">
        <v>-0.15960421366991845</v>
      </c>
    </row>
    <row r="81" spans="1:7" x14ac:dyDescent="0.2">
      <c r="A81">
        <v>53</v>
      </c>
      <c r="B81">
        <v>0.85403622648118971</v>
      </c>
      <c r="C81">
        <v>0.43927178187851068</v>
      </c>
      <c r="D81">
        <v>0.42139126877627014</v>
      </c>
      <c r="F81">
        <v>36.458333333333329</v>
      </c>
      <c r="G81">
        <v>-0.12574664360828455</v>
      </c>
    </row>
    <row r="82" spans="1:7" x14ac:dyDescent="0.2">
      <c r="A82">
        <v>54</v>
      </c>
      <c r="B82">
        <v>0.38495177710154888</v>
      </c>
      <c r="C82">
        <v>-0.7344718956374634</v>
      </c>
      <c r="D82">
        <v>-0.70457529199720226</v>
      </c>
      <c r="F82">
        <v>37.152777777777779</v>
      </c>
      <c r="G82">
        <v>-3.7635693365227305E-2</v>
      </c>
    </row>
    <row r="83" spans="1:7" x14ac:dyDescent="0.2">
      <c r="A83">
        <v>55</v>
      </c>
      <c r="B83">
        <v>1.182859846054827</v>
      </c>
      <c r="C83">
        <v>1.0109070922577021</v>
      </c>
      <c r="D83">
        <v>0.96975822211866636</v>
      </c>
      <c r="F83">
        <v>37.847222222222221</v>
      </c>
      <c r="G83">
        <v>-2.8872892422191813E-2</v>
      </c>
    </row>
    <row r="84" spans="1:7" x14ac:dyDescent="0.2">
      <c r="A84">
        <v>56</v>
      </c>
      <c r="B84">
        <v>0.35144463951907112</v>
      </c>
      <c r="C84">
        <v>-1.0598907451494974</v>
      </c>
      <c r="D84">
        <v>-1.0167480004128677</v>
      </c>
      <c r="F84">
        <v>38.541666666666664</v>
      </c>
      <c r="G84">
        <v>-2.1093949631446327E-2</v>
      </c>
    </row>
    <row r="85" spans="1:7" x14ac:dyDescent="0.2">
      <c r="A85">
        <v>57</v>
      </c>
      <c r="B85">
        <v>-0.48003628356747885</v>
      </c>
      <c r="C85">
        <v>-0.66253287511877568</v>
      </c>
      <c r="D85">
        <v>-0.63556454197530343</v>
      </c>
      <c r="F85">
        <v>39.236111111111107</v>
      </c>
      <c r="G85">
        <v>2.1744398396726858E-3</v>
      </c>
    </row>
    <row r="86" spans="1:7" x14ac:dyDescent="0.2">
      <c r="A86">
        <v>58</v>
      </c>
      <c r="B86">
        <v>9.9789759423390079E-2</v>
      </c>
      <c r="C86">
        <v>-1.5910200614248806</v>
      </c>
      <c r="D86">
        <v>-1.5262577520122924</v>
      </c>
      <c r="F86">
        <v>39.93055555555555</v>
      </c>
      <c r="G86">
        <v>1.3361896540353232E-2</v>
      </c>
    </row>
    <row r="87" spans="1:7" x14ac:dyDescent="0.2">
      <c r="A87">
        <v>59</v>
      </c>
      <c r="B87">
        <v>0.7228472307062449</v>
      </c>
      <c r="C87">
        <v>1.7482750564847205</v>
      </c>
      <c r="D87">
        <v>1.6771116985287093</v>
      </c>
      <c r="F87">
        <v>40.625</v>
      </c>
      <c r="G87">
        <v>1.5244628300109645E-2</v>
      </c>
    </row>
    <row r="88" spans="1:7" x14ac:dyDescent="0.2">
      <c r="A88">
        <v>60</v>
      </c>
      <c r="B88">
        <v>0.21026719431642882</v>
      </c>
      <c r="C88">
        <v>1.35297066049612</v>
      </c>
      <c r="D88">
        <v>1.2978981276817116</v>
      </c>
      <c r="F88">
        <v>41.319444444444443</v>
      </c>
      <c r="G88">
        <v>4.5162099813618559E-2</v>
      </c>
    </row>
    <row r="89" spans="1:7" x14ac:dyDescent="0.2">
      <c r="A89">
        <v>61</v>
      </c>
      <c r="B89">
        <v>9.3707339573938286E-2</v>
      </c>
      <c r="C89">
        <v>7.6798502317359435E-2</v>
      </c>
      <c r="D89">
        <v>7.3672427109328475E-2</v>
      </c>
      <c r="F89">
        <v>42.013888888888886</v>
      </c>
      <c r="G89">
        <v>5.5182858323510636E-2</v>
      </c>
    </row>
    <row r="90" spans="1:7" x14ac:dyDescent="0.2">
      <c r="A90">
        <v>62</v>
      </c>
      <c r="B90">
        <v>1.2695843348113787</v>
      </c>
      <c r="C90">
        <v>5.869081234237683E-2</v>
      </c>
      <c r="D90">
        <v>5.6301808808889568E-2</v>
      </c>
      <c r="F90">
        <v>42.708333333333329</v>
      </c>
      <c r="G90">
        <v>6.2862567183433013E-2</v>
      </c>
    </row>
    <row r="91" spans="1:7" x14ac:dyDescent="0.2">
      <c r="A91">
        <v>63</v>
      </c>
      <c r="B91">
        <v>0.78443730379980148</v>
      </c>
      <c r="C91">
        <v>-0.77107540725944823</v>
      </c>
      <c r="D91">
        <v>-0.73968886140995604</v>
      </c>
      <c r="F91">
        <v>43.402777777777779</v>
      </c>
      <c r="G91">
        <v>6.4450144874432388E-2</v>
      </c>
    </row>
    <row r="92" spans="1:7" x14ac:dyDescent="0.2">
      <c r="A92">
        <v>64</v>
      </c>
      <c r="B92">
        <v>0.30805275811912813</v>
      </c>
      <c r="C92">
        <v>-0.26289065830550956</v>
      </c>
      <c r="D92">
        <v>-0.25218972085811314</v>
      </c>
      <c r="F92">
        <v>44.097222222222221</v>
      </c>
      <c r="G92">
        <v>0.17050584189129772</v>
      </c>
    </row>
    <row r="93" spans="1:7" x14ac:dyDescent="0.2">
      <c r="A93">
        <v>65</v>
      </c>
      <c r="B93">
        <v>-0.47866289838432041</v>
      </c>
      <c r="C93">
        <v>-2.0493843852438447</v>
      </c>
      <c r="D93">
        <v>-1.9659644027556129</v>
      </c>
      <c r="F93">
        <v>44.791666666666664</v>
      </c>
      <c r="G93">
        <v>0.20128346879376346</v>
      </c>
    </row>
    <row r="94" spans="1:7" x14ac:dyDescent="0.2">
      <c r="A94">
        <v>66</v>
      </c>
      <c r="B94">
        <v>-0.97986786855885177</v>
      </c>
      <c r="C94">
        <v>0.1288828285429604</v>
      </c>
      <c r="D94">
        <v>0.12363666614536398</v>
      </c>
      <c r="F94">
        <v>45.486111111111107</v>
      </c>
      <c r="G94">
        <v>0.25176219913533959</v>
      </c>
    </row>
    <row r="95" spans="1:7" x14ac:dyDescent="0.2">
      <c r="A95">
        <v>67</v>
      </c>
      <c r="B95">
        <v>-2.571866159468561E-2</v>
      </c>
      <c r="C95">
        <v>-2.478979002572077</v>
      </c>
      <c r="D95">
        <v>-2.3780724149781389</v>
      </c>
      <c r="F95">
        <v>46.18055555555555</v>
      </c>
      <c r="G95">
        <v>0.27937046819359035</v>
      </c>
    </row>
    <row r="96" spans="1:7" x14ac:dyDescent="0.2">
      <c r="A96">
        <v>68</v>
      </c>
      <c r="B96">
        <v>0.72208416966341082</v>
      </c>
      <c r="C96">
        <v>-2.0014372764830384</v>
      </c>
      <c r="D96">
        <v>-1.9199689761692134</v>
      </c>
      <c r="F96">
        <v>46.875</v>
      </c>
      <c r="G96">
        <v>0.29248739326307094</v>
      </c>
    </row>
    <row r="97" spans="1:7" x14ac:dyDescent="0.2">
      <c r="A97">
        <v>69</v>
      </c>
      <c r="B97">
        <v>0.45399008792042628</v>
      </c>
      <c r="C97">
        <v>0.86618280468395781</v>
      </c>
      <c r="D97">
        <v>0.83092492191749678</v>
      </c>
      <c r="F97">
        <v>47.569444444444443</v>
      </c>
      <c r="G97">
        <v>0.32195109833132546</v>
      </c>
    </row>
    <row r="98" spans="1:7" x14ac:dyDescent="0.2">
      <c r="A98">
        <v>70</v>
      </c>
      <c r="B98">
        <v>0.49635969124204582</v>
      </c>
      <c r="C98">
        <v>-1.3363476767982159</v>
      </c>
      <c r="D98">
        <v>-1.2819517808406928</v>
      </c>
      <c r="F98">
        <v>48.263888888888886</v>
      </c>
      <c r="G98">
        <v>0.3416951439283733</v>
      </c>
    </row>
    <row r="99" spans="1:7" x14ac:dyDescent="0.2">
      <c r="A99">
        <v>71</v>
      </c>
      <c r="B99">
        <v>0.79476616961771718</v>
      </c>
      <c r="C99">
        <v>0.51253360486470301</v>
      </c>
      <c r="D99">
        <v>0.49167097672607957</v>
      </c>
      <c r="F99">
        <v>48.958333333333329</v>
      </c>
      <c r="G99">
        <v>0.3941440510082177</v>
      </c>
    </row>
    <row r="100" spans="1:7" x14ac:dyDescent="0.2">
      <c r="A100">
        <v>72</v>
      </c>
      <c r="B100">
        <v>1.0908478691319723</v>
      </c>
      <c r="C100">
        <v>-0.29154743657362359</v>
      </c>
      <c r="D100">
        <v>-0.27968002788807983</v>
      </c>
      <c r="F100">
        <v>49.652777777777779</v>
      </c>
      <c r="G100">
        <v>0.39463790345239053</v>
      </c>
    </row>
    <row r="101" spans="1:7" x14ac:dyDescent="0.2">
      <c r="A101">
        <v>73</v>
      </c>
      <c r="B101">
        <v>1.1334779672184614</v>
      </c>
      <c r="C101">
        <v>-1.1545719168499078</v>
      </c>
      <c r="D101">
        <v>-1.1075751846709596</v>
      </c>
      <c r="F101">
        <v>50.347222222222221</v>
      </c>
      <c r="G101">
        <v>0.44664249623499269</v>
      </c>
    </row>
    <row r="102" spans="1:7" x14ac:dyDescent="0.2">
      <c r="A102">
        <v>74</v>
      </c>
      <c r="B102">
        <v>-1.6707061500445506</v>
      </c>
      <c r="C102">
        <v>-2.4819886742928605</v>
      </c>
      <c r="D102">
        <v>-2.3809595783183322</v>
      </c>
      <c r="F102">
        <v>51.041666666666664</v>
      </c>
      <c r="G102">
        <v>0.44906329589973976</v>
      </c>
    </row>
    <row r="103" spans="1:7" x14ac:dyDescent="0.2">
      <c r="A103">
        <v>75</v>
      </c>
      <c r="B103">
        <v>-8.3536375906928164</v>
      </c>
      <c r="C103">
        <v>1.3489091013256287</v>
      </c>
      <c r="D103">
        <v>1.2940018938632221</v>
      </c>
      <c r="F103">
        <v>51.736111111111107</v>
      </c>
      <c r="G103">
        <v>0.51269214936388086</v>
      </c>
    </row>
    <row r="104" spans="1:7" x14ac:dyDescent="0.2">
      <c r="A104">
        <v>76</v>
      </c>
      <c r="B104">
        <v>4.4677165131678516</v>
      </c>
      <c r="C104">
        <v>3.4165730477841549E-2</v>
      </c>
      <c r="D104">
        <v>3.2775017901576817E-2</v>
      </c>
      <c r="F104">
        <v>52.43055555555555</v>
      </c>
      <c r="G104">
        <v>0.54311279831289316</v>
      </c>
    </row>
    <row r="105" spans="1:7" x14ac:dyDescent="0.2">
      <c r="A105">
        <v>77</v>
      </c>
      <c r="B105">
        <v>1.6599182888535073</v>
      </c>
      <c r="C105">
        <v>1.0470997786730452</v>
      </c>
      <c r="D105">
        <v>1.0044776889229354</v>
      </c>
      <c r="F105">
        <v>53.125</v>
      </c>
      <c r="G105">
        <v>0.64991632276644051</v>
      </c>
    </row>
    <row r="106" spans="1:7" x14ac:dyDescent="0.2">
      <c r="A106">
        <v>78</v>
      </c>
      <c r="B106">
        <v>0.59661382728548618</v>
      </c>
      <c r="C106">
        <v>0.86044614222698423</v>
      </c>
      <c r="D106">
        <v>0.8254217697210422</v>
      </c>
      <c r="F106">
        <v>53.819444444444443</v>
      </c>
      <c r="G106">
        <v>0.74520035393408268</v>
      </c>
    </row>
    <row r="107" spans="1:7" x14ac:dyDescent="0.2">
      <c r="A107">
        <v>79</v>
      </c>
      <c r="B107">
        <v>1.9953592411158814</v>
      </c>
      <c r="C107">
        <v>-2.4482314334258066</v>
      </c>
      <c r="D107">
        <v>-2.3485764224995771</v>
      </c>
      <c r="F107">
        <v>54.513888888888886</v>
      </c>
      <c r="G107">
        <v>0.76476526172699799</v>
      </c>
    </row>
    <row r="108" spans="1:7" x14ac:dyDescent="0.2">
      <c r="A108">
        <v>80</v>
      </c>
      <c r="B108">
        <v>0.10800249882360591</v>
      </c>
      <c r="C108">
        <v>1.3666476624082915</v>
      </c>
      <c r="D108">
        <v>1.3110184086252743</v>
      </c>
      <c r="F108">
        <v>55.208333333333329</v>
      </c>
      <c r="G108">
        <v>0.76715041455256716</v>
      </c>
    </row>
    <row r="109" spans="1:7" x14ac:dyDescent="0.2">
      <c r="A109">
        <v>81</v>
      </c>
      <c r="B109">
        <v>-0.47117512501987691</v>
      </c>
      <c r="C109">
        <v>0.1505759509457118</v>
      </c>
      <c r="D109">
        <v>0.14444677221209637</v>
      </c>
      <c r="F109">
        <v>55.902777777777779</v>
      </c>
      <c r="G109">
        <v>0.77913542886387466</v>
      </c>
    </row>
    <row r="110" spans="1:7" x14ac:dyDescent="0.2">
      <c r="A110">
        <v>82</v>
      </c>
      <c r="B110">
        <v>-0.37317475237483855</v>
      </c>
      <c r="C110">
        <v>-1.5270034485580952</v>
      </c>
      <c r="D110">
        <v>-1.4648469288464312</v>
      </c>
      <c r="F110">
        <v>56.597222222222221</v>
      </c>
      <c r="G110">
        <v>0.79790760681101336</v>
      </c>
    </row>
    <row r="111" spans="1:7" x14ac:dyDescent="0.2">
      <c r="A111">
        <v>83</v>
      </c>
      <c r="B111">
        <v>2.7732764534853596</v>
      </c>
      <c r="C111">
        <v>2.8134258429674013</v>
      </c>
      <c r="D111">
        <v>2.6989056308284991</v>
      </c>
      <c r="F111">
        <v>57.291666666666664</v>
      </c>
      <c r="G111">
        <v>0.79930043255834871</v>
      </c>
    </row>
    <row r="112" spans="1:7" x14ac:dyDescent="0.2">
      <c r="A112">
        <v>84</v>
      </c>
      <c r="B112">
        <v>1.1558762904121263</v>
      </c>
      <c r="C112">
        <v>0.69607722890684443</v>
      </c>
      <c r="D112">
        <v>0.66774347626192188</v>
      </c>
      <c r="F112">
        <v>57.986111111111107</v>
      </c>
      <c r="G112">
        <v>0.80909571022157933</v>
      </c>
    </row>
    <row r="113" spans="1:7" x14ac:dyDescent="0.2">
      <c r="A113">
        <v>85</v>
      </c>
      <c r="B113">
        <v>-0.76387036441518419</v>
      </c>
      <c r="C113">
        <v>4.2730016718433128E-2</v>
      </c>
      <c r="D113">
        <v>4.099069574378375E-2</v>
      </c>
      <c r="F113">
        <v>58.68055555555555</v>
      </c>
      <c r="G113">
        <v>0.8173714702258239</v>
      </c>
    </row>
    <row r="114" spans="1:7" x14ac:dyDescent="0.2">
      <c r="A114">
        <v>86</v>
      </c>
      <c r="B114">
        <v>-1.0796501334162263</v>
      </c>
      <c r="C114">
        <v>1.0507772409940346</v>
      </c>
      <c r="D114">
        <v>1.0080054605150275</v>
      </c>
      <c r="F114">
        <v>59.375</v>
      </c>
      <c r="G114">
        <v>0.8220675256694463</v>
      </c>
    </row>
    <row r="115" spans="1:7" x14ac:dyDescent="0.2">
      <c r="A115">
        <v>87</v>
      </c>
      <c r="B115">
        <v>0.61013912605333354</v>
      </c>
      <c r="C115">
        <v>1.5452758114197123</v>
      </c>
      <c r="D115">
        <v>1.4823755170404407</v>
      </c>
      <c r="F115">
        <v>60.069444444444443</v>
      </c>
      <c r="G115">
        <v>0.94080499762717185</v>
      </c>
    </row>
    <row r="116" spans="1:7" x14ac:dyDescent="0.2">
      <c r="A116">
        <v>88</v>
      </c>
      <c r="B116">
        <v>0.73555591998441672</v>
      </c>
      <c r="C116">
        <v>1.5754156937961774</v>
      </c>
      <c r="D116">
        <v>1.5112885585772149</v>
      </c>
      <c r="F116">
        <v>60.763888888888886</v>
      </c>
      <c r="G116">
        <v>0.98384974618307341</v>
      </c>
    </row>
    <row r="117" spans="1:7" x14ac:dyDescent="0.2">
      <c r="A117">
        <v>89</v>
      </c>
      <c r="B117">
        <v>0.6533080350248186</v>
      </c>
      <c r="C117">
        <v>-0.40154583588947901</v>
      </c>
      <c r="D117">
        <v>-0.3852009535729598</v>
      </c>
      <c r="F117">
        <v>61.458333333333329</v>
      </c>
      <c r="G117">
        <v>1.084910181769061</v>
      </c>
    </row>
    <row r="118" spans="1:7" x14ac:dyDescent="0.2">
      <c r="A118">
        <v>90</v>
      </c>
      <c r="B118">
        <v>1.0081512225015998</v>
      </c>
      <c r="C118">
        <v>0.18536077217613789</v>
      </c>
      <c r="D118">
        <v>0.17781568084028354</v>
      </c>
      <c r="F118">
        <v>62.152777777777771</v>
      </c>
      <c r="G118">
        <v>1.088562294937061</v>
      </c>
    </row>
    <row r="119" spans="1:7" x14ac:dyDescent="0.2">
      <c r="A119">
        <v>91</v>
      </c>
      <c r="B119">
        <v>1.0431628151671997</v>
      </c>
      <c r="C119">
        <v>4.5399479769861362E-2</v>
      </c>
      <c r="D119">
        <v>4.3551498573827195E-2</v>
      </c>
      <c r="F119">
        <v>62.847222222222221</v>
      </c>
      <c r="G119">
        <v>1.1252408849651883</v>
      </c>
    </row>
    <row r="120" spans="1:7" x14ac:dyDescent="0.2">
      <c r="A120">
        <v>92</v>
      </c>
      <c r="B120">
        <v>0.49303776709347868</v>
      </c>
      <c r="C120">
        <v>0.98687896825571486</v>
      </c>
      <c r="D120">
        <v>0.94670816045476613</v>
      </c>
      <c r="F120">
        <v>63.541666666666664</v>
      </c>
      <c r="G120">
        <v>1.1573512190828252</v>
      </c>
    </row>
    <row r="121" spans="1:7" x14ac:dyDescent="0.2">
      <c r="A121">
        <v>93</v>
      </c>
      <c r="B121">
        <v>-0.92175997965883694</v>
      </c>
      <c r="C121">
        <v>-0.40947193968593343</v>
      </c>
      <c r="D121">
        <v>-0.39280442612236222</v>
      </c>
      <c r="F121">
        <v>64.236111111111114</v>
      </c>
      <c r="G121">
        <v>1.1607317321410837</v>
      </c>
    </row>
    <row r="122" spans="1:7" x14ac:dyDescent="0.2">
      <c r="A122">
        <v>94</v>
      </c>
      <c r="B122">
        <v>0.59578823756845967</v>
      </c>
      <c r="C122">
        <v>1.1172238712063853</v>
      </c>
      <c r="D122">
        <v>1.0717473874181174</v>
      </c>
      <c r="F122">
        <v>64.930555555555557</v>
      </c>
      <c r="G122">
        <v>1.1935119946777377</v>
      </c>
    </row>
    <row r="123" spans="1:7" x14ac:dyDescent="0.2">
      <c r="A123">
        <v>95</v>
      </c>
      <c r="B123">
        <v>-0.19759804666258374</v>
      </c>
      <c r="C123">
        <v>0.53929319059095704</v>
      </c>
      <c r="D123">
        <v>0.5173413162432039</v>
      </c>
      <c r="F123">
        <v>65.625</v>
      </c>
      <c r="G123">
        <v>1.2933080083597004</v>
      </c>
    </row>
    <row r="124" spans="1:7" x14ac:dyDescent="0.2">
      <c r="A124">
        <v>96</v>
      </c>
      <c r="B124">
        <v>0.69282526226212759</v>
      </c>
      <c r="C124">
        <v>0.66646783087098749</v>
      </c>
      <c r="D124">
        <v>0.63933932575474872</v>
      </c>
      <c r="F124">
        <v>66.319444444444443</v>
      </c>
      <c r="G124">
        <v>1.3006576888791135</v>
      </c>
    </row>
    <row r="125" spans="1:7" x14ac:dyDescent="0.2">
      <c r="A125">
        <v>97</v>
      </c>
      <c r="B125">
        <v>-2.2602648452761405</v>
      </c>
      <c r="C125">
        <v>3.4529845340771637E-3</v>
      </c>
      <c r="D125">
        <v>3.3124311506129004E-3</v>
      </c>
      <c r="F125">
        <v>67.013888888888886</v>
      </c>
      <c r="G125">
        <v>1.3072997744824202</v>
      </c>
    </row>
    <row r="126" spans="1:7" x14ac:dyDescent="0.2">
      <c r="A126">
        <v>98</v>
      </c>
      <c r="B126">
        <v>-1.709834882534391</v>
      </c>
      <c r="C126">
        <v>0.60261387969363933</v>
      </c>
      <c r="D126">
        <v>0.57808454315083779</v>
      </c>
      <c r="F126">
        <v>67.708333333333343</v>
      </c>
      <c r="G126">
        <v>1.3201728926043841</v>
      </c>
    </row>
    <row r="127" spans="1:7" x14ac:dyDescent="0.2">
      <c r="A127">
        <v>99</v>
      </c>
      <c r="B127">
        <v>-4.4063857224729719E-2</v>
      </c>
      <c r="C127">
        <v>2.0406127904559117</v>
      </c>
      <c r="D127">
        <v>1.9575498548393513</v>
      </c>
      <c r="F127">
        <v>68.402777777777786</v>
      </c>
      <c r="G127">
        <v>1.3282751471537555</v>
      </c>
    </row>
    <row r="128" spans="1:7" x14ac:dyDescent="0.2">
      <c r="A128">
        <v>100</v>
      </c>
      <c r="B128">
        <v>-3.1624713505079329</v>
      </c>
      <c r="C128">
        <v>1.4460925846409984</v>
      </c>
      <c r="D128">
        <v>1.3872295333970708</v>
      </c>
      <c r="F128">
        <v>69.097222222222229</v>
      </c>
      <c r="G128">
        <v>1.3592930931331151</v>
      </c>
    </row>
    <row r="129" spans="1:7" x14ac:dyDescent="0.2">
      <c r="A129">
        <v>101</v>
      </c>
      <c r="B129">
        <v>-0.31857784104360631</v>
      </c>
      <c r="C129">
        <v>-0.50180981472391784</v>
      </c>
      <c r="D129">
        <v>-0.48138369736979775</v>
      </c>
      <c r="F129">
        <v>69.791666666666671</v>
      </c>
      <c r="G129">
        <v>1.3893836371301047</v>
      </c>
    </row>
    <row r="130" spans="1:7" x14ac:dyDescent="0.2">
      <c r="A130">
        <v>102</v>
      </c>
      <c r="B130">
        <v>-4.0922373978912923</v>
      </c>
      <c r="C130">
        <v>0.40471318658406474</v>
      </c>
      <c r="D130">
        <v>0.38823937758040039</v>
      </c>
      <c r="F130">
        <v>70.486111111111114</v>
      </c>
      <c r="G130">
        <v>1.4570599695124704</v>
      </c>
    </row>
    <row r="131" spans="1:7" x14ac:dyDescent="0.2">
      <c r="A131">
        <v>103</v>
      </c>
      <c r="B131">
        <v>4.0983852493097945</v>
      </c>
      <c r="C131">
        <v>-0.27689636315284982</v>
      </c>
      <c r="D131">
        <v>-0.26562532491737628</v>
      </c>
      <c r="F131">
        <v>71.180555555555557</v>
      </c>
      <c r="G131">
        <v>1.4746501612318974</v>
      </c>
    </row>
    <row r="132" spans="1:7" x14ac:dyDescent="0.2">
      <c r="A132">
        <v>104</v>
      </c>
      <c r="B132">
        <v>-4.3212468272273039</v>
      </c>
      <c r="C132">
        <v>2.494451908154649</v>
      </c>
      <c r="D132">
        <v>2.3929154975162721</v>
      </c>
      <c r="F132">
        <v>71.875</v>
      </c>
      <c r="G132">
        <v>1.4799167353491935</v>
      </c>
    </row>
    <row r="133" spans="1:7" x14ac:dyDescent="0.2">
      <c r="A133">
        <v>105</v>
      </c>
      <c r="B133">
        <v>-4.1776832684020047</v>
      </c>
      <c r="C133">
        <v>-0.50917663118318579</v>
      </c>
      <c r="D133">
        <v>-0.48845064831606044</v>
      </c>
      <c r="F133">
        <v>72.569444444444443</v>
      </c>
      <c r="G133">
        <v>1.5120608050198472</v>
      </c>
    </row>
    <row r="134" spans="1:7" x14ac:dyDescent="0.2">
      <c r="A134">
        <v>106</v>
      </c>
      <c r="B134">
        <v>2.4092533880479055</v>
      </c>
      <c r="C134">
        <v>-0.16509644411285418</v>
      </c>
      <c r="D134">
        <v>-0.15837621018508133</v>
      </c>
      <c r="F134">
        <v>73.263888888888886</v>
      </c>
      <c r="G134">
        <v>1.5632378548125487</v>
      </c>
    </row>
    <row r="135" spans="1:7" x14ac:dyDescent="0.2">
      <c r="A135">
        <v>107</v>
      </c>
      <c r="B135">
        <v>2.1565107346087986</v>
      </c>
      <c r="C135">
        <v>0.36335739913249165</v>
      </c>
      <c r="D135">
        <v>0.34856697324125735</v>
      </c>
      <c r="F135">
        <v>73.958333333333343</v>
      </c>
      <c r="G135">
        <v>1.5752476292840976</v>
      </c>
    </row>
    <row r="136" spans="1:7" x14ac:dyDescent="0.2">
      <c r="A136">
        <v>108</v>
      </c>
      <c r="B136">
        <v>-0.5888438049054574</v>
      </c>
      <c r="C136">
        <v>-0.79619609645305567</v>
      </c>
      <c r="D136">
        <v>-0.76378701551072692</v>
      </c>
      <c r="F136">
        <v>74.652777777777786</v>
      </c>
      <c r="G136">
        <v>1.7130121087748451</v>
      </c>
    </row>
    <row r="137" spans="1:7" x14ac:dyDescent="0.2">
      <c r="A137">
        <v>109</v>
      </c>
      <c r="B137">
        <v>2.4342611993797973</v>
      </c>
      <c r="C137">
        <v>0.63561018335803698</v>
      </c>
      <c r="D137">
        <v>0.60973773563820122</v>
      </c>
      <c r="F137">
        <v>75.347222222222229</v>
      </c>
      <c r="G137">
        <v>1.8101887790863302</v>
      </c>
    </row>
    <row r="138" spans="1:7" x14ac:dyDescent="0.2">
      <c r="A138">
        <v>110</v>
      </c>
      <c r="B138">
        <v>-1.330862056414053</v>
      </c>
      <c r="C138">
        <v>1.170628285844757</v>
      </c>
      <c r="D138">
        <v>1.1229779808026508</v>
      </c>
      <c r="F138">
        <v>76.041666666666671</v>
      </c>
      <c r="G138">
        <v>1.8519535193189707</v>
      </c>
    </row>
    <row r="139" spans="1:7" x14ac:dyDescent="0.2">
      <c r="A139">
        <v>111</v>
      </c>
      <c r="B139">
        <v>0.85701314797569172</v>
      </c>
      <c r="C139">
        <v>-1.115103820118595</v>
      </c>
      <c r="D139">
        <v>-1.0697136327937387</v>
      </c>
      <c r="F139">
        <v>76.736111111111114</v>
      </c>
      <c r="G139">
        <v>1.9551601207275044</v>
      </c>
    </row>
    <row r="140" spans="1:7" x14ac:dyDescent="0.2">
      <c r="A140">
        <v>112</v>
      </c>
      <c r="B140">
        <v>0.40104934325120922</v>
      </c>
      <c r="C140">
        <v>0.53975565437596262</v>
      </c>
      <c r="D140">
        <v>0.51778495548698411</v>
      </c>
      <c r="F140">
        <v>77.430555555555557</v>
      </c>
      <c r="G140">
        <v>1.9636320377819911</v>
      </c>
    </row>
    <row r="141" spans="1:7" x14ac:dyDescent="0.2">
      <c r="A141">
        <v>113</v>
      </c>
      <c r="B141">
        <v>-1.0666086843434233</v>
      </c>
      <c r="C141">
        <v>-0.41500358449685804</v>
      </c>
      <c r="D141">
        <v>-0.39811090589515097</v>
      </c>
      <c r="F141">
        <v>78.125</v>
      </c>
      <c r="G141">
        <v>1.9965489332311821</v>
      </c>
    </row>
    <row r="142" spans="1:7" x14ac:dyDescent="0.2">
      <c r="A142">
        <v>114</v>
      </c>
      <c r="B142">
        <v>0.30304479531562933</v>
      </c>
      <c r="C142">
        <v>0.46410561923693783</v>
      </c>
      <c r="D142">
        <v>0.44521424731657028</v>
      </c>
      <c r="F142">
        <v>78.819444444444443</v>
      </c>
      <c r="G142">
        <v>2.1127325139720563</v>
      </c>
    </row>
    <row r="143" spans="1:7" x14ac:dyDescent="0.2">
      <c r="A143">
        <v>115</v>
      </c>
      <c r="B143">
        <v>1.5905710055360167</v>
      </c>
      <c r="C143">
        <v>0.37306103224597442</v>
      </c>
      <c r="D143">
        <v>0.35787562095803882</v>
      </c>
      <c r="F143">
        <v>79.513888888888886</v>
      </c>
      <c r="G143">
        <v>2.1320616401803507</v>
      </c>
    </row>
    <row r="144" spans="1:7" x14ac:dyDescent="0.2">
      <c r="A144">
        <v>116</v>
      </c>
      <c r="B144">
        <v>0.26501793407431251</v>
      </c>
      <c r="C144">
        <v>-0.89025540343282694</v>
      </c>
      <c r="D144">
        <v>-0.85401764798824076</v>
      </c>
      <c r="F144">
        <v>80.208333333333343</v>
      </c>
      <c r="G144">
        <v>2.1528110708148573</v>
      </c>
    </row>
    <row r="145" spans="1:7" x14ac:dyDescent="0.2">
      <c r="A145">
        <v>117</v>
      </c>
      <c r="B145">
        <v>-0.12721775207433694</v>
      </c>
      <c r="C145">
        <v>0.40658822026792729</v>
      </c>
      <c r="D145">
        <v>0.39003808820930125</v>
      </c>
      <c r="F145">
        <v>80.902777777777786</v>
      </c>
      <c r="G145">
        <v>2.1554149374730458</v>
      </c>
    </row>
    <row r="146" spans="1:7" x14ac:dyDescent="0.2">
      <c r="A146">
        <v>118</v>
      </c>
      <c r="B146">
        <v>-0.19603633759699868</v>
      </c>
      <c r="C146">
        <v>-1.506430662704656</v>
      </c>
      <c r="D146">
        <v>-1.4451115561439776</v>
      </c>
      <c r="F146">
        <v>81.597222222222229</v>
      </c>
      <c r="G146">
        <v>2.1937669383125291</v>
      </c>
    </row>
    <row r="147" spans="1:7" x14ac:dyDescent="0.2">
      <c r="A147">
        <v>119</v>
      </c>
      <c r="B147">
        <v>3.0934069602710665</v>
      </c>
      <c r="C147">
        <v>7.3280396027449957E-2</v>
      </c>
      <c r="D147">
        <v>7.0297524977315937E-2</v>
      </c>
      <c r="F147">
        <v>82.291666666666671</v>
      </c>
      <c r="G147">
        <v>2.2441569439350513</v>
      </c>
    </row>
    <row r="148" spans="1:7" x14ac:dyDescent="0.2">
      <c r="A148">
        <v>120</v>
      </c>
      <c r="B148">
        <v>3.2668530348725442</v>
      </c>
      <c r="C148">
        <v>0.31321834474480781</v>
      </c>
      <c r="D148">
        <v>0.3004688239512765</v>
      </c>
      <c r="F148">
        <v>82.986111111111114</v>
      </c>
      <c r="G148">
        <v>2.3109716137805942</v>
      </c>
    </row>
    <row r="149" spans="1:7" x14ac:dyDescent="0.2">
      <c r="A149">
        <v>121</v>
      </c>
      <c r="B149">
        <v>-0.23038002531230223</v>
      </c>
      <c r="C149">
        <v>0.28556288363581284</v>
      </c>
      <c r="D149">
        <v>0.27393907556754066</v>
      </c>
      <c r="F149">
        <v>83.680555555555557</v>
      </c>
      <c r="G149">
        <v>2.3644571963769208</v>
      </c>
    </row>
    <row r="150" spans="1:7" x14ac:dyDescent="0.2">
      <c r="A150">
        <v>122</v>
      </c>
      <c r="B150">
        <v>0.14630087637221589</v>
      </c>
      <c r="C150">
        <v>0.67107059385360801</v>
      </c>
      <c r="D150">
        <v>0.64375473373936476</v>
      </c>
      <c r="F150">
        <v>84.375</v>
      </c>
      <c r="G150">
        <v>2.3878145236429944</v>
      </c>
    </row>
    <row r="151" spans="1:7" x14ac:dyDescent="0.2">
      <c r="A151">
        <v>123</v>
      </c>
      <c r="B151">
        <v>1.2148813391040743</v>
      </c>
      <c r="C151">
        <v>1.3194354560674695</v>
      </c>
      <c r="D151">
        <v>1.2657279703307691</v>
      </c>
      <c r="F151">
        <v>85.069444444444443</v>
      </c>
      <c r="G151">
        <v>2.4047017706743326</v>
      </c>
    </row>
    <row r="152" spans="1:7" x14ac:dyDescent="0.2">
      <c r="A152">
        <v>124</v>
      </c>
      <c r="B152">
        <v>-0.63025444526092134</v>
      </c>
      <c r="C152">
        <v>0.13375847250252981</v>
      </c>
      <c r="D152">
        <v>0.12831384751457958</v>
      </c>
      <c r="F152">
        <v>85.763888888888886</v>
      </c>
      <c r="G152">
        <v>2.4711222871909655</v>
      </c>
    </row>
    <row r="153" spans="1:7" x14ac:dyDescent="0.2">
      <c r="A153">
        <v>125</v>
      </c>
      <c r="B153">
        <v>1.049937344589948</v>
      </c>
      <c r="C153">
        <v>0.1074138744928772</v>
      </c>
      <c r="D153">
        <v>0.10304160368135602</v>
      </c>
      <c r="F153">
        <v>86.458333333333343</v>
      </c>
      <c r="G153">
        <v>2.5118747000438195</v>
      </c>
    </row>
    <row r="154" spans="1:7" x14ac:dyDescent="0.2">
      <c r="A154">
        <v>126</v>
      </c>
      <c r="B154">
        <v>0.74271433444470647</v>
      </c>
      <c r="C154">
        <v>0.41801739769637725</v>
      </c>
      <c r="D154">
        <v>0.40100204213561019</v>
      </c>
      <c r="F154">
        <v>87.152777777777786</v>
      </c>
      <c r="G154">
        <v>2.5198681337412903</v>
      </c>
    </row>
    <row r="155" spans="1:7" x14ac:dyDescent="0.2">
      <c r="A155">
        <v>127</v>
      </c>
      <c r="B155">
        <v>1.3211221838797966</v>
      </c>
      <c r="C155">
        <v>-0.33727243769672322</v>
      </c>
      <c r="D155">
        <v>-0.32354379750164519</v>
      </c>
      <c r="F155">
        <v>87.847222222222229</v>
      </c>
      <c r="G155">
        <v>2.5257042870557784</v>
      </c>
    </row>
    <row r="156" spans="1:7" x14ac:dyDescent="0.2">
      <c r="A156">
        <v>128</v>
      </c>
      <c r="B156">
        <v>0.95875627274881592</v>
      </c>
      <c r="C156">
        <v>-0.75747280395505245</v>
      </c>
      <c r="D156">
        <v>-0.72663995068642373</v>
      </c>
      <c r="F156">
        <v>88.541666666666671</v>
      </c>
      <c r="G156">
        <v>2.5343167951715437</v>
      </c>
    </row>
    <row r="157" spans="1:7" x14ac:dyDescent="0.2">
      <c r="A157">
        <v>129</v>
      </c>
      <c r="B157">
        <v>0.85839380099626927</v>
      </c>
      <c r="C157">
        <v>-0.7955312338128363</v>
      </c>
      <c r="D157">
        <v>-0.76314921603650199</v>
      </c>
      <c r="F157">
        <v>89.236111111111114</v>
      </c>
      <c r="G157">
        <v>2.6303236664701828</v>
      </c>
    </row>
    <row r="158" spans="1:7" x14ac:dyDescent="0.2">
      <c r="A158">
        <v>130</v>
      </c>
      <c r="B158">
        <v>-0.71458542045505191</v>
      </c>
      <c r="C158">
        <v>0.72983004875516155</v>
      </c>
      <c r="D158">
        <v>0.70012239101905716</v>
      </c>
      <c r="F158">
        <v>89.930555555555557</v>
      </c>
      <c r="G158">
        <v>2.6535892327475388</v>
      </c>
    </row>
    <row r="159" spans="1:7" x14ac:dyDescent="0.2">
      <c r="A159">
        <v>131</v>
      </c>
      <c r="B159">
        <v>1.4114251316910948</v>
      </c>
      <c r="C159">
        <v>1.1004495683527247</v>
      </c>
      <c r="D159">
        <v>1.0556558808521519</v>
      </c>
      <c r="F159">
        <v>90.625</v>
      </c>
      <c r="G159">
        <v>2.664630651168546</v>
      </c>
    </row>
    <row r="160" spans="1:7" x14ac:dyDescent="0.2">
      <c r="A160">
        <v>132</v>
      </c>
      <c r="B160">
        <v>5.4151539977788321E-2</v>
      </c>
      <c r="C160">
        <v>-0.78462429943900847</v>
      </c>
      <c r="D160">
        <v>-0.75268624731451395</v>
      </c>
      <c r="F160">
        <v>91.319444444444443</v>
      </c>
      <c r="G160">
        <v>2.683391280512204</v>
      </c>
    </row>
    <row r="161" spans="1:7" x14ac:dyDescent="0.2">
      <c r="A161">
        <v>133</v>
      </c>
      <c r="B161">
        <v>0.94736220966993334</v>
      </c>
      <c r="C161">
        <v>1.7172684414986126</v>
      </c>
      <c r="D161">
        <v>1.6473672046448136</v>
      </c>
      <c r="F161">
        <v>92.013888888888886</v>
      </c>
      <c r="G161">
        <v>2.7070180675265525</v>
      </c>
    </row>
    <row r="162" spans="1:7" x14ac:dyDescent="0.2">
      <c r="A162">
        <v>134</v>
      </c>
      <c r="B162">
        <v>0.46267202630534865</v>
      </c>
      <c r="C162">
        <v>-1.1024776157484639</v>
      </c>
      <c r="D162">
        <v>-1.0576013767853856</v>
      </c>
      <c r="F162">
        <v>92.708333333333343</v>
      </c>
      <c r="G162">
        <v>2.8438546235537174</v>
      </c>
    </row>
    <row r="163" spans="1:7" x14ac:dyDescent="0.2">
      <c r="A163">
        <v>135</v>
      </c>
      <c r="B163">
        <v>-0.98187939603826635</v>
      </c>
      <c r="C163">
        <v>-1.5861777037969897</v>
      </c>
      <c r="D163">
        <v>-1.5216125020580176</v>
      </c>
      <c r="F163">
        <v>93.402777777777786</v>
      </c>
      <c r="G163">
        <v>2.8609360739223297</v>
      </c>
    </row>
    <row r="164" spans="1:7" x14ac:dyDescent="0.2">
      <c r="A164">
        <v>136</v>
      </c>
      <c r="B164">
        <v>0.65018035759753112</v>
      </c>
      <c r="C164">
        <v>-0.7759270012058157</v>
      </c>
      <c r="D164">
        <v>-0.74434297171930541</v>
      </c>
      <c r="F164">
        <v>94.097222222222229</v>
      </c>
      <c r="G164">
        <v>3.0698713827378343</v>
      </c>
    </row>
    <row r="165" spans="1:7" x14ac:dyDescent="0.2">
      <c r="A165">
        <v>137</v>
      </c>
      <c r="B165">
        <v>0.57792581356776151</v>
      </c>
      <c r="C165">
        <v>1.8098887100752328</v>
      </c>
      <c r="D165">
        <v>1.7362173746306817</v>
      </c>
      <c r="F165">
        <v>94.791666666666671</v>
      </c>
      <c r="G165">
        <v>3.1095108983661892</v>
      </c>
    </row>
    <row r="166" spans="1:7" x14ac:dyDescent="0.2">
      <c r="A166">
        <v>138</v>
      </c>
      <c r="B166">
        <v>1.1069494147666981</v>
      </c>
      <c r="C166">
        <v>0.19370827411241542</v>
      </c>
      <c r="D166">
        <v>0.18582339856118466</v>
      </c>
      <c r="F166">
        <v>95.486111111111114</v>
      </c>
      <c r="G166">
        <v>3.1666873562985165</v>
      </c>
    </row>
    <row r="167" spans="1:7" x14ac:dyDescent="0.2">
      <c r="A167">
        <v>139</v>
      </c>
      <c r="B167">
        <v>0.71197595761713117</v>
      </c>
      <c r="C167">
        <v>1.6524812387597896</v>
      </c>
      <c r="D167">
        <v>1.5852171583891026</v>
      </c>
      <c r="F167">
        <v>96.180555555555557</v>
      </c>
      <c r="G167">
        <v>3.3950819422879635</v>
      </c>
    </row>
    <row r="168" spans="1:7" x14ac:dyDescent="0.2">
      <c r="A168">
        <v>140</v>
      </c>
      <c r="B168">
        <v>0.27115188708400739</v>
      </c>
      <c r="C168">
        <v>-0.30878758044923471</v>
      </c>
      <c r="D168">
        <v>-0.29621841346468503</v>
      </c>
      <c r="F168">
        <v>96.875</v>
      </c>
      <c r="G168">
        <v>3.4388141552305238</v>
      </c>
    </row>
    <row r="169" spans="1:7" x14ac:dyDescent="0.2">
      <c r="A169">
        <v>141</v>
      </c>
      <c r="B169">
        <v>0.86994730162184519</v>
      </c>
      <c r="C169">
        <v>0.64211350339800199</v>
      </c>
      <c r="D169">
        <v>0.61597633869888435</v>
      </c>
      <c r="F169">
        <v>97.569444444444443</v>
      </c>
      <c r="G169">
        <v>3.580071379617352</v>
      </c>
    </row>
    <row r="170" spans="1:7" x14ac:dyDescent="0.2">
      <c r="A170">
        <v>142</v>
      </c>
      <c r="B170">
        <v>1.0572079163093149</v>
      </c>
      <c r="C170">
        <v>1.5731157501608679</v>
      </c>
      <c r="D170">
        <v>1.5090822339131256</v>
      </c>
      <c r="F170">
        <v>98.263888888888886</v>
      </c>
      <c r="G170">
        <v>3.8214888861569447</v>
      </c>
    </row>
    <row r="171" spans="1:7" x14ac:dyDescent="0.2">
      <c r="A171">
        <v>143</v>
      </c>
      <c r="B171">
        <v>0.26618425948803148</v>
      </c>
      <c r="C171">
        <v>-0.20173411461359908</v>
      </c>
      <c r="D171">
        <v>-0.19352254804291741</v>
      </c>
      <c r="F171">
        <v>98.958333333333343</v>
      </c>
      <c r="G171">
        <v>4.5018822436456931</v>
      </c>
    </row>
    <row r="172" spans="1:7" ht="17" thickBot="1" x14ac:dyDescent="0.25">
      <c r="A172" s="2">
        <v>144</v>
      </c>
      <c r="B172" s="2">
        <v>0.69703107559485833</v>
      </c>
      <c r="C172" s="2">
        <v>-4.7114752828417816E-2</v>
      </c>
      <c r="D172" s="2">
        <v>-4.5196951617389104E-2</v>
      </c>
      <c r="F172" s="2">
        <v>99.652777777777786</v>
      </c>
      <c r="G172" s="2">
        <v>5.5867022964527608</v>
      </c>
    </row>
  </sheetData>
  <sortState xmlns:xlrd2="http://schemas.microsoft.com/office/spreadsheetml/2017/richdata2" ref="G29:G172">
    <sortCondition ref="G29"/>
  </sortState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753E-6E8F-9349-9062-62370C37CC68}">
  <dimension ref="A1:I171"/>
  <sheetViews>
    <sheetView topLeftCell="A2" workbookViewId="0">
      <selection activeCell="H14" sqref="H14"/>
    </sheetView>
  </sheetViews>
  <sheetFormatPr baseColWidth="10" defaultRowHeight="16" x14ac:dyDescent="0.2"/>
  <cols>
    <col min="1" max="1" width="18" bestFit="1" customWidth="1"/>
    <col min="2" max="2" width="25" bestFit="1" customWidth="1"/>
    <col min="3" max="3" width="13.5" bestFit="1" customWidth="1"/>
    <col min="4" max="4" width="17.5" bestFit="1" customWidth="1"/>
    <col min="5" max="5" width="12.1640625" bestFit="1" customWidth="1"/>
    <col min="6" max="6" width="19.6640625" bestFit="1" customWidth="1"/>
    <col min="7" max="7" width="16.6640625" bestFit="1" customWidth="1"/>
    <col min="8" max="9" width="12.83203125" bestFit="1" customWidth="1"/>
  </cols>
  <sheetData>
    <row r="1" spans="1:9" x14ac:dyDescent="0.2">
      <c r="A1" t="s">
        <v>21</v>
      </c>
    </row>
    <row r="2" spans="1:9" ht="17" thickBot="1" x14ac:dyDescent="0.25"/>
    <row r="3" spans="1:9" x14ac:dyDescent="0.2">
      <c r="A3" s="4" t="s">
        <v>22</v>
      </c>
      <c r="B3" s="4"/>
    </row>
    <row r="4" spans="1:9" x14ac:dyDescent="0.2">
      <c r="A4" t="s">
        <v>23</v>
      </c>
      <c r="B4">
        <v>0.83385559111788721</v>
      </c>
    </row>
    <row r="5" spans="1:9" x14ac:dyDescent="0.2">
      <c r="A5" t="s">
        <v>24</v>
      </c>
      <c r="B5">
        <v>0.6953151468385611</v>
      </c>
    </row>
    <row r="6" spans="1:9" x14ac:dyDescent="0.2">
      <c r="A6" t="s">
        <v>25</v>
      </c>
      <c r="B6">
        <v>0.68654723739506651</v>
      </c>
    </row>
    <row r="7" spans="1:9" x14ac:dyDescent="0.2">
      <c r="A7" t="s">
        <v>26</v>
      </c>
      <c r="B7">
        <v>1.0461838177618084</v>
      </c>
    </row>
    <row r="8" spans="1:9" ht="17" thickBot="1" x14ac:dyDescent="0.25">
      <c r="A8" s="2" t="s">
        <v>27</v>
      </c>
      <c r="B8" s="2">
        <v>144</v>
      </c>
    </row>
    <row r="10" spans="1:9" ht="17" thickBot="1" x14ac:dyDescent="0.25">
      <c r="A10" t="s">
        <v>28</v>
      </c>
    </row>
    <row r="11" spans="1:9" x14ac:dyDescent="0.2">
      <c r="A11" s="3"/>
      <c r="B11" s="3" t="s">
        <v>33</v>
      </c>
      <c r="C11" s="3" t="s">
        <v>34</v>
      </c>
      <c r="D11" s="3" t="s">
        <v>35</v>
      </c>
      <c r="E11" s="3" t="s">
        <v>36</v>
      </c>
      <c r="F11" s="3" t="s">
        <v>37</v>
      </c>
    </row>
    <row r="12" spans="1:9" x14ac:dyDescent="0.2">
      <c r="A12" t="s">
        <v>29</v>
      </c>
      <c r="B12">
        <v>4</v>
      </c>
      <c r="C12">
        <v>347.18553460532894</v>
      </c>
      <c r="D12">
        <v>86.796383651332235</v>
      </c>
      <c r="E12">
        <v>79.302272830207031</v>
      </c>
      <c r="F12">
        <v>6.617545346236525E-35</v>
      </c>
    </row>
    <row r="13" spans="1:9" x14ac:dyDescent="0.2">
      <c r="A13" t="s">
        <v>30</v>
      </c>
      <c r="B13">
        <v>139</v>
      </c>
      <c r="C13">
        <v>152.13558069598753</v>
      </c>
      <c r="D13">
        <v>1.0945005805466728</v>
      </c>
    </row>
    <row r="14" spans="1:9" ht="17" thickBot="1" x14ac:dyDescent="0.25">
      <c r="A14" s="2" t="s">
        <v>31</v>
      </c>
      <c r="B14" s="2">
        <v>143</v>
      </c>
      <c r="C14" s="2">
        <v>499.32111530131647</v>
      </c>
      <c r="D14" s="2"/>
      <c r="E14" s="2"/>
      <c r="F14" s="2"/>
    </row>
    <row r="15" spans="1:9" ht="17" thickBot="1" x14ac:dyDescent="0.25"/>
    <row r="16" spans="1:9" x14ac:dyDescent="0.2">
      <c r="A16" s="3"/>
      <c r="B16" s="3" t="s">
        <v>38</v>
      </c>
      <c r="C16" s="3" t="s">
        <v>26</v>
      </c>
      <c r="D16" s="3" t="s">
        <v>39</v>
      </c>
      <c r="E16" s="3" t="s">
        <v>40</v>
      </c>
      <c r="F16" s="3" t="s">
        <v>41</v>
      </c>
      <c r="G16" s="3" t="s">
        <v>42</v>
      </c>
      <c r="H16" s="3" t="s">
        <v>43</v>
      </c>
      <c r="I16" s="3" t="s">
        <v>44</v>
      </c>
    </row>
    <row r="17" spans="1:9" x14ac:dyDescent="0.2">
      <c r="A17" t="s">
        <v>32</v>
      </c>
      <c r="B17">
        <v>1.1011112320002501</v>
      </c>
      <c r="C17">
        <v>0.28141777270387991</v>
      </c>
      <c r="D17">
        <v>3.9127281174202437</v>
      </c>
      <c r="E17">
        <v>1.4226893202980517E-4</v>
      </c>
      <c r="F17">
        <v>0.54469828053445546</v>
      </c>
      <c r="G17">
        <v>1.6575241834660446</v>
      </c>
      <c r="H17">
        <v>0.54469828053445546</v>
      </c>
      <c r="I17">
        <v>1.6575241834660446</v>
      </c>
    </row>
    <row r="18" spans="1:9" x14ac:dyDescent="0.2">
      <c r="A18" t="s">
        <v>17</v>
      </c>
      <c r="B18">
        <v>0.73348397883273442</v>
      </c>
      <c r="C18">
        <v>5.0902372750365459E-2</v>
      </c>
      <c r="D18">
        <v>14.409622561798326</v>
      </c>
      <c r="E18">
        <v>2.2756247590472058E-29</v>
      </c>
      <c r="F18">
        <v>0.63284094130700819</v>
      </c>
      <c r="G18">
        <v>0.83412701635846065</v>
      </c>
      <c r="H18">
        <v>0.63284094130700819</v>
      </c>
      <c r="I18">
        <v>0.83412701635846065</v>
      </c>
    </row>
    <row r="19" spans="1:9" x14ac:dyDescent="0.2">
      <c r="A19" t="s">
        <v>18</v>
      </c>
      <c r="B19">
        <v>0.39305912654922059</v>
      </c>
      <c r="C19">
        <v>6.1982059531533414E-2</v>
      </c>
      <c r="D19">
        <v>6.3414983225791568</v>
      </c>
      <c r="E19">
        <v>2.9795790992241363E-9</v>
      </c>
      <c r="F19">
        <v>0.2705095791254391</v>
      </c>
      <c r="G19">
        <v>0.51560867397300214</v>
      </c>
      <c r="H19">
        <v>0.2705095791254391</v>
      </c>
      <c r="I19">
        <v>0.51560867397300214</v>
      </c>
    </row>
    <row r="20" spans="1:9" x14ac:dyDescent="0.2">
      <c r="A20" t="s">
        <v>57</v>
      </c>
      <c r="B20">
        <v>-4.099745598041548E-2</v>
      </c>
      <c r="C20">
        <v>1.4611509012649562E-2</v>
      </c>
      <c r="D20">
        <v>-2.8058331240752015</v>
      </c>
      <c r="E20">
        <v>5.7390721511683344E-3</v>
      </c>
      <c r="F20">
        <v>-6.9887006121415907E-2</v>
      </c>
      <c r="G20">
        <v>-1.210790583941505E-2</v>
      </c>
      <c r="H20">
        <v>-6.9887006121415907E-2</v>
      </c>
      <c r="I20">
        <v>-1.210790583941505E-2</v>
      </c>
    </row>
    <row r="21" spans="1:9" ht="17" thickBot="1" x14ac:dyDescent="0.25">
      <c r="A21" s="2" t="s">
        <v>59</v>
      </c>
      <c r="B21" s="2">
        <v>7.2122950447840424</v>
      </c>
      <c r="C21" s="2">
        <v>4.000489830789336</v>
      </c>
      <c r="D21" s="2">
        <v>1.802852987970472</v>
      </c>
      <c r="E21" s="2">
        <v>7.3577690140061797E-2</v>
      </c>
      <c r="F21" s="2">
        <v>-0.69738433570272829</v>
      </c>
      <c r="G21" s="2">
        <v>15.121974425270814</v>
      </c>
      <c r="H21" s="2">
        <v>-0.69738433570272829</v>
      </c>
      <c r="I21" s="2">
        <v>15.121974425270814</v>
      </c>
    </row>
    <row r="25" spans="1:9" x14ac:dyDescent="0.2">
      <c r="A25" t="s">
        <v>45</v>
      </c>
      <c r="F25" t="s">
        <v>48</v>
      </c>
    </row>
    <row r="26" spans="1:9" ht="17" thickBot="1" x14ac:dyDescent="0.25"/>
    <row r="27" spans="1:9" x14ac:dyDescent="0.2">
      <c r="A27" s="3" t="s">
        <v>46</v>
      </c>
      <c r="B27" s="3" t="s">
        <v>50</v>
      </c>
      <c r="C27" s="3" t="s">
        <v>47</v>
      </c>
      <c r="D27" s="3" t="s">
        <v>52</v>
      </c>
      <c r="F27" s="3" t="s">
        <v>49</v>
      </c>
      <c r="G27" s="3" t="s">
        <v>2</v>
      </c>
    </row>
    <row r="28" spans="1:9" x14ac:dyDescent="0.2">
      <c r="A28">
        <v>1</v>
      </c>
      <c r="B28">
        <v>-1.02106742917181</v>
      </c>
      <c r="C28">
        <v>-2.1020837918421043</v>
      </c>
      <c r="D28">
        <v>-2.037992793921128</v>
      </c>
      <c r="F28">
        <v>0.34722222222222221</v>
      </c>
      <c r="G28">
        <v>-7.0047284893671877</v>
      </c>
    </row>
    <row r="29" spans="1:9" x14ac:dyDescent="0.2">
      <c r="A29">
        <v>2</v>
      </c>
      <c r="B29">
        <v>2.4049609864986672</v>
      </c>
      <c r="C29">
        <v>1.0338531687318566</v>
      </c>
      <c r="D29">
        <v>1.0023317414962074</v>
      </c>
      <c r="F29">
        <v>1.0416666666666665</v>
      </c>
      <c r="G29">
        <v>-4.6868598995851904</v>
      </c>
    </row>
    <row r="30" spans="1:9" x14ac:dyDescent="0.2">
      <c r="A30">
        <v>3</v>
      </c>
      <c r="B30">
        <v>-0.18401783581759301</v>
      </c>
      <c r="C30">
        <v>-1.6582998567213014</v>
      </c>
      <c r="D30">
        <v>-1.6077395065193034</v>
      </c>
      <c r="F30">
        <v>1.7361111111111112</v>
      </c>
      <c r="G30">
        <v>-4.1526948243374111</v>
      </c>
    </row>
    <row r="31" spans="1:9" x14ac:dyDescent="0.2">
      <c r="A31">
        <v>4</v>
      </c>
      <c r="B31">
        <v>1.1464616512633878</v>
      </c>
      <c r="C31">
        <v>-0.38169638953638985</v>
      </c>
      <c r="D31">
        <v>-0.37005874568833791</v>
      </c>
      <c r="F31">
        <v>2.4305555555555554</v>
      </c>
      <c r="G31">
        <v>-3.6875242113072275</v>
      </c>
    </row>
    <row r="32" spans="1:9" x14ac:dyDescent="0.2">
      <c r="A32">
        <v>5</v>
      </c>
      <c r="B32">
        <v>2.2122079267075745</v>
      </c>
      <c r="C32">
        <v>0.63164669684614294</v>
      </c>
      <c r="D32">
        <v>0.61238825087388138</v>
      </c>
      <c r="F32">
        <v>3.125</v>
      </c>
      <c r="G32">
        <v>-3.3442885744124804</v>
      </c>
    </row>
    <row r="33" spans="1:7" x14ac:dyDescent="0.2">
      <c r="A33">
        <v>6</v>
      </c>
      <c r="B33">
        <v>-3.2073637530934812E-2</v>
      </c>
      <c r="C33">
        <v>-0.37380040046398488</v>
      </c>
      <c r="D33">
        <v>-0.36240349954977197</v>
      </c>
      <c r="F33">
        <v>3.8194444444444446</v>
      </c>
      <c r="G33">
        <v>-3.1231512210139143</v>
      </c>
    </row>
    <row r="34" spans="1:7" x14ac:dyDescent="0.2">
      <c r="A34">
        <v>7</v>
      </c>
      <c r="B34">
        <v>0.54683302783856003</v>
      </c>
      <c r="C34">
        <v>-0.1521951243861695</v>
      </c>
      <c r="D34">
        <v>-0.14755480631774998</v>
      </c>
      <c r="F34">
        <v>4.5138888888888884</v>
      </c>
      <c r="G34">
        <v>-2.9682787226250409</v>
      </c>
    </row>
    <row r="35" spans="1:7" x14ac:dyDescent="0.2">
      <c r="A35">
        <v>8</v>
      </c>
      <c r="B35">
        <v>1.093705243434401</v>
      </c>
      <c r="C35">
        <v>-1.9385727253503287</v>
      </c>
      <c r="D35">
        <v>-1.8794670602991697</v>
      </c>
      <c r="F35">
        <v>5.208333333333333</v>
      </c>
      <c r="G35">
        <v>-2.5680570998352561</v>
      </c>
    </row>
    <row r="36" spans="1:7" x14ac:dyDescent="0.2">
      <c r="A36">
        <v>9</v>
      </c>
      <c r="B36">
        <v>1.3568955405739771</v>
      </c>
      <c r="C36">
        <v>0.77516609960637362</v>
      </c>
      <c r="D36">
        <v>0.75153185197500461</v>
      </c>
      <c r="F36">
        <v>5.9027777777777777</v>
      </c>
      <c r="G36">
        <v>-2.5280472836281653</v>
      </c>
    </row>
    <row r="37" spans="1:7" x14ac:dyDescent="0.2">
      <c r="A37">
        <v>10</v>
      </c>
      <c r="B37">
        <v>0.40684786371410253</v>
      </c>
      <c r="C37">
        <v>-0.83098796626059968</v>
      </c>
      <c r="D37">
        <v>-0.80565175072787221</v>
      </c>
      <c r="F37">
        <v>6.5972222222222223</v>
      </c>
      <c r="G37">
        <v>-2.5046976641667626</v>
      </c>
    </row>
    <row r="38" spans="1:7" x14ac:dyDescent="0.2">
      <c r="A38">
        <v>11</v>
      </c>
      <c r="B38">
        <v>1.2189185355288368</v>
      </c>
      <c r="C38">
        <v>-0.4737181815947541</v>
      </c>
      <c r="D38">
        <v>-0.45927486058655009</v>
      </c>
      <c r="F38">
        <v>7.291666666666667</v>
      </c>
      <c r="G38">
        <v>-2.2568118607420633</v>
      </c>
    </row>
    <row r="39" spans="1:7" x14ac:dyDescent="0.2">
      <c r="A39">
        <v>12</v>
      </c>
      <c r="B39">
        <v>1.0813725471355842</v>
      </c>
      <c r="C39">
        <v>0.30801108999452054</v>
      </c>
      <c r="D39">
        <v>0.2986200570561155</v>
      </c>
      <c r="F39">
        <v>7.9861111111111107</v>
      </c>
      <c r="G39">
        <v>-1.9001782009329338</v>
      </c>
    </row>
    <row r="40" spans="1:7" x14ac:dyDescent="0.2">
      <c r="A40">
        <v>13</v>
      </c>
      <c r="B40">
        <v>0.77534215181354649</v>
      </c>
      <c r="C40">
        <v>-0.93494636548346488</v>
      </c>
      <c r="D40">
        <v>-0.90644053436532734</v>
      </c>
      <c r="F40">
        <v>8.6805555555555536</v>
      </c>
      <c r="G40">
        <v>-1.8423176925388944</v>
      </c>
    </row>
    <row r="41" spans="1:7" x14ac:dyDescent="0.2">
      <c r="A41">
        <v>14</v>
      </c>
      <c r="B41">
        <v>-0.1002271434987894</v>
      </c>
      <c r="C41">
        <v>0.10240158333846208</v>
      </c>
      <c r="D41">
        <v>9.9279433931135766E-2</v>
      </c>
      <c r="F41">
        <v>9.3749999999999982</v>
      </c>
      <c r="G41">
        <v>-1.8267949190726551</v>
      </c>
    </row>
    <row r="42" spans="1:7" x14ac:dyDescent="0.2">
      <c r="A42">
        <v>15</v>
      </c>
      <c r="B42">
        <v>2.1578428811681762</v>
      </c>
      <c r="C42">
        <v>-5.0318103533188996E-3</v>
      </c>
      <c r="D42">
        <v>-4.8783941345435762E-3</v>
      </c>
      <c r="F42">
        <v>10.069444444444443</v>
      </c>
      <c r="G42">
        <v>-1.7163787658669345</v>
      </c>
    </row>
    <row r="43" spans="1:7" x14ac:dyDescent="0.2">
      <c r="A43">
        <v>16</v>
      </c>
      <c r="B43">
        <v>-0.59104342438739321</v>
      </c>
      <c r="C43">
        <v>-4.2175797400706871E-2</v>
      </c>
      <c r="D43">
        <v>-4.0889888173865137E-2</v>
      </c>
      <c r="F43">
        <v>10.763888888888888</v>
      </c>
      <c r="G43">
        <v>-1.7024670003016547</v>
      </c>
    </row>
    <row r="44" spans="1:7" x14ac:dyDescent="0.2">
      <c r="A44">
        <v>17</v>
      </c>
      <c r="B44">
        <v>1.0953063307827584</v>
      </c>
      <c r="C44">
        <v>-0.55219353246986524</v>
      </c>
      <c r="D44">
        <v>-0.53535755538900442</v>
      </c>
      <c r="F44">
        <v>11.458333333333332</v>
      </c>
      <c r="G44">
        <v>-1.4912303020014905</v>
      </c>
    </row>
    <row r="45" spans="1:7" x14ac:dyDescent="0.2">
      <c r="A45">
        <v>18</v>
      </c>
      <c r="B45">
        <v>1.1337142678382588</v>
      </c>
      <c r="C45">
        <v>1.51987496490928</v>
      </c>
      <c r="D45">
        <v>1.4735350884523182</v>
      </c>
      <c r="F45">
        <v>12.152777777777777</v>
      </c>
      <c r="G45">
        <v>-1.4816122688402813</v>
      </c>
    </row>
    <row r="46" spans="1:7" x14ac:dyDescent="0.2">
      <c r="A46">
        <v>19</v>
      </c>
      <c r="B46">
        <v>0.25671385276671255</v>
      </c>
      <c r="C46">
        <v>-0.44323325251988066</v>
      </c>
      <c r="D46">
        <v>-0.4297193947107848</v>
      </c>
      <c r="F46">
        <v>12.847222222222221</v>
      </c>
      <c r="G46">
        <v>-1.3850399013585131</v>
      </c>
    </row>
    <row r="47" spans="1:7" x14ac:dyDescent="0.2">
      <c r="A47">
        <v>20</v>
      </c>
      <c r="B47">
        <v>2.4812849023365136</v>
      </c>
      <c r="C47">
        <v>-7.6583131662181003E-2</v>
      </c>
      <c r="D47">
        <v>-7.4248167969871923E-2</v>
      </c>
      <c r="F47">
        <v>13.541666666666666</v>
      </c>
      <c r="G47">
        <v>-1.3845334693391671</v>
      </c>
    </row>
    <row r="48" spans="1:7" x14ac:dyDescent="0.2">
      <c r="A48">
        <v>21</v>
      </c>
      <c r="B48">
        <v>0.19028892916524531</v>
      </c>
      <c r="C48">
        <v>0.63177859650420098</v>
      </c>
      <c r="D48">
        <v>0.61251612900780084</v>
      </c>
      <c r="F48">
        <v>14.236111111111111</v>
      </c>
      <c r="G48">
        <v>-1.3312319193447704</v>
      </c>
    </row>
    <row r="49" spans="1:7" x14ac:dyDescent="0.2">
      <c r="A49">
        <v>22</v>
      </c>
      <c r="B49">
        <v>0.59993685110246198</v>
      </c>
      <c r="C49">
        <v>0.19797075570855138</v>
      </c>
      <c r="D49">
        <v>0.19193477210895757</v>
      </c>
      <c r="F49">
        <v>14.930555555555554</v>
      </c>
      <c r="G49">
        <v>-1.2793531068196276</v>
      </c>
    </row>
    <row r="50" spans="1:7" x14ac:dyDescent="0.2">
      <c r="A50">
        <v>23</v>
      </c>
      <c r="B50">
        <v>4.8284080222593867E-2</v>
      </c>
      <c r="C50">
        <v>-0.28245914131360461</v>
      </c>
      <c r="D50">
        <v>-0.27384716860873592</v>
      </c>
      <c r="F50">
        <v>15.624999999999998</v>
      </c>
      <c r="G50">
        <v>-1.1425691586862545</v>
      </c>
    </row>
    <row r="51" spans="1:7" x14ac:dyDescent="0.2">
      <c r="A51">
        <v>24</v>
      </c>
      <c r="B51">
        <v>0.47588158353870197</v>
      </c>
      <c r="C51">
        <v>-2.6818287638962213E-2</v>
      </c>
      <c r="D51">
        <v>-2.6000617656450887E-2</v>
      </c>
      <c r="F51">
        <v>16.319444444444443</v>
      </c>
      <c r="G51">
        <v>-1.1072210028407516</v>
      </c>
    </row>
    <row r="52" spans="1:7" x14ac:dyDescent="0.2">
      <c r="A52">
        <v>25</v>
      </c>
      <c r="B52">
        <v>-1.6491742315267539</v>
      </c>
      <c r="C52">
        <v>-1.6951143428857265</v>
      </c>
      <c r="D52">
        <v>-1.6434315459166764</v>
      </c>
      <c r="F52">
        <v>17.013888888888886</v>
      </c>
      <c r="G52">
        <v>-1.0801430002995103</v>
      </c>
    </row>
    <row r="53" spans="1:7" x14ac:dyDescent="0.2">
      <c r="A53">
        <v>26</v>
      </c>
      <c r="B53">
        <v>1.3380908114433083</v>
      </c>
      <c r="C53">
        <v>0.61706930928419612</v>
      </c>
      <c r="D53">
        <v>0.5982553172007623</v>
      </c>
      <c r="F53">
        <v>17.708333333333332</v>
      </c>
      <c r="G53">
        <v>-0.94912629185626851</v>
      </c>
    </row>
    <row r="54" spans="1:7" x14ac:dyDescent="0.2">
      <c r="A54">
        <v>27</v>
      </c>
      <c r="B54">
        <v>-1.5941992637113345</v>
      </c>
      <c r="C54">
        <v>-1.3740794589137064</v>
      </c>
      <c r="D54">
        <v>-1.332184780839375</v>
      </c>
      <c r="F54">
        <v>18.402777777777775</v>
      </c>
      <c r="G54">
        <v>-0.93339874585644023</v>
      </c>
    </row>
    <row r="55" spans="1:7" x14ac:dyDescent="0.2">
      <c r="A55">
        <v>28</v>
      </c>
      <c r="B55">
        <v>-0.85620070419215843</v>
      </c>
      <c r="C55">
        <v>-9.2925587664110076E-2</v>
      </c>
      <c r="D55">
        <v>-9.0092354436729125E-2</v>
      </c>
      <c r="F55">
        <v>19.097222222222221</v>
      </c>
      <c r="G55">
        <v>-0.8739297602339734</v>
      </c>
    </row>
    <row r="56" spans="1:7" x14ac:dyDescent="0.2">
      <c r="A56">
        <v>29</v>
      </c>
      <c r="B56">
        <v>1.8235091996649728</v>
      </c>
      <c r="C56">
        <v>0.85988208084723117</v>
      </c>
      <c r="D56">
        <v>0.83366490488605316</v>
      </c>
      <c r="F56">
        <v>19.791666666666664</v>
      </c>
      <c r="G56">
        <v>-0.85098504001589137</v>
      </c>
    </row>
    <row r="57" spans="1:7" x14ac:dyDescent="0.2">
      <c r="A57">
        <v>30</v>
      </c>
      <c r="B57">
        <v>0.39751736236838614</v>
      </c>
      <c r="C57">
        <v>0.68739281940067487</v>
      </c>
      <c r="D57">
        <v>0.66643471490927597</v>
      </c>
      <c r="F57">
        <v>20.486111111111111</v>
      </c>
      <c r="G57">
        <v>-0.84486748191592764</v>
      </c>
    </row>
    <row r="58" spans="1:7" x14ac:dyDescent="0.2">
      <c r="A58">
        <v>31</v>
      </c>
      <c r="B58">
        <v>-1.141644979470813</v>
      </c>
      <c r="C58">
        <v>0.53958561824374773</v>
      </c>
      <c r="D58">
        <v>0.5231340472496423</v>
      </c>
      <c r="F58">
        <v>21.180555555555554</v>
      </c>
      <c r="G58">
        <v>-0.83998798555617005</v>
      </c>
    </row>
    <row r="59" spans="1:7" x14ac:dyDescent="0.2">
      <c r="A59">
        <v>32</v>
      </c>
      <c r="B59">
        <v>-0.21084163189602159</v>
      </c>
      <c r="C59">
        <v>-1.1736918374431455</v>
      </c>
      <c r="D59">
        <v>-1.1379068314384535</v>
      </c>
      <c r="F59">
        <v>21.875</v>
      </c>
      <c r="G59">
        <v>-0.82038765576752415</v>
      </c>
    </row>
    <row r="60" spans="1:7" x14ac:dyDescent="0.2">
      <c r="A60">
        <v>33</v>
      </c>
      <c r="B60">
        <v>9.1029631709443226E-2</v>
      </c>
      <c r="C60">
        <v>0.42166251765443763</v>
      </c>
      <c r="D60">
        <v>0.40880633578042114</v>
      </c>
      <c r="F60">
        <v>22.569444444444443</v>
      </c>
      <c r="G60">
        <v>-0.73047275946122014</v>
      </c>
    </row>
    <row r="61" spans="1:7" x14ac:dyDescent="0.2">
      <c r="A61">
        <v>34</v>
      </c>
      <c r="B61">
        <v>3.451610996399296</v>
      </c>
      <c r="C61">
        <v>-1.3388784824272397</v>
      </c>
      <c r="D61">
        <v>-1.2980570563895617</v>
      </c>
      <c r="F61">
        <v>23.263888888888886</v>
      </c>
      <c r="G61">
        <v>-0.72114034769675106</v>
      </c>
    </row>
    <row r="62" spans="1:7" x14ac:dyDescent="0.2">
      <c r="A62">
        <v>35</v>
      </c>
      <c r="B62">
        <v>1.7023411032245217</v>
      </c>
      <c r="C62">
        <v>-1.2556986069895291</v>
      </c>
      <c r="D62">
        <v>-1.217413274538812</v>
      </c>
      <c r="F62">
        <v>23.958333333333332</v>
      </c>
      <c r="G62">
        <v>-0.70844610563042631</v>
      </c>
    </row>
    <row r="63" spans="1:7" x14ac:dyDescent="0.2">
      <c r="A63">
        <v>36</v>
      </c>
      <c r="B63">
        <v>0.84943915167020889</v>
      </c>
      <c r="C63">
        <v>-4.0343441448629558E-2</v>
      </c>
      <c r="D63">
        <v>-3.9113399415079943E-2</v>
      </c>
      <c r="F63">
        <v>24.652777777777775</v>
      </c>
      <c r="G63">
        <v>-0.63980558944311527</v>
      </c>
    </row>
    <row r="64" spans="1:7" x14ac:dyDescent="0.2">
      <c r="A64">
        <v>37</v>
      </c>
      <c r="B64">
        <v>2.0876843395735887</v>
      </c>
      <c r="C64">
        <v>1.3073976027143748</v>
      </c>
      <c r="D64">
        <v>1.2675360056825897</v>
      </c>
      <c r="F64">
        <v>25.347222222222221</v>
      </c>
      <c r="G64">
        <v>-0.63321922178810008</v>
      </c>
    </row>
    <row r="65" spans="1:7" x14ac:dyDescent="0.2">
      <c r="A65">
        <v>38</v>
      </c>
      <c r="B65">
        <v>3.347603682997653</v>
      </c>
      <c r="C65">
        <v>-0.23809278463146377</v>
      </c>
      <c r="D65">
        <v>-0.23083350970434857</v>
      </c>
      <c r="F65">
        <v>26.041666666666664</v>
      </c>
      <c r="G65">
        <v>-0.62523746935851443</v>
      </c>
    </row>
    <row r="66" spans="1:7" x14ac:dyDescent="0.2">
      <c r="A66">
        <v>39</v>
      </c>
      <c r="B66">
        <v>2.6288025889448505</v>
      </c>
      <c r="C66">
        <v>-1.053554959660753</v>
      </c>
      <c r="D66">
        <v>-1.0214328392242125</v>
      </c>
      <c r="F66">
        <v>26.736111111111111</v>
      </c>
      <c r="G66">
        <v>-0.60205936122706527</v>
      </c>
    </row>
    <row r="67" spans="1:7" x14ac:dyDescent="0.2">
      <c r="A67">
        <v>40</v>
      </c>
      <c r="B67">
        <v>-0.15420685440887508</v>
      </c>
      <c r="C67">
        <v>0.54835090541709275</v>
      </c>
      <c r="D67">
        <v>0.53163208722561872</v>
      </c>
      <c r="F67">
        <v>27.430555555555554</v>
      </c>
      <c r="G67">
        <v>-0.49649597275839152</v>
      </c>
    </row>
    <row r="68" spans="1:7" x14ac:dyDescent="0.2">
      <c r="A68">
        <v>41</v>
      </c>
      <c r="B68">
        <v>-0.73397164074894561</v>
      </c>
      <c r="C68">
        <v>1.0264590340120165</v>
      </c>
      <c r="D68">
        <v>0.99516304853791648</v>
      </c>
      <c r="F68">
        <v>28.125</v>
      </c>
      <c r="G68">
        <v>-0.45287219230992509</v>
      </c>
    </row>
    <row r="69" spans="1:7" x14ac:dyDescent="0.2">
      <c r="A69">
        <v>42</v>
      </c>
      <c r="B69">
        <v>-0.41035440732795547</v>
      </c>
      <c r="C69">
        <v>-0.52304433852848475</v>
      </c>
      <c r="D69">
        <v>-0.50709709905910516</v>
      </c>
      <c r="F69">
        <v>28.819444444444443</v>
      </c>
      <c r="G69">
        <v>-0.44945692130845749</v>
      </c>
    </row>
    <row r="70" spans="1:7" x14ac:dyDescent="0.2">
      <c r="A70">
        <v>43</v>
      </c>
      <c r="B70">
        <v>2.3937862797354801</v>
      </c>
      <c r="C70">
        <v>0.46714979418684965</v>
      </c>
      <c r="D70">
        <v>0.45290673850838081</v>
      </c>
      <c r="F70">
        <v>29.513888888888886</v>
      </c>
      <c r="G70">
        <v>-0.42414010254649709</v>
      </c>
    </row>
    <row r="71" spans="1:7" x14ac:dyDescent="0.2">
      <c r="A71">
        <v>44</v>
      </c>
      <c r="B71">
        <v>0.47761561238719985</v>
      </c>
      <c r="C71">
        <v>-0.92707253369565734</v>
      </c>
      <c r="D71">
        <v>-0.8988067699519513</v>
      </c>
      <c r="F71">
        <v>30.208333333333332</v>
      </c>
      <c r="G71">
        <v>-0.40587403799491967</v>
      </c>
    </row>
    <row r="72" spans="1:7" x14ac:dyDescent="0.2">
      <c r="A72">
        <v>45</v>
      </c>
      <c r="B72">
        <v>1.7377768934694258</v>
      </c>
      <c r="C72">
        <v>0.78792739358635266</v>
      </c>
      <c r="D72">
        <v>0.76390406343167316</v>
      </c>
      <c r="F72">
        <v>30.902777777777775</v>
      </c>
      <c r="G72">
        <v>-0.38364685529762182</v>
      </c>
    </row>
    <row r="73" spans="1:7" x14ac:dyDescent="0.2">
      <c r="A73">
        <v>46</v>
      </c>
      <c r="B73">
        <v>0.56281087726420376</v>
      </c>
      <c r="C73">
        <v>-0.2408597789328783</v>
      </c>
      <c r="D73">
        <v>-0.23351614037253993</v>
      </c>
      <c r="F73">
        <v>31.597222222222221</v>
      </c>
      <c r="G73">
        <v>-0.34952011853591453</v>
      </c>
    </row>
    <row r="74" spans="1:7" x14ac:dyDescent="0.2">
      <c r="A74">
        <v>47</v>
      </c>
      <c r="B74">
        <v>1.1696581265190678</v>
      </c>
      <c r="C74">
        <v>-1.5533049818166895</v>
      </c>
      <c r="D74">
        <v>-1.5059458485858417</v>
      </c>
      <c r="F74">
        <v>32.291666666666664</v>
      </c>
      <c r="G74">
        <v>-0.32059917407416511</v>
      </c>
    </row>
    <row r="75" spans="1:7" x14ac:dyDescent="0.2">
      <c r="A75">
        <v>48</v>
      </c>
      <c r="B75">
        <v>1.4308102187004277</v>
      </c>
      <c r="C75">
        <v>0.37937856038590256</v>
      </c>
      <c r="D75">
        <v>0.36781158545401921</v>
      </c>
      <c r="F75">
        <v>32.986111111111107</v>
      </c>
      <c r="G75">
        <v>-0.25809067214290327</v>
      </c>
    </row>
    <row r="76" spans="1:7" x14ac:dyDescent="0.2">
      <c r="A76">
        <v>49</v>
      </c>
      <c r="B76">
        <v>0.18615157859109399</v>
      </c>
      <c r="C76">
        <v>-1.0600813388250674</v>
      </c>
      <c r="D76">
        <v>-1.0277602338594254</v>
      </c>
      <c r="F76">
        <v>33.68055555555555</v>
      </c>
      <c r="G76">
        <v>-0.23417506109101072</v>
      </c>
    </row>
    <row r="77" spans="1:7" x14ac:dyDescent="0.2">
      <c r="A77">
        <v>50</v>
      </c>
      <c r="B77">
        <v>1.2703827152641651</v>
      </c>
      <c r="C77">
        <v>-0.49124728640029047</v>
      </c>
      <c r="D77">
        <v>-0.47626951580258481</v>
      </c>
      <c r="F77">
        <v>34.375</v>
      </c>
      <c r="G77">
        <v>-0.18651939975316809</v>
      </c>
    </row>
    <row r="78" spans="1:7" x14ac:dyDescent="0.2">
      <c r="A78">
        <v>51</v>
      </c>
      <c r="B78">
        <v>0.97528411550976357</v>
      </c>
      <c r="C78">
        <v>0.14995676945542469</v>
      </c>
      <c r="D78">
        <v>0.14538469719231964</v>
      </c>
      <c r="F78">
        <v>35.069444444444443</v>
      </c>
      <c r="G78">
        <v>-0.16023377056929605</v>
      </c>
    </row>
    <row r="79" spans="1:7" x14ac:dyDescent="0.2">
      <c r="A79">
        <v>52</v>
      </c>
      <c r="B79">
        <v>0.22349899881778676</v>
      </c>
      <c r="C79">
        <v>-1.3036419991172969</v>
      </c>
      <c r="D79">
        <v>-1.2638949076933599</v>
      </c>
      <c r="F79">
        <v>35.763888888888886</v>
      </c>
      <c r="G79">
        <v>-0.15960421366991845</v>
      </c>
    </row>
    <row r="80" spans="1:7" x14ac:dyDescent="0.2">
      <c r="A80">
        <v>53</v>
      </c>
      <c r="B80">
        <v>0.79754279328312894</v>
      </c>
      <c r="C80">
        <v>0.49576521507657145</v>
      </c>
      <c r="D80">
        <v>0.48064969613671005</v>
      </c>
      <c r="F80">
        <v>36.458333333333329</v>
      </c>
      <c r="G80">
        <v>-0.12574664360828455</v>
      </c>
    </row>
    <row r="81" spans="1:7" x14ac:dyDescent="0.2">
      <c r="A81">
        <v>54</v>
      </c>
      <c r="B81">
        <v>0.35538311057183281</v>
      </c>
      <c r="C81">
        <v>-0.70490322910774728</v>
      </c>
      <c r="D81">
        <v>-0.68341124502673034</v>
      </c>
      <c r="F81">
        <v>37.152777777777779</v>
      </c>
      <c r="G81">
        <v>-3.7635693365227305E-2</v>
      </c>
    </row>
    <row r="82" spans="1:7" x14ac:dyDescent="0.2">
      <c r="A82">
        <v>55</v>
      </c>
      <c r="B82">
        <v>1.1599472536060758</v>
      </c>
      <c r="C82">
        <v>1.0338196847064534</v>
      </c>
      <c r="D82">
        <v>1.0022992783742577</v>
      </c>
      <c r="F82">
        <v>37.847222222222221</v>
      </c>
      <c r="G82">
        <v>-2.8872892422191813E-2</v>
      </c>
    </row>
    <row r="83" spans="1:7" x14ac:dyDescent="0.2">
      <c r="A83">
        <v>56</v>
      </c>
      <c r="B83">
        <v>0.32746274991451069</v>
      </c>
      <c r="C83">
        <v>-1.0359088555449369</v>
      </c>
      <c r="D83">
        <v>-1.0043247519213272</v>
      </c>
      <c r="F83">
        <v>38.541666666666664</v>
      </c>
      <c r="G83">
        <v>-2.1093949631446327E-2</v>
      </c>
    </row>
    <row r="84" spans="1:7" x14ac:dyDescent="0.2">
      <c r="A84">
        <v>57</v>
      </c>
      <c r="B84">
        <v>-0.56337671094151676</v>
      </c>
      <c r="C84">
        <v>-0.57919244774473777</v>
      </c>
      <c r="D84">
        <v>-0.56153329347680858</v>
      </c>
      <c r="F84">
        <v>39.236111111111107</v>
      </c>
      <c r="G84">
        <v>2.1744398396726858E-3</v>
      </c>
    </row>
    <row r="85" spans="1:7" x14ac:dyDescent="0.2">
      <c r="A85">
        <v>58</v>
      </c>
      <c r="B85">
        <v>0.31912511744179928</v>
      </c>
      <c r="C85">
        <v>-1.8103554194432898</v>
      </c>
      <c r="D85">
        <v>-1.7551590063059759</v>
      </c>
      <c r="F85">
        <v>39.93055555555555</v>
      </c>
      <c r="G85">
        <v>1.3361896540353232E-2</v>
      </c>
    </row>
    <row r="86" spans="1:7" x14ac:dyDescent="0.2">
      <c r="A86">
        <v>59</v>
      </c>
      <c r="B86">
        <v>0.5946415136258334</v>
      </c>
      <c r="C86">
        <v>1.8764807735651321</v>
      </c>
      <c r="D86">
        <v>1.81926824672674</v>
      </c>
      <c r="F86">
        <v>40.625</v>
      </c>
      <c r="G86">
        <v>1.5244628300109645E-2</v>
      </c>
    </row>
    <row r="87" spans="1:7" x14ac:dyDescent="0.2">
      <c r="A87">
        <v>60</v>
      </c>
      <c r="B87">
        <v>0.28509303290285376</v>
      </c>
      <c r="C87">
        <v>1.2781448219096949</v>
      </c>
      <c r="D87">
        <v>1.2391751207771178</v>
      </c>
      <c r="F87">
        <v>41.319444444444443</v>
      </c>
      <c r="G87">
        <v>4.5162099813618559E-2</v>
      </c>
    </row>
    <row r="88" spans="1:7" x14ac:dyDescent="0.2">
      <c r="A88">
        <v>61</v>
      </c>
      <c r="B88">
        <v>5.4315505174813254E-2</v>
      </c>
      <c r="C88">
        <v>0.11619033671648446</v>
      </c>
      <c r="D88">
        <v>0.11264777830000573</v>
      </c>
      <c r="F88">
        <v>42.013888888888886</v>
      </c>
      <c r="G88">
        <v>5.5182858323510636E-2</v>
      </c>
    </row>
    <row r="89" spans="1:7" x14ac:dyDescent="0.2">
      <c r="A89">
        <v>62</v>
      </c>
      <c r="B89">
        <v>1.2288641666705971</v>
      </c>
      <c r="C89">
        <v>9.941098048315844E-2</v>
      </c>
      <c r="D89">
        <v>9.6380012370376897E-2</v>
      </c>
      <c r="F89">
        <v>42.708333333333329</v>
      </c>
      <c r="G89">
        <v>6.2862567183433013E-2</v>
      </c>
    </row>
    <row r="90" spans="1:7" x14ac:dyDescent="0.2">
      <c r="A90">
        <v>63</v>
      </c>
      <c r="B90">
        <v>0.839251304077411</v>
      </c>
      <c r="C90">
        <v>-0.82588940753705775</v>
      </c>
      <c r="D90">
        <v>-0.80070864333211211</v>
      </c>
      <c r="F90">
        <v>43.402777777777779</v>
      </c>
      <c r="G90">
        <v>6.4450144874432388E-2</v>
      </c>
    </row>
    <row r="91" spans="1:7" x14ac:dyDescent="0.2">
      <c r="A91">
        <v>64</v>
      </c>
      <c r="B91">
        <v>0.42637388584367542</v>
      </c>
      <c r="C91">
        <v>-0.38121178603005684</v>
      </c>
      <c r="D91">
        <v>-0.36958891738860578</v>
      </c>
      <c r="F91">
        <v>44.097222222222221</v>
      </c>
      <c r="G91">
        <v>0.17050584189129772</v>
      </c>
    </row>
    <row r="92" spans="1:7" x14ac:dyDescent="0.2">
      <c r="A92">
        <v>65</v>
      </c>
      <c r="B92">
        <v>-0.56194824226887508</v>
      </c>
      <c r="C92">
        <v>-1.9660990413592903</v>
      </c>
      <c r="D92">
        <v>-1.906154119058278</v>
      </c>
      <c r="F92">
        <v>44.791666666666664</v>
      </c>
      <c r="G92">
        <v>0.20128346879376346</v>
      </c>
    </row>
    <row r="93" spans="1:7" x14ac:dyDescent="0.2">
      <c r="A93">
        <v>66</v>
      </c>
      <c r="B93">
        <v>-0.77274771009342225</v>
      </c>
      <c r="C93">
        <v>-7.8237329922469123E-2</v>
      </c>
      <c r="D93">
        <v>-7.5851930934634507E-2</v>
      </c>
      <c r="F93">
        <v>45.486111111111107</v>
      </c>
      <c r="G93">
        <v>0.25176219913533959</v>
      </c>
    </row>
    <row r="94" spans="1:7" x14ac:dyDescent="0.2">
      <c r="A94">
        <v>67</v>
      </c>
      <c r="B94">
        <v>9.6532195082846134E-3</v>
      </c>
      <c r="C94">
        <v>-2.5143508836750472</v>
      </c>
      <c r="D94">
        <v>-2.4376901635440928</v>
      </c>
      <c r="F94">
        <v>46.18055555555555</v>
      </c>
      <c r="G94">
        <v>0.27937046819359035</v>
      </c>
    </row>
    <row r="95" spans="1:7" x14ac:dyDescent="0.2">
      <c r="A95">
        <v>68</v>
      </c>
      <c r="B95">
        <v>1.0368431537012088</v>
      </c>
      <c r="C95">
        <v>-2.3161962605208366</v>
      </c>
      <c r="D95">
        <v>-2.2455771299734635</v>
      </c>
      <c r="F95">
        <v>46.875</v>
      </c>
      <c r="G95">
        <v>0.29248739326307094</v>
      </c>
    </row>
    <row r="96" spans="1:7" x14ac:dyDescent="0.2">
      <c r="A96">
        <v>69</v>
      </c>
      <c r="B96">
        <v>0.43718215557475659</v>
      </c>
      <c r="C96">
        <v>0.88299073702962749</v>
      </c>
      <c r="D96">
        <v>0.85606899503683342</v>
      </c>
      <c r="F96">
        <v>47.569444444444443</v>
      </c>
      <c r="G96">
        <v>0.32195109833132546</v>
      </c>
    </row>
    <row r="97" spans="1:7" x14ac:dyDescent="0.2">
      <c r="A97">
        <v>70</v>
      </c>
      <c r="B97">
        <v>0.18535106557559161</v>
      </c>
      <c r="C97">
        <v>-1.0253390511317617</v>
      </c>
      <c r="D97">
        <v>-0.99407721311682984</v>
      </c>
      <c r="F97">
        <v>48.263888888888886</v>
      </c>
      <c r="G97">
        <v>0.3416951439283733</v>
      </c>
    </row>
    <row r="98" spans="1:7" x14ac:dyDescent="0.2">
      <c r="A98">
        <v>71</v>
      </c>
      <c r="B98">
        <v>0.70499694872975993</v>
      </c>
      <c r="C98">
        <v>0.60230282575266025</v>
      </c>
      <c r="D98">
        <v>0.58393905295591364</v>
      </c>
      <c r="F98">
        <v>48.958333333333329</v>
      </c>
      <c r="G98">
        <v>0.3941440510082177</v>
      </c>
    </row>
    <row r="99" spans="1:7" x14ac:dyDescent="0.2">
      <c r="A99">
        <v>72</v>
      </c>
      <c r="B99">
        <v>1.0377092968238193</v>
      </c>
      <c r="C99">
        <v>-0.23840886426547059</v>
      </c>
      <c r="D99">
        <v>-0.23113995230140919</v>
      </c>
      <c r="F99">
        <v>49.652777777777779</v>
      </c>
      <c r="G99">
        <v>0.39463790345239053</v>
      </c>
    </row>
    <row r="100" spans="1:7" x14ac:dyDescent="0.2">
      <c r="A100">
        <v>73</v>
      </c>
      <c r="B100">
        <v>1.2049681516770774</v>
      </c>
      <c r="C100">
        <v>-1.2260621013085238</v>
      </c>
      <c r="D100">
        <v>-1.1886803642479418</v>
      </c>
      <c r="F100">
        <v>50.347222222222221</v>
      </c>
      <c r="G100">
        <v>0.44664249623499269</v>
      </c>
    </row>
    <row r="101" spans="1:7" x14ac:dyDescent="0.2">
      <c r="A101">
        <v>74</v>
      </c>
      <c r="B101">
        <v>-1.7311914239231245</v>
      </c>
      <c r="C101">
        <v>-2.4215034004142866</v>
      </c>
      <c r="D101">
        <v>-2.3476735321645594</v>
      </c>
      <c r="F101">
        <v>51.041666666666664</v>
      </c>
      <c r="G101">
        <v>0.44906329589973976</v>
      </c>
    </row>
    <row r="102" spans="1:7" x14ac:dyDescent="0.2">
      <c r="A102">
        <v>75</v>
      </c>
      <c r="B102">
        <v>-8.3112450846033479</v>
      </c>
      <c r="C102">
        <v>1.3065165952361601</v>
      </c>
      <c r="D102">
        <v>1.2666818594782567</v>
      </c>
      <c r="F102">
        <v>51.736111111111107</v>
      </c>
      <c r="G102">
        <v>0.51269214936388086</v>
      </c>
    </row>
    <row r="103" spans="1:7" x14ac:dyDescent="0.2">
      <c r="A103">
        <v>76</v>
      </c>
      <c r="B103">
        <v>4.2563650269142741</v>
      </c>
      <c r="C103">
        <v>0.24551721673141902</v>
      </c>
      <c r="D103">
        <v>0.23803157629778626</v>
      </c>
      <c r="F103">
        <v>52.43055555555555</v>
      </c>
      <c r="G103">
        <v>0.54311279831289316</v>
      </c>
    </row>
    <row r="104" spans="1:7" x14ac:dyDescent="0.2">
      <c r="A104">
        <v>77</v>
      </c>
      <c r="B104">
        <v>1.8578633484506519</v>
      </c>
      <c r="C104">
        <v>0.84915471907590057</v>
      </c>
      <c r="D104">
        <v>0.82326461253205596</v>
      </c>
      <c r="F104">
        <v>53.125</v>
      </c>
      <c r="G104">
        <v>0.64991632276644051</v>
      </c>
    </row>
    <row r="105" spans="1:7" x14ac:dyDescent="0.2">
      <c r="A105">
        <v>78</v>
      </c>
      <c r="B105">
        <v>0.51616048010839521</v>
      </c>
      <c r="C105">
        <v>0.9408994894040752</v>
      </c>
      <c r="D105">
        <v>0.91221215189009375</v>
      </c>
      <c r="F105">
        <v>53.819444444444443</v>
      </c>
      <c r="G105">
        <v>0.74520035393408268</v>
      </c>
    </row>
    <row r="106" spans="1:7" x14ac:dyDescent="0.2">
      <c r="A106">
        <v>79</v>
      </c>
      <c r="B106">
        <v>2.0966497318131494</v>
      </c>
      <c r="C106">
        <v>-2.5495219241230744</v>
      </c>
      <c r="D106">
        <v>-2.4717888646833917</v>
      </c>
      <c r="F106">
        <v>54.513888888888886</v>
      </c>
      <c r="G106">
        <v>0.76476526172699799</v>
      </c>
    </row>
    <row r="107" spans="1:7" x14ac:dyDescent="0.2">
      <c r="A107">
        <v>80</v>
      </c>
      <c r="B107">
        <v>0.21926644225345746</v>
      </c>
      <c r="C107">
        <v>1.25538371897844</v>
      </c>
      <c r="D107">
        <v>1.2171079872329575</v>
      </c>
      <c r="F107">
        <v>55.208333333333329</v>
      </c>
      <c r="G107">
        <v>0.76715041455256716</v>
      </c>
    </row>
    <row r="108" spans="1:7" x14ac:dyDescent="0.2">
      <c r="A108">
        <v>81</v>
      </c>
      <c r="B108">
        <v>-0.47204154973181744</v>
      </c>
      <c r="C108">
        <v>0.15144237565765234</v>
      </c>
      <c r="D108">
        <v>0.14682500834760964</v>
      </c>
      <c r="F108">
        <v>55.902777777777779</v>
      </c>
      <c r="G108">
        <v>0.77913542886387466</v>
      </c>
    </row>
    <row r="109" spans="1:7" x14ac:dyDescent="0.2">
      <c r="A109">
        <v>82</v>
      </c>
      <c r="B109">
        <v>-0.3307068788774824</v>
      </c>
      <c r="C109">
        <v>-1.5694713220554513</v>
      </c>
      <c r="D109">
        <v>-1.5216192889303874</v>
      </c>
      <c r="F109">
        <v>56.597222222222221</v>
      </c>
      <c r="G109">
        <v>0.79790760681101336</v>
      </c>
    </row>
    <row r="110" spans="1:7" x14ac:dyDescent="0.2">
      <c r="A110">
        <v>83</v>
      </c>
      <c r="B110">
        <v>2.7140972161592383</v>
      </c>
      <c r="C110">
        <v>2.8726050802935226</v>
      </c>
      <c r="D110">
        <v>2.7850214516373404</v>
      </c>
      <c r="F110">
        <v>57.291666666666664</v>
      </c>
      <c r="G110">
        <v>0.79930043255834871</v>
      </c>
    </row>
    <row r="111" spans="1:7" x14ac:dyDescent="0.2">
      <c r="A111">
        <v>84</v>
      </c>
      <c r="B111">
        <v>1.0899466725404279</v>
      </c>
      <c r="C111">
        <v>0.7620068467785428</v>
      </c>
      <c r="D111">
        <v>0.73877381514479634</v>
      </c>
      <c r="F111">
        <v>57.986111111111107</v>
      </c>
      <c r="G111">
        <v>0.80909571022157933</v>
      </c>
    </row>
    <row r="112" spans="1:7" x14ac:dyDescent="0.2">
      <c r="A112">
        <v>85</v>
      </c>
      <c r="B112">
        <v>-0.65222993495180204</v>
      </c>
      <c r="C112">
        <v>-6.8910412744949023E-2</v>
      </c>
      <c r="D112">
        <v>-6.680938464268682E-2</v>
      </c>
      <c r="F112">
        <v>58.68055555555555</v>
      </c>
      <c r="G112">
        <v>0.8173714702258239</v>
      </c>
    </row>
    <row r="113" spans="1:7" x14ac:dyDescent="0.2">
      <c r="A113">
        <v>86</v>
      </c>
      <c r="B113">
        <v>-1.1255709046811475</v>
      </c>
      <c r="C113">
        <v>1.0966980122589558</v>
      </c>
      <c r="D113">
        <v>1.0632604916917894</v>
      </c>
      <c r="F113">
        <v>59.375</v>
      </c>
      <c r="G113">
        <v>0.8220675256694463</v>
      </c>
    </row>
    <row r="114" spans="1:7" x14ac:dyDescent="0.2">
      <c r="A114">
        <v>87</v>
      </c>
      <c r="B114">
        <v>0.71636959756497931</v>
      </c>
      <c r="C114">
        <v>1.4390453399080665</v>
      </c>
      <c r="D114">
        <v>1.3951698996205908</v>
      </c>
      <c r="F114">
        <v>60.069444444444443</v>
      </c>
      <c r="G114">
        <v>0.94080499762717185</v>
      </c>
    </row>
    <row r="115" spans="1:7" x14ac:dyDescent="0.2">
      <c r="A115">
        <v>88</v>
      </c>
      <c r="B115">
        <v>0.60263507907693536</v>
      </c>
      <c r="C115">
        <v>1.7083365347036588</v>
      </c>
      <c r="D115">
        <v>1.6562506027731942</v>
      </c>
      <c r="F115">
        <v>60.763888888888886</v>
      </c>
      <c r="G115">
        <v>0.98384974618307341</v>
      </c>
    </row>
    <row r="116" spans="1:7" x14ac:dyDescent="0.2">
      <c r="A116">
        <v>89</v>
      </c>
      <c r="B116">
        <v>0.80546926686920695</v>
      </c>
      <c r="C116">
        <v>-0.55370706773386735</v>
      </c>
      <c r="D116">
        <v>-0.53682494406939507</v>
      </c>
      <c r="F116">
        <v>61.458333333333329</v>
      </c>
      <c r="G116">
        <v>1.084910181769061</v>
      </c>
    </row>
    <row r="117" spans="1:7" x14ac:dyDescent="0.2">
      <c r="A117">
        <v>90</v>
      </c>
      <c r="B117">
        <v>0.83098698333268906</v>
      </c>
      <c r="C117">
        <v>0.36252501134504866</v>
      </c>
      <c r="D117">
        <v>0.35147188880131958</v>
      </c>
      <c r="F117">
        <v>62.152777777777771</v>
      </c>
      <c r="G117">
        <v>1.088562294937061</v>
      </c>
    </row>
    <row r="118" spans="1:7" x14ac:dyDescent="0.2">
      <c r="A118">
        <v>91</v>
      </c>
      <c r="B118">
        <v>1.1855929182997509</v>
      </c>
      <c r="C118">
        <v>-9.7030623362689861E-2</v>
      </c>
      <c r="D118">
        <v>-9.407223059816569E-2</v>
      </c>
      <c r="F118">
        <v>62.847222222222221</v>
      </c>
      <c r="G118">
        <v>1.1252408849651883</v>
      </c>
    </row>
    <row r="119" spans="1:7" x14ac:dyDescent="0.2">
      <c r="A119">
        <v>92</v>
      </c>
      <c r="B119">
        <v>0.55079424232933305</v>
      </c>
      <c r="C119">
        <v>0.9291224930198605</v>
      </c>
      <c r="D119">
        <v>0.90079422751514204</v>
      </c>
      <c r="F119">
        <v>63.541666666666664</v>
      </c>
      <c r="G119">
        <v>1.1573512190828252</v>
      </c>
    </row>
    <row r="120" spans="1:7" x14ac:dyDescent="0.2">
      <c r="A120">
        <v>93</v>
      </c>
      <c r="B120">
        <v>-0.63855992562385977</v>
      </c>
      <c r="C120">
        <v>-0.69267199372091059</v>
      </c>
      <c r="D120">
        <v>-0.67155293106423986</v>
      </c>
      <c r="F120">
        <v>64.236111111111114</v>
      </c>
      <c r="G120">
        <v>1.1607317321410837</v>
      </c>
    </row>
    <row r="121" spans="1:7" x14ac:dyDescent="0.2">
      <c r="A121">
        <v>94</v>
      </c>
      <c r="B121">
        <v>0.74293876403380243</v>
      </c>
      <c r="C121">
        <v>0.97007334474104268</v>
      </c>
      <c r="D121">
        <v>0.94049651770765919</v>
      </c>
      <c r="F121">
        <v>64.930555555555557</v>
      </c>
      <c r="G121">
        <v>1.1935119946777377</v>
      </c>
    </row>
    <row r="122" spans="1:7" x14ac:dyDescent="0.2">
      <c r="A122">
        <v>95</v>
      </c>
      <c r="B122">
        <v>5.1271974251945629E-2</v>
      </c>
      <c r="C122">
        <v>0.29042316967642767</v>
      </c>
      <c r="D122">
        <v>0.28156837956950054</v>
      </c>
      <c r="F122">
        <v>65.625</v>
      </c>
      <c r="G122">
        <v>1.2933080083597004</v>
      </c>
    </row>
    <row r="123" spans="1:7" x14ac:dyDescent="0.2">
      <c r="A123">
        <v>96</v>
      </c>
      <c r="B123">
        <v>0.37534104028747811</v>
      </c>
      <c r="C123">
        <v>0.98395205284563692</v>
      </c>
      <c r="D123">
        <v>0.9539520741492562</v>
      </c>
      <c r="F123">
        <v>66.319444444444443</v>
      </c>
      <c r="G123">
        <v>1.3006576888791135</v>
      </c>
    </row>
    <row r="124" spans="1:7" x14ac:dyDescent="0.2">
      <c r="A124">
        <v>97</v>
      </c>
      <c r="B124">
        <v>-2.0442268311901728</v>
      </c>
      <c r="C124">
        <v>-0.21258502955189051</v>
      </c>
      <c r="D124">
        <v>-0.2061034674277179</v>
      </c>
      <c r="F124">
        <v>67.013888888888886</v>
      </c>
      <c r="G124">
        <v>1.3072997744824202</v>
      </c>
    </row>
    <row r="125" spans="1:7" x14ac:dyDescent="0.2">
      <c r="A125">
        <v>98</v>
      </c>
      <c r="B125">
        <v>-1.4696215641536063</v>
      </c>
      <c r="C125">
        <v>0.3624005613128547</v>
      </c>
      <c r="D125">
        <v>0.3513512331596183</v>
      </c>
      <c r="F125">
        <v>67.708333333333343</v>
      </c>
      <c r="G125">
        <v>1.3201728926043841</v>
      </c>
    </row>
    <row r="126" spans="1:7" x14ac:dyDescent="0.2">
      <c r="A126">
        <v>99</v>
      </c>
      <c r="B126">
        <v>0.20475951379517873</v>
      </c>
      <c r="C126">
        <v>1.7917894194360033</v>
      </c>
      <c r="D126">
        <v>1.7371590700647892</v>
      </c>
      <c r="F126">
        <v>68.402777777777786</v>
      </c>
      <c r="G126">
        <v>1.3282751471537555</v>
      </c>
    </row>
    <row r="127" spans="1:7" x14ac:dyDescent="0.2">
      <c r="A127">
        <v>100</v>
      </c>
      <c r="B127">
        <v>-3.1496447266525021</v>
      </c>
      <c r="C127">
        <v>1.4332659607855676</v>
      </c>
      <c r="D127">
        <v>1.3895667295420711</v>
      </c>
      <c r="F127">
        <v>69.097222222222229</v>
      </c>
      <c r="G127">
        <v>1.3592930931331151</v>
      </c>
    </row>
    <row r="128" spans="1:7" x14ac:dyDescent="0.2">
      <c r="A128">
        <v>101</v>
      </c>
      <c r="B128">
        <v>-0.47291417674874991</v>
      </c>
      <c r="C128">
        <v>-0.34747347901877423</v>
      </c>
      <c r="D128">
        <v>-0.33687926669107676</v>
      </c>
      <c r="F128">
        <v>69.791666666666671</v>
      </c>
      <c r="G128">
        <v>1.3893836371301047</v>
      </c>
    </row>
    <row r="129" spans="1:7" x14ac:dyDescent="0.2">
      <c r="A129">
        <v>102</v>
      </c>
      <c r="B129">
        <v>-4.7384320609347483</v>
      </c>
      <c r="C129">
        <v>1.0509078496275208</v>
      </c>
      <c r="D129">
        <v>1.0188664376405174</v>
      </c>
      <c r="F129">
        <v>70.486111111111114</v>
      </c>
      <c r="G129">
        <v>1.4570599695124704</v>
      </c>
    </row>
    <row r="130" spans="1:7" x14ac:dyDescent="0.2">
      <c r="A130">
        <v>103</v>
      </c>
      <c r="B130">
        <v>4.324748808366623</v>
      </c>
      <c r="C130">
        <v>-0.5032599222096783</v>
      </c>
      <c r="D130">
        <v>-0.48791589512891859</v>
      </c>
      <c r="F130">
        <v>71.180555555555557</v>
      </c>
      <c r="G130">
        <v>1.4746501612318974</v>
      </c>
    </row>
    <row r="131" spans="1:7" x14ac:dyDescent="0.2">
      <c r="A131">
        <v>104</v>
      </c>
      <c r="B131">
        <v>-3.676808488099665</v>
      </c>
      <c r="C131">
        <v>1.8500135690270099</v>
      </c>
      <c r="D131">
        <v>1.7936080079040713</v>
      </c>
      <c r="F131">
        <v>71.875</v>
      </c>
      <c r="G131">
        <v>1.4799167353491935</v>
      </c>
    </row>
    <row r="132" spans="1:7" x14ac:dyDescent="0.2">
      <c r="A132">
        <v>105</v>
      </c>
      <c r="B132">
        <v>-4.8234166314335969</v>
      </c>
      <c r="C132">
        <v>0.13655673184840644</v>
      </c>
      <c r="D132">
        <v>0.13239321693479686</v>
      </c>
      <c r="F132">
        <v>72.569444444444443</v>
      </c>
      <c r="G132">
        <v>1.5120608050198472</v>
      </c>
    </row>
    <row r="133" spans="1:7" x14ac:dyDescent="0.2">
      <c r="A133">
        <v>106</v>
      </c>
      <c r="B133">
        <v>2.3121126179587499</v>
      </c>
      <c r="C133">
        <v>-6.795567402369862E-2</v>
      </c>
      <c r="D133">
        <v>-6.5883755207011147E-2</v>
      </c>
      <c r="F133">
        <v>73.263888888888886</v>
      </c>
      <c r="G133">
        <v>1.5632378548125487</v>
      </c>
    </row>
    <row r="134" spans="1:7" x14ac:dyDescent="0.2">
      <c r="A134">
        <v>107</v>
      </c>
      <c r="B134">
        <v>2.1755195766580488</v>
      </c>
      <c r="C134">
        <v>0.34434855708324141</v>
      </c>
      <c r="D134">
        <v>0.33384962134064045</v>
      </c>
      <c r="F134">
        <v>73.958333333333343</v>
      </c>
      <c r="G134">
        <v>1.5752476292840976</v>
      </c>
    </row>
    <row r="135" spans="1:7" x14ac:dyDescent="0.2">
      <c r="A135">
        <v>108</v>
      </c>
      <c r="B135">
        <v>-1.0480215625347542</v>
      </c>
      <c r="C135">
        <v>-0.33701833882375887</v>
      </c>
      <c r="D135">
        <v>-0.32674289607656182</v>
      </c>
      <c r="F135">
        <v>74.652777777777786</v>
      </c>
      <c r="G135">
        <v>1.7130121087748451</v>
      </c>
    </row>
    <row r="136" spans="1:7" x14ac:dyDescent="0.2">
      <c r="A136">
        <v>109</v>
      </c>
      <c r="B136">
        <v>2.0590900405321908</v>
      </c>
      <c r="C136">
        <v>1.0107813422056435</v>
      </c>
      <c r="D136">
        <v>0.97996335809232049</v>
      </c>
      <c r="F136">
        <v>75.347222222222229</v>
      </c>
      <c r="G136">
        <v>1.8101887790863302</v>
      </c>
    </row>
    <row r="137" spans="1:7" x14ac:dyDescent="0.2">
      <c r="A137">
        <v>110</v>
      </c>
      <c r="B137">
        <v>-1.0018064879938744</v>
      </c>
      <c r="C137">
        <v>0.8415727174245784</v>
      </c>
      <c r="D137">
        <v>0.81591378056766906</v>
      </c>
      <c r="F137">
        <v>76.041666666666671</v>
      </c>
      <c r="G137">
        <v>1.8519535193189707</v>
      </c>
    </row>
    <row r="138" spans="1:7" x14ac:dyDescent="0.2">
      <c r="A138">
        <v>111</v>
      </c>
      <c r="B138">
        <v>1.0750191600583714</v>
      </c>
      <c r="C138">
        <v>-1.3331098322012747</v>
      </c>
      <c r="D138">
        <v>-1.2924642880913646</v>
      </c>
      <c r="F138">
        <v>76.736111111111114</v>
      </c>
      <c r="G138">
        <v>1.9551601207275044</v>
      </c>
    </row>
    <row r="139" spans="1:7" x14ac:dyDescent="0.2">
      <c r="A139">
        <v>112</v>
      </c>
      <c r="B139">
        <v>0.26346724806187388</v>
      </c>
      <c r="C139">
        <v>0.67733774956529791</v>
      </c>
      <c r="D139">
        <v>0.65668621680163675</v>
      </c>
      <c r="F139">
        <v>77.430555555555557</v>
      </c>
      <c r="G139">
        <v>1.9636320377819911</v>
      </c>
    </row>
    <row r="140" spans="1:7" x14ac:dyDescent="0.2">
      <c r="A140">
        <v>113</v>
      </c>
      <c r="B140">
        <v>-0.95856848909760606</v>
      </c>
      <c r="C140">
        <v>-0.52304377974267524</v>
      </c>
      <c r="D140">
        <v>-0.50709655731026637</v>
      </c>
      <c r="F140">
        <v>78.125</v>
      </c>
      <c r="G140">
        <v>1.9965489332311821</v>
      </c>
    </row>
    <row r="141" spans="1:7" x14ac:dyDescent="0.2">
      <c r="A141">
        <v>114</v>
      </c>
      <c r="B141">
        <v>0.46512610700087864</v>
      </c>
      <c r="C141">
        <v>0.30202430755168852</v>
      </c>
      <c r="D141">
        <v>0.29281580723286127</v>
      </c>
      <c r="F141">
        <v>78.819444444444443</v>
      </c>
      <c r="G141">
        <v>2.1127325139720563</v>
      </c>
    </row>
    <row r="142" spans="1:7" x14ac:dyDescent="0.2">
      <c r="A142">
        <v>115</v>
      </c>
      <c r="B142">
        <v>1.3643118012682935</v>
      </c>
      <c r="C142">
        <v>0.59932023651369759</v>
      </c>
      <c r="D142">
        <v>0.58104740068219252</v>
      </c>
      <c r="F142">
        <v>79.513888888888886</v>
      </c>
      <c r="G142">
        <v>2.1320616401803507</v>
      </c>
    </row>
    <row r="143" spans="1:7" x14ac:dyDescent="0.2">
      <c r="A143">
        <v>116</v>
      </c>
      <c r="B143">
        <v>0.28705247633489916</v>
      </c>
      <c r="C143">
        <v>-0.9122899456934136</v>
      </c>
      <c r="D143">
        <v>-0.88447489224993214</v>
      </c>
      <c r="F143">
        <v>80.208333333333343</v>
      </c>
      <c r="G143">
        <v>2.1528110708148573</v>
      </c>
    </row>
    <row r="144" spans="1:7" x14ac:dyDescent="0.2">
      <c r="A144">
        <v>117</v>
      </c>
      <c r="B144">
        <v>8.3854138531652106E-2</v>
      </c>
      <c r="C144">
        <v>0.19551632966193824</v>
      </c>
      <c r="D144">
        <v>0.18955517971800609</v>
      </c>
      <c r="F144">
        <v>80.902777777777786</v>
      </c>
      <c r="G144">
        <v>2.1554149374730458</v>
      </c>
    </row>
    <row r="145" spans="1:7" x14ac:dyDescent="0.2">
      <c r="A145">
        <v>118</v>
      </c>
      <c r="B145">
        <v>-0.29990585132208547</v>
      </c>
      <c r="C145">
        <v>-1.4025611489795691</v>
      </c>
      <c r="D145">
        <v>-1.3597980849988902</v>
      </c>
      <c r="F145">
        <v>81.597222222222229</v>
      </c>
      <c r="G145">
        <v>2.1937669383125291</v>
      </c>
    </row>
    <row r="146" spans="1:7" x14ac:dyDescent="0.2">
      <c r="A146">
        <v>119</v>
      </c>
      <c r="B146">
        <v>3.0494866898184796</v>
      </c>
      <c r="C146">
        <v>0.11720066648003691</v>
      </c>
      <c r="D146">
        <v>0.11362730384774783</v>
      </c>
      <c r="F146">
        <v>82.291666666666671</v>
      </c>
      <c r="G146">
        <v>2.2441569439350513</v>
      </c>
    </row>
    <row r="147" spans="1:7" x14ac:dyDescent="0.2">
      <c r="A147">
        <v>120</v>
      </c>
      <c r="B147">
        <v>3.2370029932517066</v>
      </c>
      <c r="C147">
        <v>0.34306838636564541</v>
      </c>
      <c r="D147">
        <v>0.3326084820922553</v>
      </c>
      <c r="F147">
        <v>82.986111111111114</v>
      </c>
      <c r="G147">
        <v>2.3109716137805942</v>
      </c>
    </row>
    <row r="148" spans="1:7" x14ac:dyDescent="0.2">
      <c r="A148">
        <v>121</v>
      </c>
      <c r="B148">
        <v>-9.4563793266812982E-2</v>
      </c>
      <c r="C148">
        <v>0.14974665159032363</v>
      </c>
      <c r="D148">
        <v>0.14518098566730248</v>
      </c>
      <c r="F148">
        <v>83.680555555555557</v>
      </c>
      <c r="G148">
        <v>2.3644571963769208</v>
      </c>
    </row>
    <row r="149" spans="1:7" x14ac:dyDescent="0.2">
      <c r="A149">
        <v>122</v>
      </c>
      <c r="B149">
        <v>0.12151104752116333</v>
      </c>
      <c r="C149">
        <v>0.69586042270466053</v>
      </c>
      <c r="D149">
        <v>0.67464414717942489</v>
      </c>
      <c r="F149">
        <v>84.375</v>
      </c>
      <c r="G149">
        <v>2.3878145236429944</v>
      </c>
    </row>
    <row r="150" spans="1:7" x14ac:dyDescent="0.2">
      <c r="A150">
        <v>123</v>
      </c>
      <c r="B150">
        <v>1.4098913377811675</v>
      </c>
      <c r="C150">
        <v>1.1244254573903762</v>
      </c>
      <c r="D150">
        <v>1.0901425472934638</v>
      </c>
      <c r="F150">
        <v>85.069444444444443</v>
      </c>
      <c r="G150">
        <v>2.4047017706743326</v>
      </c>
    </row>
    <row r="151" spans="1:7" x14ac:dyDescent="0.2">
      <c r="A151">
        <v>124</v>
      </c>
      <c r="B151">
        <v>-0.52248829149287301</v>
      </c>
      <c r="C151">
        <v>2.599231873448149E-2</v>
      </c>
      <c r="D151">
        <v>2.5199831939978799E-2</v>
      </c>
      <c r="F151">
        <v>85.763888888888886</v>
      </c>
      <c r="G151">
        <v>2.4711222871909655</v>
      </c>
    </row>
    <row r="152" spans="1:7" x14ac:dyDescent="0.2">
      <c r="A152">
        <v>125</v>
      </c>
      <c r="B152">
        <v>1.0237966555258811</v>
      </c>
      <c r="C152">
        <v>0.13355456355694417</v>
      </c>
      <c r="D152">
        <v>0.12948258255957204</v>
      </c>
      <c r="F152">
        <v>86.458333333333343</v>
      </c>
      <c r="G152">
        <v>2.5118747000438195</v>
      </c>
    </row>
    <row r="153" spans="1:7" x14ac:dyDescent="0.2">
      <c r="A153">
        <v>126</v>
      </c>
      <c r="B153">
        <v>0.55914656639481952</v>
      </c>
      <c r="C153">
        <v>0.60158516574626419</v>
      </c>
      <c r="D153">
        <v>0.58324327387841124</v>
      </c>
      <c r="F153">
        <v>87.152777777777786</v>
      </c>
      <c r="G153">
        <v>2.5198681337412903</v>
      </c>
    </row>
    <row r="154" spans="1:7" x14ac:dyDescent="0.2">
      <c r="A154">
        <v>127</v>
      </c>
      <c r="B154">
        <v>1.2349787867581101</v>
      </c>
      <c r="C154">
        <v>-0.25112904057503671</v>
      </c>
      <c r="D154">
        <v>-0.24347229973537352</v>
      </c>
      <c r="F154">
        <v>87.847222222222229</v>
      </c>
      <c r="G154">
        <v>2.5257042870557784</v>
      </c>
    </row>
    <row r="155" spans="1:7" x14ac:dyDescent="0.2">
      <c r="A155">
        <v>128</v>
      </c>
      <c r="B155">
        <v>0.82455849195909781</v>
      </c>
      <c r="C155">
        <v>-0.62327502316533434</v>
      </c>
      <c r="D155">
        <v>-0.60427182340283581</v>
      </c>
      <c r="F155">
        <v>88.541666666666671</v>
      </c>
      <c r="G155">
        <v>2.5343167951715437</v>
      </c>
    </row>
    <row r="156" spans="1:7" x14ac:dyDescent="0.2">
      <c r="A156">
        <v>129</v>
      </c>
      <c r="B156">
        <v>0.82333385304715623</v>
      </c>
      <c r="C156">
        <v>-0.76047128586372326</v>
      </c>
      <c r="D156">
        <v>-0.73728507235957808</v>
      </c>
      <c r="F156">
        <v>89.236111111111114</v>
      </c>
      <c r="G156">
        <v>2.6303236664701828</v>
      </c>
    </row>
    <row r="157" spans="1:7" x14ac:dyDescent="0.2">
      <c r="A157">
        <v>130</v>
      </c>
      <c r="B157">
        <v>-0.61827009923024578</v>
      </c>
      <c r="C157">
        <v>0.63351472753035543</v>
      </c>
      <c r="D157">
        <v>0.61419932666830179</v>
      </c>
      <c r="F157">
        <v>89.930555555555557</v>
      </c>
      <c r="G157">
        <v>2.6535892327475388</v>
      </c>
    </row>
    <row r="158" spans="1:7" x14ac:dyDescent="0.2">
      <c r="A158">
        <v>131</v>
      </c>
      <c r="B158">
        <v>1.4751170934680666</v>
      </c>
      <c r="C158">
        <v>1.0367576065757529</v>
      </c>
      <c r="D158">
        <v>1.0051476251537592</v>
      </c>
      <c r="F158">
        <v>90.625</v>
      </c>
      <c r="G158">
        <v>2.664630651168546</v>
      </c>
    </row>
    <row r="159" spans="1:7" x14ac:dyDescent="0.2">
      <c r="A159">
        <v>132</v>
      </c>
      <c r="B159">
        <v>-2.8752219145232356E-2</v>
      </c>
      <c r="C159">
        <v>-0.70172054031598774</v>
      </c>
      <c r="D159">
        <v>-0.68032559408927873</v>
      </c>
      <c r="F159">
        <v>91.319444444444443</v>
      </c>
      <c r="G159">
        <v>2.683391280512204</v>
      </c>
    </row>
    <row r="160" spans="1:7" x14ac:dyDescent="0.2">
      <c r="A160">
        <v>133</v>
      </c>
      <c r="B160">
        <v>1.0388754687893254</v>
      </c>
      <c r="C160">
        <v>1.6257551823792207</v>
      </c>
      <c r="D160">
        <v>1.5761870955035906</v>
      </c>
      <c r="F160">
        <v>92.013888888888886</v>
      </c>
      <c r="G160">
        <v>2.7070180675265525</v>
      </c>
    </row>
    <row r="161" spans="1:7" x14ac:dyDescent="0.2">
      <c r="A161">
        <v>134</v>
      </c>
      <c r="B161">
        <v>0.31340976230909479</v>
      </c>
      <c r="C161">
        <v>-0.95321535175221006</v>
      </c>
      <c r="D161">
        <v>-0.92415251259970554</v>
      </c>
      <c r="F161">
        <v>92.708333333333343</v>
      </c>
      <c r="G161">
        <v>2.8438546235537174</v>
      </c>
    </row>
    <row r="162" spans="1:7" x14ac:dyDescent="0.2">
      <c r="A162">
        <v>135</v>
      </c>
      <c r="B162">
        <v>-0.89348403076354332</v>
      </c>
      <c r="C162">
        <v>-1.6745730690717129</v>
      </c>
      <c r="D162">
        <v>-1.6235165605229518</v>
      </c>
      <c r="F162">
        <v>93.402777777777786</v>
      </c>
      <c r="G162">
        <v>2.8609360739223297</v>
      </c>
    </row>
    <row r="163" spans="1:7" x14ac:dyDescent="0.2">
      <c r="A163">
        <v>136</v>
      </c>
      <c r="B163">
        <v>0.42387566260799892</v>
      </c>
      <c r="C163">
        <v>-0.5496223062162835</v>
      </c>
      <c r="D163">
        <v>-0.53286472394399886</v>
      </c>
      <c r="F163">
        <v>94.097222222222229</v>
      </c>
      <c r="G163">
        <v>3.0698713827378343</v>
      </c>
    </row>
    <row r="164" spans="1:7" x14ac:dyDescent="0.2">
      <c r="A164">
        <v>137</v>
      </c>
      <c r="B164">
        <v>0.54751610969587117</v>
      </c>
      <c r="C164">
        <v>1.8402984139471232</v>
      </c>
      <c r="D164">
        <v>1.7841890607995485</v>
      </c>
      <c r="F164">
        <v>94.791666666666671</v>
      </c>
      <c r="G164">
        <v>3.1095108983661892</v>
      </c>
    </row>
    <row r="165" spans="1:7" x14ac:dyDescent="0.2">
      <c r="A165">
        <v>138</v>
      </c>
      <c r="B165">
        <v>0.8907257426879529</v>
      </c>
      <c r="C165">
        <v>0.40993194619116058</v>
      </c>
      <c r="D165">
        <v>0.39743342086451033</v>
      </c>
      <c r="F165">
        <v>95.486111111111114</v>
      </c>
      <c r="G165">
        <v>3.1666873562985165</v>
      </c>
    </row>
    <row r="166" spans="1:7" x14ac:dyDescent="0.2">
      <c r="A166">
        <v>139</v>
      </c>
      <c r="B166">
        <v>0.7529619994694895</v>
      </c>
      <c r="C166">
        <v>1.6114951969074314</v>
      </c>
      <c r="D166">
        <v>1.5623618865629616</v>
      </c>
      <c r="F166">
        <v>96.180555555555557</v>
      </c>
      <c r="G166">
        <v>3.3950819422879635</v>
      </c>
    </row>
    <row r="167" spans="1:7" x14ac:dyDescent="0.2">
      <c r="A167">
        <v>140</v>
      </c>
      <c r="B167">
        <v>0.19214924304010167</v>
      </c>
      <c r="C167">
        <v>-0.22978493640532899</v>
      </c>
      <c r="D167">
        <v>-0.22277896169652828</v>
      </c>
      <c r="F167">
        <v>96.875</v>
      </c>
      <c r="G167">
        <v>3.4388141552305238</v>
      </c>
    </row>
    <row r="168" spans="1:7" x14ac:dyDescent="0.2">
      <c r="A168">
        <v>141</v>
      </c>
      <c r="B168">
        <v>0.8643623639970085</v>
      </c>
      <c r="C168">
        <v>0.64769844102283869</v>
      </c>
      <c r="D168">
        <v>0.62795058910650914</v>
      </c>
      <c r="F168">
        <v>97.569444444444443</v>
      </c>
      <c r="G168">
        <v>3.580071379617352</v>
      </c>
    </row>
    <row r="169" spans="1:7" x14ac:dyDescent="0.2">
      <c r="A169">
        <v>142</v>
      </c>
      <c r="B169">
        <v>0.91334953222492066</v>
      </c>
      <c r="C169">
        <v>1.716974134245262</v>
      </c>
      <c r="D169">
        <v>1.6646248482199648</v>
      </c>
      <c r="F169">
        <v>98.263888888888886</v>
      </c>
      <c r="G169">
        <v>3.8214888861569447</v>
      </c>
    </row>
    <row r="170" spans="1:7" x14ac:dyDescent="0.2">
      <c r="A170">
        <v>143</v>
      </c>
      <c r="B170">
        <v>0.28422572422504599</v>
      </c>
      <c r="C170">
        <v>-0.21977557935061359</v>
      </c>
      <c r="D170">
        <v>-0.21307478262029012</v>
      </c>
      <c r="F170">
        <v>98.958333333333343</v>
      </c>
      <c r="G170">
        <v>4.5018822436456931</v>
      </c>
    </row>
    <row r="171" spans="1:7" ht="17" thickBot="1" x14ac:dyDescent="0.25">
      <c r="A171" s="2">
        <v>144</v>
      </c>
      <c r="B171" s="2">
        <v>0.60707045381396618</v>
      </c>
      <c r="C171" s="2">
        <v>4.2845868952474331E-2</v>
      </c>
      <c r="D171" s="2">
        <v>4.1539529733927265E-2</v>
      </c>
      <c r="F171" s="2">
        <v>99.652777777777786</v>
      </c>
      <c r="G171" s="2">
        <v>5.5867022964527608</v>
      </c>
    </row>
  </sheetData>
  <sortState xmlns:xlrd2="http://schemas.microsoft.com/office/spreadsheetml/2017/richdata2" ref="G28:G171">
    <sortCondition ref="G28"/>
  </sortState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BB9BF-BF9E-7947-AAC1-4205C3105A5A}">
  <dimension ref="A1:I172"/>
  <sheetViews>
    <sheetView workbookViewId="0">
      <selection activeCell="F24" sqref="F24"/>
    </sheetView>
  </sheetViews>
  <sheetFormatPr baseColWidth="10" defaultRowHeight="16" x14ac:dyDescent="0.2"/>
  <cols>
    <col min="1" max="1" width="18" bestFit="1" customWidth="1"/>
    <col min="2" max="2" width="25" bestFit="1" customWidth="1"/>
    <col min="3" max="3" width="13.5" bestFit="1" customWidth="1"/>
    <col min="4" max="4" width="17.5" bestFit="1" customWidth="1"/>
    <col min="5" max="5" width="12.1640625" bestFit="1" customWidth="1"/>
    <col min="6" max="6" width="19.6640625" bestFit="1" customWidth="1"/>
    <col min="7" max="7" width="16.6640625" bestFit="1" customWidth="1"/>
    <col min="8" max="9" width="12.83203125" bestFit="1" customWidth="1"/>
  </cols>
  <sheetData>
    <row r="1" spans="1:9" x14ac:dyDescent="0.2">
      <c r="A1" t="s">
        <v>21</v>
      </c>
    </row>
    <row r="2" spans="1:9" ht="17" thickBot="1" x14ac:dyDescent="0.25"/>
    <row r="3" spans="1:9" x14ac:dyDescent="0.2">
      <c r="A3" s="4" t="s">
        <v>22</v>
      </c>
      <c r="B3" s="4"/>
    </row>
    <row r="4" spans="1:9" x14ac:dyDescent="0.2">
      <c r="A4" t="s">
        <v>23</v>
      </c>
      <c r="B4">
        <v>0.85602429811850189</v>
      </c>
    </row>
    <row r="5" spans="1:9" x14ac:dyDescent="0.2">
      <c r="A5" t="s">
        <v>24</v>
      </c>
      <c r="B5">
        <v>0.73277759896927375</v>
      </c>
    </row>
    <row r="6" spans="1:9" x14ac:dyDescent="0.2">
      <c r="A6" t="s">
        <v>25</v>
      </c>
      <c r="B6">
        <v>0.72309562791743576</v>
      </c>
    </row>
    <row r="7" spans="1:9" x14ac:dyDescent="0.2">
      <c r="A7" t="s">
        <v>26</v>
      </c>
      <c r="B7">
        <v>0.9833018441881175</v>
      </c>
    </row>
    <row r="8" spans="1:9" ht="17" thickBot="1" x14ac:dyDescent="0.25">
      <c r="A8" s="2" t="s">
        <v>27</v>
      </c>
      <c r="B8" s="2">
        <v>144</v>
      </c>
    </row>
    <row r="10" spans="1:9" ht="17" thickBot="1" x14ac:dyDescent="0.25">
      <c r="A10" t="s">
        <v>28</v>
      </c>
    </row>
    <row r="11" spans="1:9" x14ac:dyDescent="0.2">
      <c r="A11" s="3"/>
      <c r="B11" s="3" t="s">
        <v>33</v>
      </c>
      <c r="C11" s="3" t="s">
        <v>34</v>
      </c>
      <c r="D11" s="3" t="s">
        <v>35</v>
      </c>
      <c r="E11" s="3" t="s">
        <v>36</v>
      </c>
      <c r="F11" s="3" t="s">
        <v>37</v>
      </c>
    </row>
    <row r="12" spans="1:9" x14ac:dyDescent="0.2">
      <c r="A12" t="s">
        <v>29</v>
      </c>
      <c r="B12">
        <v>5</v>
      </c>
      <c r="C12">
        <v>365.89132798515857</v>
      </c>
      <c r="D12">
        <v>73.178265597031711</v>
      </c>
      <c r="E12">
        <v>75.684754173084627</v>
      </c>
      <c r="F12">
        <v>7.9689542939128079E-38</v>
      </c>
    </row>
    <row r="13" spans="1:9" x14ac:dyDescent="0.2">
      <c r="A13" t="s">
        <v>30</v>
      </c>
      <c r="B13">
        <v>138</v>
      </c>
      <c r="C13">
        <v>133.4297873161579</v>
      </c>
      <c r="D13">
        <v>0.96688251678375292</v>
      </c>
    </row>
    <row r="14" spans="1:9" ht="17" thickBot="1" x14ac:dyDescent="0.25">
      <c r="A14" s="2" t="s">
        <v>31</v>
      </c>
      <c r="B14" s="2">
        <v>143</v>
      </c>
      <c r="C14" s="2">
        <v>499.32111530131647</v>
      </c>
      <c r="D14" s="2"/>
      <c r="E14" s="2"/>
      <c r="F14" s="2"/>
    </row>
    <row r="15" spans="1:9" ht="17" thickBot="1" x14ac:dyDescent="0.25"/>
    <row r="16" spans="1:9" x14ac:dyDescent="0.2">
      <c r="A16" s="3"/>
      <c r="B16" s="3" t="s">
        <v>38</v>
      </c>
      <c r="C16" s="3" t="s">
        <v>26</v>
      </c>
      <c r="D16" s="3" t="s">
        <v>39</v>
      </c>
      <c r="E16" s="3" t="s">
        <v>40</v>
      </c>
      <c r="F16" s="3" t="s">
        <v>41</v>
      </c>
      <c r="G16" s="3" t="s">
        <v>42</v>
      </c>
      <c r="H16" s="3" t="s">
        <v>43</v>
      </c>
      <c r="I16" s="3" t="s">
        <v>44</v>
      </c>
    </row>
    <row r="17" spans="1:9" x14ac:dyDescent="0.2">
      <c r="A17" t="s">
        <v>32</v>
      </c>
      <c r="B17">
        <v>0.80865962650157375</v>
      </c>
      <c r="C17">
        <v>0.27273175939210742</v>
      </c>
      <c r="D17">
        <v>2.9650365190471306</v>
      </c>
      <c r="E17">
        <v>3.5669277473031852E-3</v>
      </c>
      <c r="F17">
        <v>0.26938615263212573</v>
      </c>
      <c r="G17">
        <v>1.3479331003710218</v>
      </c>
      <c r="H17">
        <v>0.26938615263212573</v>
      </c>
      <c r="I17">
        <v>1.3479331003710218</v>
      </c>
    </row>
    <row r="18" spans="1:9" x14ac:dyDescent="0.2">
      <c r="A18" t="s">
        <v>17</v>
      </c>
      <c r="B18">
        <v>0.64314506945608074</v>
      </c>
      <c r="C18">
        <v>5.2065114269946297E-2</v>
      </c>
      <c r="D18">
        <v>12.352706384576694</v>
      </c>
      <c r="E18">
        <v>4.5049170823491037E-24</v>
      </c>
      <c r="F18">
        <v>0.54019653459404138</v>
      </c>
      <c r="G18">
        <v>0.74609360431812011</v>
      </c>
      <c r="H18">
        <v>0.54019653459404138</v>
      </c>
      <c r="I18">
        <v>0.74609360431812011</v>
      </c>
    </row>
    <row r="19" spans="1:9" x14ac:dyDescent="0.2">
      <c r="A19" t="s">
        <v>18</v>
      </c>
      <c r="B19">
        <v>0.28518461927760941</v>
      </c>
      <c r="C19">
        <v>6.3208595646996171E-2</v>
      </c>
      <c r="D19">
        <v>4.5118012251101502</v>
      </c>
      <c r="E19">
        <v>1.3630784224990622E-5</v>
      </c>
      <c r="F19">
        <v>0.16020203921821008</v>
      </c>
      <c r="G19">
        <v>0.41016719933700874</v>
      </c>
      <c r="H19">
        <v>0.16020203921821008</v>
      </c>
      <c r="I19">
        <v>0.41016719933700874</v>
      </c>
    </row>
    <row r="20" spans="1:9" x14ac:dyDescent="0.2">
      <c r="A20" t="s">
        <v>57</v>
      </c>
      <c r="B20">
        <v>-2.0271690453084839E-2</v>
      </c>
      <c r="C20">
        <v>1.4519161075128994E-2</v>
      </c>
      <c r="D20">
        <v>-1.3962026007005186</v>
      </c>
      <c r="E20">
        <v>0.16489537994338654</v>
      </c>
      <c r="F20">
        <v>-4.8980479074207453E-2</v>
      </c>
      <c r="G20">
        <v>8.4370981680377717E-3</v>
      </c>
      <c r="H20">
        <v>-4.8980479074207453E-2</v>
      </c>
      <c r="I20">
        <v>8.4370981680377717E-3</v>
      </c>
    </row>
    <row r="21" spans="1:9" x14ac:dyDescent="0.2">
      <c r="A21" t="s">
        <v>55</v>
      </c>
      <c r="B21">
        <v>-1.6665359364370611E-2</v>
      </c>
      <c r="C21">
        <v>3.7889028538485949E-3</v>
      </c>
      <c r="D21">
        <v>-4.3984657319579199</v>
      </c>
      <c r="E21">
        <v>2.1626839629764376E-5</v>
      </c>
      <c r="F21">
        <v>-2.4157170397684127E-2</v>
      </c>
      <c r="G21">
        <v>-9.1735483310570951E-3</v>
      </c>
      <c r="H21">
        <v>-2.4157170397684127E-2</v>
      </c>
      <c r="I21">
        <v>-9.1735483310570951E-3</v>
      </c>
    </row>
    <row r="22" spans="1:9" ht="17" thickBot="1" x14ac:dyDescent="0.25">
      <c r="A22" s="2" t="s">
        <v>59</v>
      </c>
      <c r="B22" s="2">
        <v>8.9336677619461682</v>
      </c>
      <c r="C22" s="2">
        <v>3.7803482589726487</v>
      </c>
      <c r="D22" s="2">
        <v>2.3631864447255952</v>
      </c>
      <c r="E22" s="2">
        <v>1.9513809755108948E-2</v>
      </c>
      <c r="F22" s="2">
        <v>1.4587717593814729</v>
      </c>
      <c r="G22" s="2">
        <v>16.408563764510863</v>
      </c>
      <c r="H22" s="2">
        <v>1.4587717593814729</v>
      </c>
      <c r="I22" s="2">
        <v>16.408563764510863</v>
      </c>
    </row>
    <row r="26" spans="1:9" x14ac:dyDescent="0.2">
      <c r="A26" t="s">
        <v>45</v>
      </c>
      <c r="F26" t="s">
        <v>48</v>
      </c>
    </row>
    <row r="27" spans="1:9" ht="17" thickBot="1" x14ac:dyDescent="0.25"/>
    <row r="28" spans="1:9" x14ac:dyDescent="0.2">
      <c r="A28" s="3" t="s">
        <v>46</v>
      </c>
      <c r="B28" s="3" t="s">
        <v>50</v>
      </c>
      <c r="C28" s="3" t="s">
        <v>47</v>
      </c>
      <c r="D28" s="3" t="s">
        <v>52</v>
      </c>
      <c r="F28" s="3" t="s">
        <v>49</v>
      </c>
      <c r="G28" s="3" t="s">
        <v>2</v>
      </c>
    </row>
    <row r="29" spans="1:9" x14ac:dyDescent="0.2">
      <c r="A29">
        <v>1</v>
      </c>
      <c r="B29">
        <v>-1.1995880156535725</v>
      </c>
      <c r="C29">
        <v>-1.9235632053603418</v>
      </c>
      <c r="D29">
        <v>-1.9913522219022761</v>
      </c>
      <c r="F29">
        <v>0.34722222222222221</v>
      </c>
      <c r="G29">
        <v>-7.0047284893671877</v>
      </c>
    </row>
    <row r="30" spans="1:9" x14ac:dyDescent="0.2">
      <c r="A30">
        <v>2</v>
      </c>
      <c r="B30">
        <v>2.4996061086713359</v>
      </c>
      <c r="C30">
        <v>0.93920804655918788</v>
      </c>
      <c r="D30">
        <v>0.97230703162351895</v>
      </c>
      <c r="F30">
        <v>1.0416666666666665</v>
      </c>
      <c r="G30">
        <v>-4.6868598995851904</v>
      </c>
    </row>
    <row r="31" spans="1:9" x14ac:dyDescent="0.2">
      <c r="A31">
        <v>3</v>
      </c>
      <c r="B31">
        <v>-0.75574984328963812</v>
      </c>
      <c r="C31">
        <v>-1.0865678492492563</v>
      </c>
      <c r="D31">
        <v>-1.1248599967084263</v>
      </c>
      <c r="F31">
        <v>1.7361111111111112</v>
      </c>
      <c r="G31">
        <v>-4.1526948243374111</v>
      </c>
    </row>
    <row r="32" spans="1:9" x14ac:dyDescent="0.2">
      <c r="A32">
        <v>4</v>
      </c>
      <c r="B32">
        <v>1.0943941140344275</v>
      </c>
      <c r="C32">
        <v>-0.32962885230742955</v>
      </c>
      <c r="D32">
        <v>-0.34124542703681632</v>
      </c>
      <c r="F32">
        <v>2.4305555555555554</v>
      </c>
      <c r="G32">
        <v>-3.6875242113072275</v>
      </c>
    </row>
    <row r="33" spans="1:7" x14ac:dyDescent="0.2">
      <c r="A33">
        <v>5</v>
      </c>
      <c r="B33">
        <v>2.2952355931871278</v>
      </c>
      <c r="C33">
        <v>0.54861903036658966</v>
      </c>
      <c r="D33">
        <v>0.56795312057017822</v>
      </c>
      <c r="F33">
        <v>3.125</v>
      </c>
      <c r="G33">
        <v>-3.3442885744124804</v>
      </c>
    </row>
    <row r="34" spans="1:7" x14ac:dyDescent="0.2">
      <c r="A34">
        <v>6</v>
      </c>
      <c r="B34">
        <v>-0.12046386434676476</v>
      </c>
      <c r="C34">
        <v>-0.28541017364815491</v>
      </c>
      <c r="D34">
        <v>-0.29546842124238809</v>
      </c>
      <c r="F34">
        <v>3.8194444444444446</v>
      </c>
      <c r="G34">
        <v>-3.1231512210139143</v>
      </c>
    </row>
    <row r="35" spans="1:7" x14ac:dyDescent="0.2">
      <c r="A35">
        <v>7</v>
      </c>
      <c r="B35">
        <v>0.57538070556961007</v>
      </c>
      <c r="C35">
        <v>-0.18074280211721955</v>
      </c>
      <c r="D35">
        <v>-0.18711242738787165</v>
      </c>
      <c r="F35">
        <v>4.5138888888888884</v>
      </c>
      <c r="G35">
        <v>-2.9682787226250409</v>
      </c>
    </row>
    <row r="36" spans="1:7" x14ac:dyDescent="0.2">
      <c r="A36">
        <v>8</v>
      </c>
      <c r="B36">
        <v>0.58724595705444882</v>
      </c>
      <c r="C36">
        <v>-1.4321134389703765</v>
      </c>
      <c r="D36">
        <v>-1.4825830889063676</v>
      </c>
      <c r="F36">
        <v>5.208333333333333</v>
      </c>
      <c r="G36">
        <v>-2.5680570998352561</v>
      </c>
    </row>
    <row r="37" spans="1:7" x14ac:dyDescent="0.2">
      <c r="A37">
        <v>9</v>
      </c>
      <c r="B37">
        <v>1.580892270314685</v>
      </c>
      <c r="C37">
        <v>0.55116936986566567</v>
      </c>
      <c r="D37">
        <v>0.57059333754560049</v>
      </c>
      <c r="F37">
        <v>5.9027777777777777</v>
      </c>
      <c r="G37">
        <v>-2.5280472836281653</v>
      </c>
    </row>
    <row r="38" spans="1:7" x14ac:dyDescent="0.2">
      <c r="A38">
        <v>10</v>
      </c>
      <c r="B38">
        <v>0.4441208675695239</v>
      </c>
      <c r="C38">
        <v>-0.86826097011602099</v>
      </c>
      <c r="D38">
        <v>-0.89885968249619719</v>
      </c>
      <c r="F38">
        <v>6.5972222222222223</v>
      </c>
      <c r="G38">
        <v>-2.5046976641667626</v>
      </c>
    </row>
    <row r="39" spans="1:7" x14ac:dyDescent="0.2">
      <c r="A39">
        <v>11</v>
      </c>
      <c r="B39">
        <v>1.1438416271865548</v>
      </c>
      <c r="C39">
        <v>-0.39864127325247212</v>
      </c>
      <c r="D39">
        <v>-0.41268994074179816</v>
      </c>
      <c r="F39">
        <v>7.291666666666667</v>
      </c>
      <c r="G39">
        <v>-2.2568118607420633</v>
      </c>
    </row>
    <row r="40" spans="1:7" x14ac:dyDescent="0.2">
      <c r="A40">
        <v>12</v>
      </c>
      <c r="B40">
        <v>1.1782394292553831</v>
      </c>
      <c r="C40">
        <v>0.21114420787472166</v>
      </c>
      <c r="D40">
        <v>0.21858522055393426</v>
      </c>
      <c r="F40">
        <v>7.9861111111111107</v>
      </c>
      <c r="G40">
        <v>-1.9001782009329338</v>
      </c>
    </row>
    <row r="41" spans="1:7" x14ac:dyDescent="0.2">
      <c r="A41">
        <v>13</v>
      </c>
      <c r="B41">
        <v>0.6803267416305292</v>
      </c>
      <c r="C41">
        <v>-0.8399309553004477</v>
      </c>
      <c r="D41">
        <v>-0.86953127894163451</v>
      </c>
      <c r="F41">
        <v>8.6805555555555536</v>
      </c>
      <c r="G41">
        <v>-1.8423176925388944</v>
      </c>
    </row>
    <row r="42" spans="1:7" x14ac:dyDescent="0.2">
      <c r="A42">
        <v>14</v>
      </c>
      <c r="B42">
        <v>-0.95038101064763425</v>
      </c>
      <c r="C42">
        <v>0.95255545048730694</v>
      </c>
      <c r="D42">
        <v>0.98612481644848282</v>
      </c>
      <c r="F42">
        <v>9.3749999999999982</v>
      </c>
      <c r="G42">
        <v>-1.8267949190726551</v>
      </c>
    </row>
    <row r="43" spans="1:7" x14ac:dyDescent="0.2">
      <c r="A43">
        <v>15</v>
      </c>
      <c r="B43">
        <v>2.3889417428490693</v>
      </c>
      <c r="C43">
        <v>-0.23613067203421201</v>
      </c>
      <c r="D43">
        <v>-0.24445224212246219</v>
      </c>
      <c r="F43">
        <v>10.069444444444443</v>
      </c>
      <c r="G43">
        <v>-1.7163787658669345</v>
      </c>
    </row>
    <row r="44" spans="1:7" x14ac:dyDescent="0.2">
      <c r="A44">
        <v>16</v>
      </c>
      <c r="B44">
        <v>-0.91346334037776455</v>
      </c>
      <c r="C44">
        <v>0.28024411858966447</v>
      </c>
      <c r="D44">
        <v>0.29012030728880095</v>
      </c>
      <c r="F44">
        <v>10.763888888888888</v>
      </c>
      <c r="G44">
        <v>-1.7024670003016547</v>
      </c>
    </row>
    <row r="45" spans="1:7" x14ac:dyDescent="0.2">
      <c r="A45">
        <v>17</v>
      </c>
      <c r="B45">
        <v>1.0619630904439081</v>
      </c>
      <c r="C45">
        <v>-0.51885029213101497</v>
      </c>
      <c r="D45">
        <v>-0.53713529100084312</v>
      </c>
      <c r="F45">
        <v>11.458333333333332</v>
      </c>
      <c r="G45">
        <v>-1.4912303020014905</v>
      </c>
    </row>
    <row r="46" spans="1:7" x14ac:dyDescent="0.2">
      <c r="A46">
        <v>18</v>
      </c>
      <c r="B46">
        <v>1.2938997717879923</v>
      </c>
      <c r="C46">
        <v>1.3596894609595465</v>
      </c>
      <c r="D46">
        <v>1.4076067901661082</v>
      </c>
      <c r="F46">
        <v>12.152777777777777</v>
      </c>
      <c r="G46">
        <v>-1.4816122688402813</v>
      </c>
    </row>
    <row r="47" spans="1:7" x14ac:dyDescent="0.2">
      <c r="A47">
        <v>19</v>
      </c>
      <c r="B47">
        <v>-0.36189260877993701</v>
      </c>
      <c r="C47">
        <v>0.17537320902676892</v>
      </c>
      <c r="D47">
        <v>0.18155360244175978</v>
      </c>
      <c r="F47">
        <v>12.847222222222221</v>
      </c>
      <c r="G47">
        <v>-1.3850399013585131</v>
      </c>
    </row>
    <row r="48" spans="1:7" x14ac:dyDescent="0.2">
      <c r="A48">
        <v>20</v>
      </c>
      <c r="B48">
        <v>2.2583612287395116</v>
      </c>
      <c r="C48">
        <v>0.14634054193482093</v>
      </c>
      <c r="D48">
        <v>0.15149778417689055</v>
      </c>
      <c r="F48">
        <v>13.541666666666666</v>
      </c>
      <c r="G48">
        <v>-1.3845334693391671</v>
      </c>
    </row>
    <row r="49" spans="1:7" x14ac:dyDescent="0.2">
      <c r="A49">
        <v>21</v>
      </c>
      <c r="B49">
        <v>0.53035926076866347</v>
      </c>
      <c r="C49">
        <v>0.29170826490078283</v>
      </c>
      <c r="D49">
        <v>0.30198846590466599</v>
      </c>
      <c r="F49">
        <v>14.236111111111111</v>
      </c>
      <c r="G49">
        <v>-1.3312319193447704</v>
      </c>
    </row>
    <row r="50" spans="1:7" x14ac:dyDescent="0.2">
      <c r="A50">
        <v>22</v>
      </c>
      <c r="B50">
        <v>0.63401310745091954</v>
      </c>
      <c r="C50">
        <v>0.16389449936009381</v>
      </c>
      <c r="D50">
        <v>0.1696703672376311</v>
      </c>
      <c r="F50">
        <v>14.930555555555554</v>
      </c>
      <c r="G50">
        <v>-1.2793531068196276</v>
      </c>
    </row>
    <row r="51" spans="1:7" x14ac:dyDescent="0.2">
      <c r="A51">
        <v>23</v>
      </c>
      <c r="B51">
        <v>-2.1861808535364458E-4</v>
      </c>
      <c r="C51">
        <v>-0.23395644300565707</v>
      </c>
      <c r="D51">
        <v>-0.24220139026853196</v>
      </c>
      <c r="F51">
        <v>15.624999999999998</v>
      </c>
      <c r="G51">
        <v>-1.1425691586862545</v>
      </c>
    </row>
    <row r="52" spans="1:7" x14ac:dyDescent="0.2">
      <c r="A52">
        <v>24</v>
      </c>
      <c r="B52">
        <v>0.33611445689241831</v>
      </c>
      <c r="C52">
        <v>0.11294883900732144</v>
      </c>
      <c r="D52">
        <v>0.11692931165023898</v>
      </c>
      <c r="F52">
        <v>16.319444444444443</v>
      </c>
      <c r="G52">
        <v>-1.1072210028407516</v>
      </c>
    </row>
    <row r="53" spans="1:7" x14ac:dyDescent="0.2">
      <c r="A53">
        <v>25</v>
      </c>
      <c r="B53">
        <v>-1.9654012998921271</v>
      </c>
      <c r="C53">
        <v>-1.3788872745203533</v>
      </c>
      <c r="D53">
        <v>-1.4274811611165634</v>
      </c>
      <c r="F53">
        <v>17.013888888888886</v>
      </c>
      <c r="G53">
        <v>-1.0801430002995103</v>
      </c>
    </row>
    <row r="54" spans="1:7" x14ac:dyDescent="0.2">
      <c r="A54">
        <v>26</v>
      </c>
      <c r="B54">
        <v>1.7795386381911169</v>
      </c>
      <c r="C54">
        <v>0.17562148253638754</v>
      </c>
      <c r="D54">
        <v>0.18181062545178658</v>
      </c>
      <c r="F54">
        <v>17.708333333333332</v>
      </c>
      <c r="G54">
        <v>-0.94912629185626851</v>
      </c>
    </row>
    <row r="55" spans="1:7" x14ac:dyDescent="0.2">
      <c r="A55">
        <v>27</v>
      </c>
      <c r="B55">
        <v>-3.1635903894949191</v>
      </c>
      <c r="C55">
        <v>0.19531166686987822</v>
      </c>
      <c r="D55">
        <v>0.20219471899906194</v>
      </c>
      <c r="F55">
        <v>18.402777777777775</v>
      </c>
      <c r="G55">
        <v>-0.93339874585644023</v>
      </c>
    </row>
    <row r="56" spans="1:7" x14ac:dyDescent="0.2">
      <c r="A56">
        <v>28</v>
      </c>
      <c r="B56">
        <v>-0.19735144014583275</v>
      </c>
      <c r="C56">
        <v>-0.75177485171043579</v>
      </c>
      <c r="D56">
        <v>-0.77826843285005953</v>
      </c>
      <c r="F56">
        <v>19.097222222222221</v>
      </c>
      <c r="G56">
        <v>-0.8739297602339734</v>
      </c>
    </row>
    <row r="57" spans="1:7" x14ac:dyDescent="0.2">
      <c r="A57">
        <v>29</v>
      </c>
      <c r="B57">
        <v>1.861559948369462</v>
      </c>
      <c r="C57">
        <v>0.82183133214274195</v>
      </c>
      <c r="D57">
        <v>0.85079380013654404</v>
      </c>
      <c r="F57">
        <v>19.791666666666664</v>
      </c>
      <c r="G57">
        <v>-0.85098504001589137</v>
      </c>
    </row>
    <row r="58" spans="1:7" x14ac:dyDescent="0.2">
      <c r="A58">
        <v>30</v>
      </c>
      <c r="B58">
        <v>0.46328314329700199</v>
      </c>
      <c r="C58">
        <v>0.62162703847205902</v>
      </c>
      <c r="D58">
        <v>0.64353403142995458</v>
      </c>
      <c r="F58">
        <v>20.486111111111111</v>
      </c>
      <c r="G58">
        <v>-0.84486748191592764</v>
      </c>
    </row>
    <row r="59" spans="1:7" x14ac:dyDescent="0.2">
      <c r="A59">
        <v>31</v>
      </c>
      <c r="B59">
        <v>-0.85561229800974992</v>
      </c>
      <c r="C59">
        <v>0.25355293678268465</v>
      </c>
      <c r="D59">
        <v>0.26248849147510123</v>
      </c>
      <c r="F59">
        <v>21.180555555555554</v>
      </c>
      <c r="G59">
        <v>-0.83998798555617005</v>
      </c>
    </row>
    <row r="60" spans="1:7" x14ac:dyDescent="0.2">
      <c r="A60">
        <v>32</v>
      </c>
      <c r="B60">
        <v>-6.5999563948184986E-2</v>
      </c>
      <c r="C60">
        <v>-1.3185339053909821</v>
      </c>
      <c r="D60">
        <v>-1.3650008561387257</v>
      </c>
      <c r="F60">
        <v>21.875</v>
      </c>
      <c r="G60">
        <v>-0.82038765576752415</v>
      </c>
    </row>
    <row r="61" spans="1:7" x14ac:dyDescent="0.2">
      <c r="A61">
        <v>33</v>
      </c>
      <c r="B61">
        <v>4.0790241640808605E-2</v>
      </c>
      <c r="C61">
        <v>0.47190190772307228</v>
      </c>
      <c r="D61">
        <v>0.4885323808677367</v>
      </c>
      <c r="F61">
        <v>22.569444444444443</v>
      </c>
      <c r="G61">
        <v>-0.73047275946122014</v>
      </c>
    </row>
    <row r="62" spans="1:7" x14ac:dyDescent="0.2">
      <c r="A62">
        <v>34</v>
      </c>
      <c r="B62">
        <v>3.4614884956332697</v>
      </c>
      <c r="C62">
        <v>-1.3487559816612134</v>
      </c>
      <c r="D62">
        <v>-1.3962879999994084</v>
      </c>
      <c r="F62">
        <v>23.263888888888886</v>
      </c>
      <c r="G62">
        <v>-0.72114034769675106</v>
      </c>
    </row>
    <row r="63" spans="1:7" x14ac:dyDescent="0.2">
      <c r="A63">
        <v>35</v>
      </c>
      <c r="B63">
        <v>1.3299207517126466</v>
      </c>
      <c r="C63">
        <v>-0.88327825547765393</v>
      </c>
      <c r="D63">
        <v>-0.91440619767619946</v>
      </c>
      <c r="F63">
        <v>23.958333333333332</v>
      </c>
      <c r="G63">
        <v>-0.70844610563042631</v>
      </c>
    </row>
    <row r="64" spans="1:7" x14ac:dyDescent="0.2">
      <c r="A64">
        <v>36</v>
      </c>
      <c r="B64">
        <v>0.97512529727950326</v>
      </c>
      <c r="C64">
        <v>-0.16602958705792392</v>
      </c>
      <c r="D64">
        <v>-0.17188069836643521</v>
      </c>
      <c r="F64">
        <v>24.652777777777775</v>
      </c>
      <c r="G64">
        <v>-0.63980558944311527</v>
      </c>
    </row>
    <row r="65" spans="1:7" x14ac:dyDescent="0.2">
      <c r="A65">
        <v>37</v>
      </c>
      <c r="B65">
        <v>1.8658259860853084</v>
      </c>
      <c r="C65">
        <v>1.5292559562026551</v>
      </c>
      <c r="D65">
        <v>1.5831490422333028</v>
      </c>
      <c r="F65">
        <v>25.347222222222221</v>
      </c>
      <c r="G65">
        <v>-0.63321922178810008</v>
      </c>
    </row>
    <row r="66" spans="1:7" x14ac:dyDescent="0.2">
      <c r="A66">
        <v>38</v>
      </c>
      <c r="B66">
        <v>3.4814379571819933</v>
      </c>
      <c r="C66">
        <v>-0.37192705881580412</v>
      </c>
      <c r="D66">
        <v>-0.38503428059681882</v>
      </c>
      <c r="F66">
        <v>26.041666666666664</v>
      </c>
      <c r="G66">
        <v>-0.62523746935851443</v>
      </c>
    </row>
    <row r="67" spans="1:7" x14ac:dyDescent="0.2">
      <c r="A67">
        <v>39</v>
      </c>
      <c r="B67">
        <v>2.3513338437779212</v>
      </c>
      <c r="C67">
        <v>-0.77608621449382365</v>
      </c>
      <c r="D67">
        <v>-0.80343656154022269</v>
      </c>
      <c r="F67">
        <v>26.736111111111111</v>
      </c>
      <c r="G67">
        <v>-0.60205936122706527</v>
      </c>
    </row>
    <row r="68" spans="1:7" x14ac:dyDescent="0.2">
      <c r="A68">
        <v>40</v>
      </c>
      <c r="B68">
        <v>-0.39452358914525398</v>
      </c>
      <c r="C68">
        <v>0.78866764015347168</v>
      </c>
      <c r="D68">
        <v>0.81646137396760798</v>
      </c>
      <c r="F68">
        <v>27.430555555555554</v>
      </c>
      <c r="G68">
        <v>-0.49649597275839152</v>
      </c>
    </row>
    <row r="69" spans="1:7" x14ac:dyDescent="0.2">
      <c r="A69">
        <v>41</v>
      </c>
      <c r="B69">
        <v>-1.1238499174927443</v>
      </c>
      <c r="C69">
        <v>1.4163373107558153</v>
      </c>
      <c r="D69">
        <v>1.4662509882062003</v>
      </c>
      <c r="F69">
        <v>28.125</v>
      </c>
      <c r="G69">
        <v>-0.45287219230992509</v>
      </c>
    </row>
    <row r="70" spans="1:7" x14ac:dyDescent="0.2">
      <c r="A70">
        <v>42</v>
      </c>
      <c r="B70">
        <v>0.12145224086896618</v>
      </c>
      <c r="C70">
        <v>-1.0548509867254063</v>
      </c>
      <c r="D70">
        <v>-1.0920253882678859</v>
      </c>
      <c r="F70">
        <v>28.819444444444443</v>
      </c>
      <c r="G70">
        <v>-0.44945692130845749</v>
      </c>
    </row>
    <row r="71" spans="1:7" x14ac:dyDescent="0.2">
      <c r="A71">
        <v>43</v>
      </c>
      <c r="B71">
        <v>2.2441612057027851</v>
      </c>
      <c r="C71">
        <v>0.61677486821954464</v>
      </c>
      <c r="D71">
        <v>0.63851086401519708</v>
      </c>
      <c r="F71">
        <v>29.513888888888886</v>
      </c>
      <c r="G71">
        <v>-0.42414010254649709</v>
      </c>
    </row>
    <row r="72" spans="1:7" x14ac:dyDescent="0.2">
      <c r="A72">
        <v>44</v>
      </c>
      <c r="B72">
        <v>0.49289883530660727</v>
      </c>
      <c r="C72">
        <v>-0.94235575661506477</v>
      </c>
      <c r="D72">
        <v>-0.97556567131687921</v>
      </c>
      <c r="F72">
        <v>30.208333333333332</v>
      </c>
      <c r="G72">
        <v>-0.40587403799491967</v>
      </c>
    </row>
    <row r="73" spans="1:7" x14ac:dyDescent="0.2">
      <c r="A73">
        <v>45</v>
      </c>
      <c r="B73">
        <v>1.4636123309581677</v>
      </c>
      <c r="C73">
        <v>1.0620919560976108</v>
      </c>
      <c r="D73">
        <v>1.0995215393732323</v>
      </c>
      <c r="F73">
        <v>30.902777777777775</v>
      </c>
      <c r="G73">
        <v>-0.38364685529762182</v>
      </c>
    </row>
    <row r="74" spans="1:7" x14ac:dyDescent="0.2">
      <c r="A74">
        <v>46</v>
      </c>
      <c r="B74">
        <v>0.43480029264384873</v>
      </c>
      <c r="C74">
        <v>-0.11284919431252327</v>
      </c>
      <c r="D74">
        <v>-0.11682615533916266</v>
      </c>
      <c r="F74">
        <v>31.597222222222221</v>
      </c>
      <c r="G74">
        <v>-0.34952011853591453</v>
      </c>
    </row>
    <row r="75" spans="1:7" x14ac:dyDescent="0.2">
      <c r="A75">
        <v>47</v>
      </c>
      <c r="B75">
        <v>1.1824671768948938</v>
      </c>
      <c r="C75">
        <v>-1.5661140321925155</v>
      </c>
      <c r="D75">
        <v>-1.621306047583019</v>
      </c>
      <c r="F75">
        <v>32.291666666666664</v>
      </c>
      <c r="G75">
        <v>-0.32059917407416511</v>
      </c>
    </row>
    <row r="76" spans="1:7" x14ac:dyDescent="0.2">
      <c r="A76">
        <v>48</v>
      </c>
      <c r="B76">
        <v>1.3394255503750199</v>
      </c>
      <c r="C76">
        <v>0.47076322871131038</v>
      </c>
      <c r="D76">
        <v>0.48735357323937972</v>
      </c>
      <c r="F76">
        <v>32.986111111111107</v>
      </c>
      <c r="G76">
        <v>-0.25809067214290327</v>
      </c>
    </row>
    <row r="77" spans="1:7" x14ac:dyDescent="0.2">
      <c r="A77">
        <v>49</v>
      </c>
      <c r="B77">
        <v>-0.10024093390830975</v>
      </c>
      <c r="C77">
        <v>-0.7736888263256636</v>
      </c>
      <c r="D77">
        <v>-0.80095468611126663</v>
      </c>
      <c r="F77">
        <v>33.68055555555555</v>
      </c>
      <c r="G77">
        <v>-0.23417506109101072</v>
      </c>
    </row>
    <row r="78" spans="1:7" x14ac:dyDescent="0.2">
      <c r="A78">
        <v>50</v>
      </c>
      <c r="B78">
        <v>1.2540083830282516</v>
      </c>
      <c r="C78">
        <v>-0.47487295416437691</v>
      </c>
      <c r="D78">
        <v>-0.49160813107744111</v>
      </c>
      <c r="F78">
        <v>34.375</v>
      </c>
      <c r="G78">
        <v>-0.18651939975316809</v>
      </c>
    </row>
    <row r="79" spans="1:7" x14ac:dyDescent="0.2">
      <c r="A79">
        <v>51</v>
      </c>
      <c r="B79">
        <v>0.84379224514492179</v>
      </c>
      <c r="C79">
        <v>0.28144863982026647</v>
      </c>
      <c r="D79">
        <v>0.29136727750646968</v>
      </c>
      <c r="F79">
        <v>35.069444444444443</v>
      </c>
      <c r="G79">
        <v>-0.16023377056929605</v>
      </c>
    </row>
    <row r="80" spans="1:7" x14ac:dyDescent="0.2">
      <c r="A80">
        <v>52</v>
      </c>
      <c r="B80">
        <v>0.15481365491299665</v>
      </c>
      <c r="C80">
        <v>-1.2349566552125069</v>
      </c>
      <c r="D80">
        <v>-1.2784782285590348</v>
      </c>
      <c r="F80">
        <v>35.763888888888886</v>
      </c>
      <c r="G80">
        <v>-0.15960421366991845</v>
      </c>
    </row>
    <row r="81" spans="1:7" x14ac:dyDescent="0.2">
      <c r="A81">
        <v>53</v>
      </c>
      <c r="B81">
        <v>0.5972551942752713</v>
      </c>
      <c r="C81">
        <v>0.69605281408442909</v>
      </c>
      <c r="D81">
        <v>0.72058267387616404</v>
      </c>
      <c r="F81">
        <v>36.458333333333329</v>
      </c>
      <c r="G81">
        <v>-0.12574664360828455</v>
      </c>
    </row>
    <row r="82" spans="1:7" x14ac:dyDescent="0.2">
      <c r="A82">
        <v>54</v>
      </c>
      <c r="B82">
        <v>9.6255813075652855E-2</v>
      </c>
      <c r="C82">
        <v>-0.44577593161156737</v>
      </c>
      <c r="D82">
        <v>-0.46148568937663748</v>
      </c>
      <c r="F82">
        <v>37.152777777777779</v>
      </c>
      <c r="G82">
        <v>-3.7635693365227305E-2</v>
      </c>
    </row>
    <row r="83" spans="1:7" x14ac:dyDescent="0.2">
      <c r="A83">
        <v>55</v>
      </c>
      <c r="B83">
        <v>1.1943061414698286</v>
      </c>
      <c r="C83">
        <v>0.99946079684270051</v>
      </c>
      <c r="D83">
        <v>1.034683171808795</v>
      </c>
      <c r="F83">
        <v>37.847222222222221</v>
      </c>
      <c r="G83">
        <v>-2.8872892422191813E-2</v>
      </c>
    </row>
    <row r="84" spans="1:7" x14ac:dyDescent="0.2">
      <c r="A84">
        <v>56</v>
      </c>
      <c r="B84">
        <v>-0.49853381842392092</v>
      </c>
      <c r="C84">
        <v>-0.2099122872065054</v>
      </c>
      <c r="D84">
        <v>-0.21730988530473447</v>
      </c>
      <c r="F84">
        <v>38.541666666666664</v>
      </c>
      <c r="G84">
        <v>-2.1093949631446327E-2</v>
      </c>
    </row>
    <row r="85" spans="1:7" x14ac:dyDescent="0.2">
      <c r="A85">
        <v>57</v>
      </c>
      <c r="B85">
        <v>-1.1702060686124605</v>
      </c>
      <c r="C85">
        <v>2.7636909926205933E-2</v>
      </c>
      <c r="D85">
        <v>2.8610872694330606E-2</v>
      </c>
      <c r="F85">
        <v>39.236111111111107</v>
      </c>
      <c r="G85">
        <v>2.1744398396726858E-3</v>
      </c>
    </row>
    <row r="86" spans="1:7" x14ac:dyDescent="0.2">
      <c r="A86">
        <v>58</v>
      </c>
      <c r="B86">
        <v>0.51610690602364273</v>
      </c>
      <c r="C86">
        <v>-2.0073372080251333</v>
      </c>
      <c r="D86">
        <v>-2.0780785357968741</v>
      </c>
      <c r="F86">
        <v>39.93055555555555</v>
      </c>
      <c r="G86">
        <v>1.3361896540353232E-2</v>
      </c>
    </row>
    <row r="87" spans="1:7" x14ac:dyDescent="0.2">
      <c r="A87">
        <v>59</v>
      </c>
      <c r="B87">
        <v>0.96832059966361073</v>
      </c>
      <c r="C87">
        <v>1.5028016875273549</v>
      </c>
      <c r="D87">
        <v>1.5557624886963266</v>
      </c>
      <c r="F87">
        <v>40.625</v>
      </c>
      <c r="G87">
        <v>1.5244628300109645E-2</v>
      </c>
    </row>
    <row r="88" spans="1:7" x14ac:dyDescent="0.2">
      <c r="A88">
        <v>60</v>
      </c>
      <c r="B88">
        <v>0.39241114009589079</v>
      </c>
      <c r="C88">
        <v>1.170826714716658</v>
      </c>
      <c r="D88">
        <v>1.212088260638565</v>
      </c>
      <c r="F88">
        <v>41.319444444444443</v>
      </c>
      <c r="G88">
        <v>4.5162099813618559E-2</v>
      </c>
    </row>
    <row r="89" spans="1:7" x14ac:dyDescent="0.2">
      <c r="A89">
        <v>61</v>
      </c>
      <c r="B89">
        <v>-0.30406318820415651</v>
      </c>
      <c r="C89">
        <v>0.47456903009545426</v>
      </c>
      <c r="D89">
        <v>0.49129349630575692</v>
      </c>
      <c r="F89">
        <v>42.013888888888886</v>
      </c>
      <c r="G89">
        <v>5.5182858323510636E-2</v>
      </c>
    </row>
    <row r="90" spans="1:7" x14ac:dyDescent="0.2">
      <c r="A90">
        <v>62</v>
      </c>
      <c r="B90">
        <v>1.3868273273354836</v>
      </c>
      <c r="C90">
        <v>-5.8552180181728142E-2</v>
      </c>
      <c r="D90">
        <v>-6.0615639651032109E-2</v>
      </c>
      <c r="F90">
        <v>42.708333333333329</v>
      </c>
      <c r="G90">
        <v>6.2862567183433013E-2</v>
      </c>
    </row>
    <row r="91" spans="1:7" x14ac:dyDescent="0.2">
      <c r="A91">
        <v>63</v>
      </c>
      <c r="B91">
        <v>0.58440035526036282</v>
      </c>
      <c r="C91">
        <v>-0.57103845872000958</v>
      </c>
      <c r="D91">
        <v>-0.59116264045543632</v>
      </c>
      <c r="F91">
        <v>43.402777777777779</v>
      </c>
      <c r="G91">
        <v>6.4450144874432388E-2</v>
      </c>
    </row>
    <row r="92" spans="1:7" x14ac:dyDescent="0.2">
      <c r="A92">
        <v>64</v>
      </c>
      <c r="B92">
        <v>0.48007896970395036</v>
      </c>
      <c r="C92">
        <v>-0.43491686989033179</v>
      </c>
      <c r="D92">
        <v>-0.45024393936494211</v>
      </c>
      <c r="F92">
        <v>44.097222222222221</v>
      </c>
      <c r="G92">
        <v>0.17050584189129772</v>
      </c>
    </row>
    <row r="93" spans="1:7" x14ac:dyDescent="0.2">
      <c r="A93">
        <v>65</v>
      </c>
      <c r="B93">
        <v>-1.0790579479710158</v>
      </c>
      <c r="C93">
        <v>-1.4489893356571495</v>
      </c>
      <c r="D93">
        <v>-1.5000537154343394</v>
      </c>
      <c r="F93">
        <v>44.791666666666664</v>
      </c>
      <c r="G93">
        <v>0.20128346879376346</v>
      </c>
    </row>
    <row r="94" spans="1:7" x14ac:dyDescent="0.2">
      <c r="A94">
        <v>66</v>
      </c>
      <c r="B94">
        <v>-0.46586814445289559</v>
      </c>
      <c r="C94">
        <v>-0.38511689556299578</v>
      </c>
      <c r="D94">
        <v>-0.39868894535639354</v>
      </c>
      <c r="F94">
        <v>45.486111111111107</v>
      </c>
      <c r="G94">
        <v>0.25176219913533959</v>
      </c>
    </row>
    <row r="95" spans="1:7" x14ac:dyDescent="0.2">
      <c r="A95">
        <v>67</v>
      </c>
      <c r="B95">
        <v>-0.23260217406023273</v>
      </c>
      <c r="C95">
        <v>-2.2720954901065298</v>
      </c>
      <c r="D95">
        <v>-2.3521672643713285</v>
      </c>
      <c r="F95">
        <v>46.18055555555555</v>
      </c>
      <c r="G95">
        <v>0.27937046819359035</v>
      </c>
    </row>
    <row r="96" spans="1:7" x14ac:dyDescent="0.2">
      <c r="A96">
        <v>68</v>
      </c>
      <c r="B96">
        <v>1.5176485244565701</v>
      </c>
      <c r="C96">
        <v>-2.7970016312761974</v>
      </c>
      <c r="D96">
        <v>-2.8955718208712309</v>
      </c>
      <c r="F96">
        <v>46.875</v>
      </c>
      <c r="G96">
        <v>0.29248739326307094</v>
      </c>
    </row>
    <row r="97" spans="1:7" x14ac:dyDescent="0.2">
      <c r="A97">
        <v>69</v>
      </c>
      <c r="B97">
        <v>0.79184702500412485</v>
      </c>
      <c r="C97">
        <v>0.52832586760025924</v>
      </c>
      <c r="D97">
        <v>0.54694479879965108</v>
      </c>
      <c r="F97">
        <v>47.569444444444443</v>
      </c>
      <c r="G97">
        <v>0.32195109833132546</v>
      </c>
    </row>
    <row r="98" spans="1:7" x14ac:dyDescent="0.2">
      <c r="A98">
        <v>70</v>
      </c>
      <c r="B98">
        <v>0.45459101266396162</v>
      </c>
      <c r="C98">
        <v>-1.2945789982201317</v>
      </c>
      <c r="D98">
        <v>-1.3402017450478063</v>
      </c>
      <c r="F98">
        <v>48.263888888888886</v>
      </c>
      <c r="G98">
        <v>0.3416951439283733</v>
      </c>
    </row>
    <row r="99" spans="1:7" x14ac:dyDescent="0.2">
      <c r="A99">
        <v>71</v>
      </c>
      <c r="B99">
        <v>0.54093466300157433</v>
      </c>
      <c r="C99">
        <v>0.76636511148084585</v>
      </c>
      <c r="D99">
        <v>0.79337287346889263</v>
      </c>
      <c r="F99">
        <v>48.958333333333329</v>
      </c>
      <c r="G99">
        <v>0.3941440510082177</v>
      </c>
    </row>
    <row r="100" spans="1:7" x14ac:dyDescent="0.2">
      <c r="A100">
        <v>72</v>
      </c>
      <c r="B100">
        <v>1.1225478409402125</v>
      </c>
      <c r="C100">
        <v>-0.32324740838186383</v>
      </c>
      <c r="D100">
        <v>-0.33463909223861066</v>
      </c>
      <c r="F100">
        <v>49.652777777777779</v>
      </c>
      <c r="G100">
        <v>0.39463790345239053</v>
      </c>
    </row>
    <row r="101" spans="1:7" x14ac:dyDescent="0.2">
      <c r="A101">
        <v>73</v>
      </c>
      <c r="B101">
        <v>0.83044383725323967</v>
      </c>
      <c r="C101">
        <v>-0.85153778688468595</v>
      </c>
      <c r="D101">
        <v>-0.88154715125615435</v>
      </c>
      <c r="F101">
        <v>50.347222222222221</v>
      </c>
      <c r="G101">
        <v>0.44664249623499269</v>
      </c>
    </row>
    <row r="102" spans="1:7" x14ac:dyDescent="0.2">
      <c r="A102">
        <v>74</v>
      </c>
      <c r="B102">
        <v>-2.9689040664640891</v>
      </c>
      <c r="C102">
        <v>-1.183790757873322</v>
      </c>
      <c r="D102">
        <v>-1.2255091745305124</v>
      </c>
      <c r="F102">
        <v>51.041666666666664</v>
      </c>
      <c r="G102">
        <v>0.44906329589973976</v>
      </c>
    </row>
    <row r="103" spans="1:7" x14ac:dyDescent="0.2">
      <c r="A103">
        <v>75</v>
      </c>
      <c r="B103">
        <v>-7.4133560763188147</v>
      </c>
      <c r="C103">
        <v>0.40862758695162693</v>
      </c>
      <c r="D103">
        <v>0.42302818588914165</v>
      </c>
      <c r="F103">
        <v>51.736111111111107</v>
      </c>
      <c r="G103">
        <v>0.51269214936388086</v>
      </c>
    </row>
    <row r="104" spans="1:7" x14ac:dyDescent="0.2">
      <c r="A104">
        <v>76</v>
      </c>
      <c r="B104">
        <v>4.7228002517401082</v>
      </c>
      <c r="C104">
        <v>-0.22091800809441509</v>
      </c>
      <c r="D104">
        <v>-0.22870346295412067</v>
      </c>
      <c r="F104">
        <v>52.43055555555555</v>
      </c>
      <c r="G104">
        <v>0.54311279831289316</v>
      </c>
    </row>
    <row r="105" spans="1:7" x14ac:dyDescent="0.2">
      <c r="A105">
        <v>77</v>
      </c>
      <c r="B105">
        <v>2.2842875474806297</v>
      </c>
      <c r="C105">
        <v>0.42273052004592282</v>
      </c>
      <c r="D105">
        <v>0.43762812576863436</v>
      </c>
      <c r="F105">
        <v>53.125</v>
      </c>
      <c r="G105">
        <v>0.64991632276644051</v>
      </c>
    </row>
    <row r="106" spans="1:7" x14ac:dyDescent="0.2">
      <c r="A106">
        <v>78</v>
      </c>
      <c r="B106">
        <v>0.42926943660939143</v>
      </c>
      <c r="C106">
        <v>1.027790532903079</v>
      </c>
      <c r="D106">
        <v>1.064011286784446</v>
      </c>
      <c r="F106">
        <v>53.819444444444443</v>
      </c>
      <c r="G106">
        <v>0.74520035393408268</v>
      </c>
    </row>
    <row r="107" spans="1:7" x14ac:dyDescent="0.2">
      <c r="A107">
        <v>79</v>
      </c>
      <c r="B107">
        <v>2.2636535291670805</v>
      </c>
      <c r="C107">
        <v>-2.7165257214770056</v>
      </c>
      <c r="D107">
        <v>-2.8122598291770422</v>
      </c>
      <c r="F107">
        <v>54.513888888888886</v>
      </c>
      <c r="G107">
        <v>0.76476526172699799</v>
      </c>
    </row>
    <row r="108" spans="1:7" x14ac:dyDescent="0.2">
      <c r="A108">
        <v>80</v>
      </c>
      <c r="B108">
        <v>0.18275488918720345</v>
      </c>
      <c r="C108">
        <v>1.2918952720446939</v>
      </c>
      <c r="D108">
        <v>1.3374234406658434</v>
      </c>
      <c r="F108">
        <v>55.208333333333329</v>
      </c>
      <c r="G108">
        <v>0.76715041455256716</v>
      </c>
    </row>
    <row r="109" spans="1:7" x14ac:dyDescent="0.2">
      <c r="A109">
        <v>81</v>
      </c>
      <c r="B109">
        <v>-8.9087774617454582E-2</v>
      </c>
      <c r="C109">
        <v>-0.23151139945671051</v>
      </c>
      <c r="D109">
        <v>-0.23967018001753818</v>
      </c>
      <c r="F109">
        <v>55.902777777777779</v>
      </c>
      <c r="G109">
        <v>0.77913542886387466</v>
      </c>
    </row>
    <row r="110" spans="1:7" x14ac:dyDescent="0.2">
      <c r="A110">
        <v>82</v>
      </c>
      <c r="B110">
        <v>-0.42203556962103134</v>
      </c>
      <c r="C110">
        <v>-1.4781426313119024</v>
      </c>
      <c r="D110">
        <v>-1.5302344133786996</v>
      </c>
      <c r="F110">
        <v>56.597222222222221</v>
      </c>
      <c r="G110">
        <v>0.79790760681101336</v>
      </c>
    </row>
    <row r="111" spans="1:7" x14ac:dyDescent="0.2">
      <c r="A111">
        <v>83</v>
      </c>
      <c r="B111">
        <v>3.1825155856354721</v>
      </c>
      <c r="C111">
        <v>2.4041867108172887</v>
      </c>
      <c r="D111">
        <v>2.4889135616196576</v>
      </c>
      <c r="F111">
        <v>57.291666666666664</v>
      </c>
      <c r="G111">
        <v>0.79930043255834871</v>
      </c>
    </row>
    <row r="112" spans="1:7" x14ac:dyDescent="0.2">
      <c r="A112">
        <v>84</v>
      </c>
      <c r="B112">
        <v>1.0358499023657106</v>
      </c>
      <c r="C112">
        <v>0.81610361695326006</v>
      </c>
      <c r="D112">
        <v>0.8448642323754153</v>
      </c>
      <c r="F112">
        <v>57.986111111111107</v>
      </c>
      <c r="G112">
        <v>0.80909571022157933</v>
      </c>
    </row>
    <row r="113" spans="1:7" x14ac:dyDescent="0.2">
      <c r="A113">
        <v>85</v>
      </c>
      <c r="B113">
        <v>-1.0193458563344879</v>
      </c>
      <c r="C113">
        <v>0.29820550863773687</v>
      </c>
      <c r="D113">
        <v>0.30871468145909609</v>
      </c>
      <c r="F113">
        <v>58.68055555555555</v>
      </c>
      <c r="G113">
        <v>0.8173714702258239</v>
      </c>
    </row>
    <row r="114" spans="1:7" x14ac:dyDescent="0.2">
      <c r="A114">
        <v>86</v>
      </c>
      <c r="B114">
        <v>-0.62929160594170741</v>
      </c>
      <c r="C114">
        <v>0.60041871351951559</v>
      </c>
      <c r="D114">
        <v>0.62157829589738534</v>
      </c>
      <c r="F114">
        <v>59.375</v>
      </c>
      <c r="G114">
        <v>0.8220675256694463</v>
      </c>
    </row>
    <row r="115" spans="1:7" x14ac:dyDescent="0.2">
      <c r="A115">
        <v>87</v>
      </c>
      <c r="B115">
        <v>1.324131281443701</v>
      </c>
      <c r="C115">
        <v>0.83128365602934484</v>
      </c>
      <c r="D115">
        <v>0.86057923693491567</v>
      </c>
      <c r="F115">
        <v>60.069444444444443</v>
      </c>
      <c r="G115">
        <v>0.94080499762717185</v>
      </c>
    </row>
    <row r="116" spans="1:7" x14ac:dyDescent="0.2">
      <c r="A116">
        <v>88</v>
      </c>
      <c r="B116">
        <v>0.55103745627979805</v>
      </c>
      <c r="C116">
        <v>1.7599341575007963</v>
      </c>
      <c r="D116">
        <v>1.82195666104166</v>
      </c>
      <c r="F116">
        <v>60.763888888888886</v>
      </c>
      <c r="G116">
        <v>0.98384974618307341</v>
      </c>
    </row>
    <row r="117" spans="1:7" x14ac:dyDescent="0.2">
      <c r="A117">
        <v>89</v>
      </c>
      <c r="B117">
        <v>1.0024354080715077</v>
      </c>
      <c r="C117">
        <v>-0.75067320893616807</v>
      </c>
      <c r="D117">
        <v>-0.7771279666672134</v>
      </c>
      <c r="F117">
        <v>61.458333333333329</v>
      </c>
      <c r="G117">
        <v>1.084910181769061</v>
      </c>
    </row>
    <row r="118" spans="1:7" x14ac:dyDescent="0.2">
      <c r="A118">
        <v>90</v>
      </c>
      <c r="B118">
        <v>0.95682699926698234</v>
      </c>
      <c r="C118">
        <v>0.23668499541075538</v>
      </c>
      <c r="D118">
        <v>0.24502610061822461</v>
      </c>
      <c r="F118">
        <v>62.152777777777771</v>
      </c>
      <c r="G118">
        <v>1.088562294937061</v>
      </c>
    </row>
    <row r="119" spans="1:7" x14ac:dyDescent="0.2">
      <c r="A119">
        <v>91</v>
      </c>
      <c r="B119">
        <v>0.93597916975560624</v>
      </c>
      <c r="C119">
        <v>0.15258312518145478</v>
      </c>
      <c r="D119">
        <v>0.15796036465459601</v>
      </c>
      <c r="F119">
        <v>62.847222222222221</v>
      </c>
      <c r="G119">
        <v>1.1252408849651883</v>
      </c>
    </row>
    <row r="120" spans="1:7" x14ac:dyDescent="0.2">
      <c r="A120">
        <v>92</v>
      </c>
      <c r="B120">
        <v>0.70606919655801537</v>
      </c>
      <c r="C120">
        <v>0.77384753879117818</v>
      </c>
      <c r="D120">
        <v>0.80111899182264923</v>
      </c>
      <c r="F120">
        <v>63.541666666666664</v>
      </c>
      <c r="G120">
        <v>1.1573512190828252</v>
      </c>
    </row>
    <row r="121" spans="1:7" x14ac:dyDescent="0.2">
      <c r="A121">
        <v>93</v>
      </c>
      <c r="B121">
        <v>-1.0598589120040549</v>
      </c>
      <c r="C121">
        <v>-0.27137300734071546</v>
      </c>
      <c r="D121">
        <v>-0.28093656586189653</v>
      </c>
      <c r="F121">
        <v>64.236111111111114</v>
      </c>
      <c r="G121">
        <v>1.1607317321410837</v>
      </c>
    </row>
    <row r="122" spans="1:7" x14ac:dyDescent="0.2">
      <c r="A122">
        <v>94</v>
      </c>
      <c r="B122">
        <v>1.3559528410214596</v>
      </c>
      <c r="C122">
        <v>0.35705926775338548</v>
      </c>
      <c r="D122">
        <v>0.36964252810102294</v>
      </c>
      <c r="F122">
        <v>64.930555555555557</v>
      </c>
      <c r="G122">
        <v>1.1935119946777377</v>
      </c>
    </row>
    <row r="123" spans="1:7" x14ac:dyDescent="0.2">
      <c r="A123">
        <v>95</v>
      </c>
      <c r="B123">
        <v>-0.64345209385312807</v>
      </c>
      <c r="C123">
        <v>0.98514723778150137</v>
      </c>
      <c r="D123">
        <v>1.0198651832132455</v>
      </c>
      <c r="F123">
        <v>65.625</v>
      </c>
      <c r="G123">
        <v>1.2933080083597004</v>
      </c>
    </row>
    <row r="124" spans="1:7" x14ac:dyDescent="0.2">
      <c r="A124">
        <v>96</v>
      </c>
      <c r="B124">
        <v>0.88485291044586278</v>
      </c>
      <c r="C124">
        <v>0.4744401826872523</v>
      </c>
      <c r="D124">
        <v>0.49116010813743766</v>
      </c>
      <c r="F124">
        <v>66.319444444444443</v>
      </c>
      <c r="G124">
        <v>1.3006576888791135</v>
      </c>
    </row>
    <row r="125" spans="1:7" x14ac:dyDescent="0.2">
      <c r="A125">
        <v>97</v>
      </c>
      <c r="B125">
        <v>-2.4010834671206855</v>
      </c>
      <c r="C125">
        <v>0.14427160637862224</v>
      </c>
      <c r="D125">
        <v>0.14935593648229553</v>
      </c>
      <c r="F125">
        <v>67.013888888888886</v>
      </c>
      <c r="G125">
        <v>1.3072997744824202</v>
      </c>
    </row>
    <row r="126" spans="1:7" x14ac:dyDescent="0.2">
      <c r="A126">
        <v>98</v>
      </c>
      <c r="B126">
        <v>-1.3558256909231747</v>
      </c>
      <c r="C126">
        <v>0.24860468808242309</v>
      </c>
      <c r="D126">
        <v>0.25736585967577597</v>
      </c>
      <c r="F126">
        <v>67.708333333333343</v>
      </c>
      <c r="G126">
        <v>1.3201728926043841</v>
      </c>
    </row>
    <row r="127" spans="1:7" x14ac:dyDescent="0.2">
      <c r="A127">
        <v>99</v>
      </c>
      <c r="B127">
        <v>1.0647736077714063</v>
      </c>
      <c r="C127">
        <v>0.93177532545977582</v>
      </c>
      <c r="D127">
        <v>0.96461237119601217</v>
      </c>
      <c r="F127">
        <v>68.402777777777786</v>
      </c>
      <c r="G127">
        <v>1.3282751471537555</v>
      </c>
    </row>
    <row r="128" spans="1:7" x14ac:dyDescent="0.2">
      <c r="A128">
        <v>100</v>
      </c>
      <c r="B128">
        <v>-3.5631713613418787</v>
      </c>
      <c r="C128">
        <v>1.8467925954749442</v>
      </c>
      <c r="D128">
        <v>1.9118761099938866</v>
      </c>
      <c r="F128">
        <v>69.097222222222229</v>
      </c>
      <c r="G128">
        <v>1.3592930931331151</v>
      </c>
    </row>
    <row r="129" spans="1:7" x14ac:dyDescent="0.2">
      <c r="A129">
        <v>101</v>
      </c>
      <c r="B129">
        <v>-0.37936944694984304</v>
      </c>
      <c r="C129">
        <v>-0.44101820881768111</v>
      </c>
      <c r="D129">
        <v>-0.4565602978790258</v>
      </c>
      <c r="F129">
        <v>69.791666666666671</v>
      </c>
      <c r="G129">
        <v>1.3893836371301047</v>
      </c>
    </row>
    <row r="130" spans="1:7" x14ac:dyDescent="0.2">
      <c r="A130">
        <v>102</v>
      </c>
      <c r="B130">
        <v>-4.2189472725963402</v>
      </c>
      <c r="C130">
        <v>0.53142306128911265</v>
      </c>
      <c r="D130">
        <v>0.55015114185964142</v>
      </c>
      <c r="F130">
        <v>70.486111111111114</v>
      </c>
      <c r="G130">
        <v>1.4570599695124704</v>
      </c>
    </row>
    <row r="131" spans="1:7" x14ac:dyDescent="0.2">
      <c r="A131">
        <v>103</v>
      </c>
      <c r="B131">
        <v>4.2842535685412759</v>
      </c>
      <c r="C131">
        <v>-0.46276468238433122</v>
      </c>
      <c r="D131">
        <v>-0.47907314712401616</v>
      </c>
      <c r="F131">
        <v>71.180555555555557</v>
      </c>
      <c r="G131">
        <v>1.4746501612318974</v>
      </c>
    </row>
    <row r="132" spans="1:7" x14ac:dyDescent="0.2">
      <c r="A132">
        <v>104</v>
      </c>
      <c r="B132">
        <v>-3.3244488223202597</v>
      </c>
      <c r="C132">
        <v>1.4976539032476046</v>
      </c>
      <c r="D132">
        <v>1.5504332894088855</v>
      </c>
      <c r="F132">
        <v>71.875</v>
      </c>
      <c r="G132">
        <v>1.4799167353491935</v>
      </c>
    </row>
    <row r="133" spans="1:7" x14ac:dyDescent="0.2">
      <c r="A133">
        <v>105</v>
      </c>
      <c r="B133">
        <v>-4.7877632552225675</v>
      </c>
      <c r="C133">
        <v>0.10090335563737707</v>
      </c>
      <c r="D133">
        <v>0.10445932885696123</v>
      </c>
      <c r="F133">
        <v>72.569444444444443</v>
      </c>
      <c r="G133">
        <v>1.5120608050198472</v>
      </c>
    </row>
    <row r="134" spans="1:7" x14ac:dyDescent="0.2">
      <c r="A134">
        <v>106</v>
      </c>
      <c r="B134">
        <v>2.5867214201034843</v>
      </c>
      <c r="C134">
        <v>-0.342564476168433</v>
      </c>
      <c r="D134">
        <v>-0.35463692009798448</v>
      </c>
      <c r="F134">
        <v>73.263888888888886</v>
      </c>
      <c r="G134">
        <v>1.5632378548125487</v>
      </c>
    </row>
    <row r="135" spans="1:7" x14ac:dyDescent="0.2">
      <c r="A135">
        <v>107</v>
      </c>
      <c r="B135">
        <v>2.461898422693686</v>
      </c>
      <c r="C135">
        <v>5.7969711047604289E-2</v>
      </c>
      <c r="D135">
        <v>6.0012643502428957E-2</v>
      </c>
      <c r="F135">
        <v>73.958333333333343</v>
      </c>
      <c r="G135">
        <v>1.5752476292840976</v>
      </c>
    </row>
    <row r="136" spans="1:7" x14ac:dyDescent="0.2">
      <c r="A136">
        <v>108</v>
      </c>
      <c r="B136">
        <v>-1.1742169492110408</v>
      </c>
      <c r="C136">
        <v>-0.21082295214747226</v>
      </c>
      <c r="D136">
        <v>-0.21825264333241423</v>
      </c>
      <c r="F136">
        <v>74.652777777777786</v>
      </c>
      <c r="G136">
        <v>1.7130121087748451</v>
      </c>
    </row>
    <row r="137" spans="1:7" x14ac:dyDescent="0.2">
      <c r="A137">
        <v>109</v>
      </c>
      <c r="B137">
        <v>2.0474704876664505</v>
      </c>
      <c r="C137">
        <v>1.0224008950713839</v>
      </c>
      <c r="D137">
        <v>1.0584317106928021</v>
      </c>
      <c r="F137">
        <v>75.347222222222229</v>
      </c>
      <c r="G137">
        <v>1.8101887790863302</v>
      </c>
    </row>
    <row r="138" spans="1:7" x14ac:dyDescent="0.2">
      <c r="A138">
        <v>110</v>
      </c>
      <c r="B138">
        <v>-1.0208377022187871</v>
      </c>
      <c r="C138">
        <v>0.86060393164949112</v>
      </c>
      <c r="D138">
        <v>0.89093279944861936</v>
      </c>
      <c r="F138">
        <v>76.041666666666671</v>
      </c>
      <c r="G138">
        <v>1.8519535193189707</v>
      </c>
    </row>
    <row r="139" spans="1:7" x14ac:dyDescent="0.2">
      <c r="A139">
        <v>111</v>
      </c>
      <c r="B139">
        <v>1.1759599209190559</v>
      </c>
      <c r="C139">
        <v>-1.4340505930619591</v>
      </c>
      <c r="D139">
        <v>-1.4845885109760404</v>
      </c>
      <c r="F139">
        <v>76.736111111111114</v>
      </c>
      <c r="G139">
        <v>1.9551601207275044</v>
      </c>
    </row>
    <row r="140" spans="1:7" x14ac:dyDescent="0.2">
      <c r="A140">
        <v>112</v>
      </c>
      <c r="B140">
        <v>0.52851495242885727</v>
      </c>
      <c r="C140">
        <v>0.41229004519831458</v>
      </c>
      <c r="D140">
        <v>0.42681971420848253</v>
      </c>
      <c r="F140">
        <v>77.430555555555557</v>
      </c>
      <c r="G140">
        <v>1.9636320377819911</v>
      </c>
    </row>
    <row r="141" spans="1:7" x14ac:dyDescent="0.2">
      <c r="A141">
        <v>113</v>
      </c>
      <c r="B141">
        <v>-0.63622748454606892</v>
      </c>
      <c r="C141">
        <v>-0.84538478429421238</v>
      </c>
      <c r="D141">
        <v>-0.87517730838030527</v>
      </c>
      <c r="F141">
        <v>78.125</v>
      </c>
      <c r="G141">
        <v>1.9965489332311821</v>
      </c>
    </row>
    <row r="142" spans="1:7" x14ac:dyDescent="0.2">
      <c r="A142">
        <v>114</v>
      </c>
      <c r="B142">
        <v>0.48446617814068355</v>
      </c>
      <c r="C142">
        <v>0.28268423641188362</v>
      </c>
      <c r="D142">
        <v>0.2926464182236736</v>
      </c>
      <c r="F142">
        <v>78.819444444444443</v>
      </c>
      <c r="G142">
        <v>2.1127325139720563</v>
      </c>
    </row>
    <row r="143" spans="1:7" x14ac:dyDescent="0.2">
      <c r="A143">
        <v>115</v>
      </c>
      <c r="B143">
        <v>1.2783419846908479</v>
      </c>
      <c r="C143">
        <v>0.68529005309114321</v>
      </c>
      <c r="D143">
        <v>0.70944061836269934</v>
      </c>
      <c r="F143">
        <v>79.513888888888886</v>
      </c>
      <c r="G143">
        <v>2.1320616401803507</v>
      </c>
    </row>
    <row r="144" spans="1:7" x14ac:dyDescent="0.2">
      <c r="A144">
        <v>116</v>
      </c>
      <c r="B144">
        <v>0.6336677667333066</v>
      </c>
      <c r="C144">
        <v>-1.2589052360918211</v>
      </c>
      <c r="D144">
        <v>-1.3032707904111915</v>
      </c>
      <c r="F144">
        <v>80.208333333333343</v>
      </c>
      <c r="G144">
        <v>2.1528110708148573</v>
      </c>
    </row>
    <row r="145" spans="1:7" x14ac:dyDescent="0.2">
      <c r="A145">
        <v>117</v>
      </c>
      <c r="B145">
        <v>-0.13828203517293997</v>
      </c>
      <c r="C145">
        <v>0.41765250336653031</v>
      </c>
      <c r="D145">
        <v>0.43237115278787353</v>
      </c>
      <c r="F145">
        <v>80.902777777777786</v>
      </c>
      <c r="G145">
        <v>2.1554149374730458</v>
      </c>
    </row>
    <row r="146" spans="1:7" x14ac:dyDescent="0.2">
      <c r="A146">
        <v>118</v>
      </c>
      <c r="B146">
        <v>-7.9136431557968429E-2</v>
      </c>
      <c r="C146">
        <v>-1.6233305687436863</v>
      </c>
      <c r="D146">
        <v>-1.680538973682467</v>
      </c>
      <c r="F146">
        <v>81.597222222222229</v>
      </c>
      <c r="G146">
        <v>2.1937669383125291</v>
      </c>
    </row>
    <row r="147" spans="1:7" x14ac:dyDescent="0.2">
      <c r="A147">
        <v>119</v>
      </c>
      <c r="B147">
        <v>2.91511213069762</v>
      </c>
      <c r="C147">
        <v>0.25157522560089651</v>
      </c>
      <c r="D147">
        <v>0.26044108302750774</v>
      </c>
      <c r="F147">
        <v>82.291666666666671</v>
      </c>
      <c r="G147">
        <v>2.2441569439350513</v>
      </c>
    </row>
    <row r="148" spans="1:7" x14ac:dyDescent="0.2">
      <c r="A148">
        <v>120</v>
      </c>
      <c r="B148">
        <v>2.9791907269635844</v>
      </c>
      <c r="C148">
        <v>0.60088065265376756</v>
      </c>
      <c r="D148">
        <v>0.62205651440292387</v>
      </c>
      <c r="F148">
        <v>82.986111111111114</v>
      </c>
      <c r="G148">
        <v>2.3109716137805942</v>
      </c>
    </row>
    <row r="149" spans="1:7" x14ac:dyDescent="0.2">
      <c r="A149">
        <v>121</v>
      </c>
      <c r="B149">
        <v>-6.1979152619800831E-2</v>
      </c>
      <c r="C149">
        <v>0.11716201094331147</v>
      </c>
      <c r="D149">
        <v>0.12129096156775149</v>
      </c>
      <c r="F149">
        <v>83.680555555555557</v>
      </c>
      <c r="G149">
        <v>2.3644571963769208</v>
      </c>
    </row>
    <row r="150" spans="1:7" x14ac:dyDescent="0.2">
      <c r="A150">
        <v>122</v>
      </c>
      <c r="B150">
        <v>0.17040853266688766</v>
      </c>
      <c r="C150">
        <v>0.6469629375589363</v>
      </c>
      <c r="D150">
        <v>0.66976280249396214</v>
      </c>
      <c r="F150">
        <v>84.375</v>
      </c>
      <c r="G150">
        <v>2.3878145236429944</v>
      </c>
    </row>
    <row r="151" spans="1:7" x14ac:dyDescent="0.2">
      <c r="A151">
        <v>123</v>
      </c>
      <c r="B151">
        <v>1.422049723210085</v>
      </c>
      <c r="C151">
        <v>1.1122670719614587</v>
      </c>
      <c r="D151">
        <v>1.1514648954226949</v>
      </c>
      <c r="F151">
        <v>85.069444444444443</v>
      </c>
      <c r="G151">
        <v>2.4047017706743326</v>
      </c>
    </row>
    <row r="152" spans="1:7" x14ac:dyDescent="0.2">
      <c r="A152">
        <v>124</v>
      </c>
      <c r="B152">
        <v>-0.55829296259961447</v>
      </c>
      <c r="C152">
        <v>6.1796989841222949E-2</v>
      </c>
      <c r="D152">
        <v>6.3974800871770113E-2</v>
      </c>
      <c r="F152">
        <v>85.763888888888886</v>
      </c>
      <c r="G152">
        <v>2.4711222871909655</v>
      </c>
    </row>
    <row r="153" spans="1:7" x14ac:dyDescent="0.2">
      <c r="A153">
        <v>125</v>
      </c>
      <c r="B153">
        <v>0.99535532001876714</v>
      </c>
      <c r="C153">
        <v>0.16199589906405809</v>
      </c>
      <c r="D153">
        <v>0.16770485765235765</v>
      </c>
      <c r="F153">
        <v>86.458333333333343</v>
      </c>
      <c r="G153">
        <v>2.5118747000438195</v>
      </c>
    </row>
    <row r="154" spans="1:7" x14ac:dyDescent="0.2">
      <c r="A154">
        <v>126</v>
      </c>
      <c r="B154">
        <v>0.57229743118407117</v>
      </c>
      <c r="C154">
        <v>0.58843430095701255</v>
      </c>
      <c r="D154">
        <v>0.60917153613091157</v>
      </c>
      <c r="F154">
        <v>87.152777777777786</v>
      </c>
      <c r="G154">
        <v>2.5198681337412903</v>
      </c>
    </row>
    <row r="155" spans="1:7" x14ac:dyDescent="0.2">
      <c r="A155">
        <v>127</v>
      </c>
      <c r="B155">
        <v>0.62368722612523353</v>
      </c>
      <c r="C155">
        <v>0.36016252005783989</v>
      </c>
      <c r="D155">
        <v>0.37285514329057218</v>
      </c>
      <c r="F155">
        <v>87.847222222222229</v>
      </c>
      <c r="G155">
        <v>2.5257042870557784</v>
      </c>
    </row>
    <row r="156" spans="1:7" x14ac:dyDescent="0.2">
      <c r="A156">
        <v>128</v>
      </c>
      <c r="B156">
        <v>1.7244947362168406</v>
      </c>
      <c r="C156">
        <v>-1.5232112674230771</v>
      </c>
      <c r="D156">
        <v>-1.5768913302962182</v>
      </c>
      <c r="F156">
        <v>88.541666666666671</v>
      </c>
      <c r="G156">
        <v>2.5343167951715437</v>
      </c>
    </row>
    <row r="157" spans="1:7" x14ac:dyDescent="0.2">
      <c r="A157">
        <v>129</v>
      </c>
      <c r="B157">
        <v>1.0690614110873351</v>
      </c>
      <c r="C157">
        <v>-1.006198843903902</v>
      </c>
      <c r="D157">
        <v>-1.0416586769282601</v>
      </c>
      <c r="F157">
        <v>89.236111111111114</v>
      </c>
      <c r="G157">
        <v>2.6303236664701828</v>
      </c>
    </row>
    <row r="158" spans="1:7" x14ac:dyDescent="0.2">
      <c r="A158">
        <v>130</v>
      </c>
      <c r="B158">
        <v>-0.67026234030682041</v>
      </c>
      <c r="C158">
        <v>0.68550696860693006</v>
      </c>
      <c r="D158">
        <v>0.70966517828000464</v>
      </c>
      <c r="F158">
        <v>89.930555555555557</v>
      </c>
      <c r="G158">
        <v>2.6535892327475388</v>
      </c>
    </row>
    <row r="159" spans="1:7" x14ac:dyDescent="0.2">
      <c r="A159">
        <v>131</v>
      </c>
      <c r="B159">
        <v>2.0330453203492787</v>
      </c>
      <c r="C159">
        <v>0.47882937969454087</v>
      </c>
      <c r="D159">
        <v>0.49570398649218794</v>
      </c>
      <c r="F159">
        <v>90.625</v>
      </c>
      <c r="G159">
        <v>2.664630651168546</v>
      </c>
    </row>
    <row r="160" spans="1:7" x14ac:dyDescent="0.2">
      <c r="A160">
        <v>132</v>
      </c>
      <c r="B160">
        <v>-0.46251761469850899</v>
      </c>
      <c r="C160">
        <v>-0.26795514476271115</v>
      </c>
      <c r="D160">
        <v>-0.27739825309946742</v>
      </c>
      <c r="F160">
        <v>91.319444444444443</v>
      </c>
      <c r="G160">
        <v>2.683391280512204</v>
      </c>
    </row>
    <row r="161" spans="1:7" x14ac:dyDescent="0.2">
      <c r="A161">
        <v>133</v>
      </c>
      <c r="B161">
        <v>0.99139426445365098</v>
      </c>
      <c r="C161">
        <v>1.6732363867148949</v>
      </c>
      <c r="D161">
        <v>1.7322035414106691</v>
      </c>
      <c r="F161">
        <v>92.013888888888886</v>
      </c>
      <c r="G161">
        <v>2.7070180675265525</v>
      </c>
    </row>
    <row r="162" spans="1:7" x14ac:dyDescent="0.2">
      <c r="A162">
        <v>134</v>
      </c>
      <c r="B162">
        <v>0.27064088274035003</v>
      </c>
      <c r="C162">
        <v>-0.91044647218346531</v>
      </c>
      <c r="D162">
        <v>-0.94253185975555132</v>
      </c>
      <c r="F162">
        <v>92.708333333333343</v>
      </c>
      <c r="G162">
        <v>2.8438546235537174</v>
      </c>
    </row>
    <row r="163" spans="1:7" x14ac:dyDescent="0.2">
      <c r="A163">
        <v>135</v>
      </c>
      <c r="B163">
        <v>-0.49859419306641239</v>
      </c>
      <c r="C163">
        <v>-2.0694629067688437</v>
      </c>
      <c r="D163">
        <v>-2.1423936297255621</v>
      </c>
      <c r="F163">
        <v>93.402777777777786</v>
      </c>
      <c r="G163">
        <v>2.8609360739223297</v>
      </c>
    </row>
    <row r="164" spans="1:7" x14ac:dyDescent="0.2">
      <c r="A164">
        <v>136</v>
      </c>
      <c r="B164">
        <v>0.31506354148142807</v>
      </c>
      <c r="C164">
        <v>-0.44081018508971259</v>
      </c>
      <c r="D164">
        <v>-0.45634494310838758</v>
      </c>
      <c r="F164">
        <v>94.097222222222229</v>
      </c>
      <c r="G164">
        <v>3.0698713827378343</v>
      </c>
    </row>
    <row r="165" spans="1:7" x14ac:dyDescent="0.2">
      <c r="A165">
        <v>137</v>
      </c>
      <c r="B165">
        <v>0.8937274547892774</v>
      </c>
      <c r="C165">
        <v>1.4940870688537169</v>
      </c>
      <c r="D165">
        <v>1.546740754858613</v>
      </c>
      <c r="F165">
        <v>94.791666666666671</v>
      </c>
      <c r="G165">
        <v>3.1095108983661892</v>
      </c>
    </row>
    <row r="166" spans="1:7" x14ac:dyDescent="0.2">
      <c r="A166">
        <v>138</v>
      </c>
      <c r="B166">
        <v>0.94372722559778199</v>
      </c>
      <c r="C166">
        <v>0.35693046328133149</v>
      </c>
      <c r="D166">
        <v>0.36950918438198066</v>
      </c>
      <c r="F166">
        <v>95.486111111111114</v>
      </c>
      <c r="G166">
        <v>3.1666873562985165</v>
      </c>
    </row>
    <row r="167" spans="1:7" x14ac:dyDescent="0.2">
      <c r="A167">
        <v>139</v>
      </c>
      <c r="B167">
        <v>0.7111566057932337</v>
      </c>
      <c r="C167">
        <v>1.6533005905836871</v>
      </c>
      <c r="D167">
        <v>1.7115651803676615</v>
      </c>
      <c r="F167">
        <v>96.180555555555557</v>
      </c>
      <c r="G167">
        <v>3.3950819422879635</v>
      </c>
    </row>
    <row r="168" spans="1:7" x14ac:dyDescent="0.2">
      <c r="A168">
        <v>140</v>
      </c>
      <c r="B168">
        <v>0.36437248837594516</v>
      </c>
      <c r="C168">
        <v>-0.40200818174117248</v>
      </c>
      <c r="D168">
        <v>-0.41617550372264084</v>
      </c>
      <c r="F168">
        <v>96.875</v>
      </c>
      <c r="G168">
        <v>3.4388141552305238</v>
      </c>
    </row>
    <row r="169" spans="1:7" x14ac:dyDescent="0.2">
      <c r="A169">
        <v>141</v>
      </c>
      <c r="B169">
        <v>0.8860382046925197</v>
      </c>
      <c r="C169">
        <v>0.62602260032732748</v>
      </c>
      <c r="D169">
        <v>0.64808449893869347</v>
      </c>
      <c r="F169">
        <v>97.569444444444443</v>
      </c>
      <c r="G169">
        <v>3.580071379617352</v>
      </c>
    </row>
    <row r="170" spans="1:7" x14ac:dyDescent="0.2">
      <c r="A170">
        <v>142</v>
      </c>
      <c r="B170">
        <v>0.84464801376198895</v>
      </c>
      <c r="C170">
        <v>1.7856756527081938</v>
      </c>
      <c r="D170">
        <v>1.8486053219920733</v>
      </c>
      <c r="F170">
        <v>98.263888888888886</v>
      </c>
      <c r="G170">
        <v>3.8214888861569447</v>
      </c>
    </row>
    <row r="171" spans="1:7" x14ac:dyDescent="0.2">
      <c r="A171">
        <v>143</v>
      </c>
      <c r="B171">
        <v>0.4735296615780803</v>
      </c>
      <c r="C171">
        <v>-0.40907951670364789</v>
      </c>
      <c r="D171">
        <v>-0.42349604226803411</v>
      </c>
      <c r="F171">
        <v>98.958333333333343</v>
      </c>
      <c r="G171">
        <v>4.5018822436456931</v>
      </c>
    </row>
    <row r="172" spans="1:7" ht="17" thickBot="1" x14ac:dyDescent="0.25">
      <c r="A172" s="2">
        <v>144</v>
      </c>
      <c r="B172" s="2">
        <v>0.70030981361440292</v>
      </c>
      <c r="C172" s="2">
        <v>-5.0393490847962408E-2</v>
      </c>
      <c r="D172" s="2">
        <v>-5.2169426868769374E-2</v>
      </c>
      <c r="F172" s="2">
        <v>99.652777777777786</v>
      </c>
      <c r="G172" s="2">
        <v>5.5867022964527608</v>
      </c>
    </row>
  </sheetData>
  <sortState xmlns:xlrd2="http://schemas.microsoft.com/office/spreadsheetml/2017/richdata2" ref="G29:G172">
    <sortCondition ref="G29"/>
  </sortState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1AA9D-D2F1-804C-8BA6-32A2C1B39683}">
  <dimension ref="A1:I171"/>
  <sheetViews>
    <sheetView workbookViewId="0">
      <selection activeCell="H26" sqref="H26"/>
    </sheetView>
  </sheetViews>
  <sheetFormatPr baseColWidth="10" defaultRowHeight="16" x14ac:dyDescent="0.2"/>
  <cols>
    <col min="1" max="1" width="18" bestFit="1" customWidth="1"/>
    <col min="2" max="2" width="25" bestFit="1" customWidth="1"/>
    <col min="3" max="3" width="13.5" bestFit="1" customWidth="1"/>
    <col min="4" max="4" width="17.5" bestFit="1" customWidth="1"/>
    <col min="5" max="5" width="12.1640625" bestFit="1" customWidth="1"/>
    <col min="6" max="6" width="19.6640625" bestFit="1" customWidth="1"/>
    <col min="7" max="7" width="16.6640625" bestFit="1" customWidth="1"/>
    <col min="8" max="8" width="12.33203125" bestFit="1" customWidth="1"/>
    <col min="9" max="9" width="12.83203125" bestFit="1" customWidth="1"/>
  </cols>
  <sheetData>
    <row r="1" spans="1:9" x14ac:dyDescent="0.2">
      <c r="A1" t="s">
        <v>21</v>
      </c>
    </row>
    <row r="2" spans="1:9" ht="17" thickBot="1" x14ac:dyDescent="0.25"/>
    <row r="3" spans="1:9" x14ac:dyDescent="0.2">
      <c r="A3" s="4" t="s">
        <v>22</v>
      </c>
      <c r="B3" s="4"/>
    </row>
    <row r="4" spans="1:9" x14ac:dyDescent="0.2">
      <c r="A4" t="s">
        <v>23</v>
      </c>
      <c r="B4">
        <v>0.85381662406358172</v>
      </c>
    </row>
    <row r="5" spans="1:9" x14ac:dyDescent="0.2">
      <c r="A5" t="s">
        <v>24</v>
      </c>
      <c r="B5">
        <v>0.72900282752733159</v>
      </c>
    </row>
    <row r="6" spans="1:9" x14ac:dyDescent="0.2">
      <c r="A6" t="s">
        <v>25</v>
      </c>
      <c r="B6">
        <v>0.72120434774394548</v>
      </c>
    </row>
    <row r="7" spans="1:9" x14ac:dyDescent="0.2">
      <c r="A7" t="s">
        <v>26</v>
      </c>
      <c r="B7">
        <v>0.98665414699061804</v>
      </c>
    </row>
    <row r="8" spans="1:9" ht="17" thickBot="1" x14ac:dyDescent="0.25">
      <c r="A8" s="2" t="s">
        <v>27</v>
      </c>
      <c r="B8" s="2">
        <v>144</v>
      </c>
    </row>
    <row r="10" spans="1:9" ht="17" thickBot="1" x14ac:dyDescent="0.25">
      <c r="A10" t="s">
        <v>28</v>
      </c>
    </row>
    <row r="11" spans="1:9" x14ac:dyDescent="0.2">
      <c r="A11" s="3"/>
      <c r="B11" s="3" t="s">
        <v>33</v>
      </c>
      <c r="C11" s="3" t="s">
        <v>34</v>
      </c>
      <c r="D11" s="3" t="s">
        <v>35</v>
      </c>
      <c r="E11" s="3" t="s">
        <v>36</v>
      </c>
      <c r="F11" s="3" t="s">
        <v>37</v>
      </c>
    </row>
    <row r="12" spans="1:9" x14ac:dyDescent="0.2">
      <c r="A12" t="s">
        <v>29</v>
      </c>
      <c r="B12">
        <v>4</v>
      </c>
      <c r="C12">
        <v>364.00650489876045</v>
      </c>
      <c r="D12">
        <v>91.001626224690114</v>
      </c>
      <c r="E12">
        <v>93.480120199887835</v>
      </c>
      <c r="F12">
        <v>2.0148980568971302E-38</v>
      </c>
    </row>
    <row r="13" spans="1:9" x14ac:dyDescent="0.2">
      <c r="A13" t="s">
        <v>30</v>
      </c>
      <c r="B13">
        <v>139</v>
      </c>
      <c r="C13">
        <v>135.31461040255599</v>
      </c>
      <c r="D13">
        <v>0.97348640577378409</v>
      </c>
    </row>
    <row r="14" spans="1:9" ht="17" thickBot="1" x14ac:dyDescent="0.25">
      <c r="A14" s="2" t="s">
        <v>31</v>
      </c>
      <c r="B14" s="2">
        <v>143</v>
      </c>
      <c r="C14" s="2">
        <v>499.32111530131647</v>
      </c>
      <c r="D14" s="2"/>
      <c r="E14" s="2"/>
      <c r="F14" s="2"/>
    </row>
    <row r="15" spans="1:9" ht="17" thickBot="1" x14ac:dyDescent="0.25"/>
    <row r="16" spans="1:9" x14ac:dyDescent="0.2">
      <c r="A16" s="3"/>
      <c r="B16" s="3" t="s">
        <v>38</v>
      </c>
      <c r="C16" s="3" t="s">
        <v>26</v>
      </c>
      <c r="D16" s="3" t="s">
        <v>39</v>
      </c>
      <c r="E16" s="3" t="s">
        <v>40</v>
      </c>
      <c r="F16" s="3" t="s">
        <v>41</v>
      </c>
      <c r="G16" s="3" t="s">
        <v>42</v>
      </c>
      <c r="H16" s="3" t="s">
        <v>43</v>
      </c>
      <c r="I16" s="3" t="s">
        <v>44</v>
      </c>
    </row>
    <row r="17" spans="1:9" x14ac:dyDescent="0.2">
      <c r="A17" t="s">
        <v>32</v>
      </c>
      <c r="B17">
        <v>0.44656556937702013</v>
      </c>
      <c r="C17">
        <v>8.4693380442896371E-2</v>
      </c>
      <c r="D17">
        <v>5.272732851631921</v>
      </c>
      <c r="E17">
        <v>5.0242050708895318E-7</v>
      </c>
      <c r="F17">
        <v>0.27911170415354036</v>
      </c>
      <c r="G17">
        <v>0.6140194346004999</v>
      </c>
      <c r="H17">
        <v>0.27911170415354036</v>
      </c>
      <c r="I17">
        <v>0.6140194346004999</v>
      </c>
    </row>
    <row r="18" spans="1:9" x14ac:dyDescent="0.2">
      <c r="A18" t="s">
        <v>17</v>
      </c>
      <c r="B18">
        <v>0.66044922264276007</v>
      </c>
      <c r="C18">
        <v>5.0740884549741641E-2</v>
      </c>
      <c r="D18">
        <v>13.016115672861735</v>
      </c>
      <c r="E18">
        <v>7.9697247293456947E-26</v>
      </c>
      <c r="F18">
        <v>0.56012547599007523</v>
      </c>
      <c r="G18">
        <v>0.76077296929544491</v>
      </c>
      <c r="H18">
        <v>0.56012547599007523</v>
      </c>
      <c r="I18">
        <v>0.76077296929544491</v>
      </c>
    </row>
    <row r="19" spans="1:9" x14ac:dyDescent="0.2">
      <c r="A19" t="s">
        <v>18</v>
      </c>
      <c r="B19">
        <v>0.29893259015079771</v>
      </c>
      <c r="C19">
        <v>6.264978449285713E-2</v>
      </c>
      <c r="D19">
        <v>4.7714863278560804</v>
      </c>
      <c r="E19">
        <v>4.5706558053450582E-6</v>
      </c>
      <c r="F19">
        <v>0.17506283180740079</v>
      </c>
      <c r="G19">
        <v>0.42280234849419462</v>
      </c>
      <c r="H19">
        <v>0.17506283180740079</v>
      </c>
      <c r="I19">
        <v>0.42280234849419462</v>
      </c>
    </row>
    <row r="20" spans="1:9" x14ac:dyDescent="0.2">
      <c r="A20" t="s">
        <v>59</v>
      </c>
      <c r="B20">
        <v>9.2379453409226127</v>
      </c>
      <c r="C20">
        <v>3.7869279183907882</v>
      </c>
      <c r="D20">
        <v>2.4394299389908038</v>
      </c>
      <c r="E20">
        <v>1.5970585306620211E-2</v>
      </c>
      <c r="F20">
        <v>1.7505158164298065</v>
      </c>
      <c r="G20">
        <v>16.725374865415418</v>
      </c>
      <c r="H20">
        <v>1.7505158164298065</v>
      </c>
      <c r="I20">
        <v>16.725374865415418</v>
      </c>
    </row>
    <row r="21" spans="1:9" ht="17" thickBot="1" x14ac:dyDescent="0.25">
      <c r="A21" s="2" t="s">
        <v>55</v>
      </c>
      <c r="B21" s="2">
        <v>-1.8382199104338828E-2</v>
      </c>
      <c r="C21" s="2">
        <v>3.5960354524628615E-3</v>
      </c>
      <c r="D21" s="2">
        <v>-5.1117958505523582</v>
      </c>
      <c r="E21" s="2">
        <v>1.0362050941165795E-6</v>
      </c>
      <c r="F21" s="2">
        <v>-2.5492200297425906E-2</v>
      </c>
      <c r="G21" s="2">
        <v>-1.1272197911251749E-2</v>
      </c>
      <c r="H21" s="2">
        <v>-2.5492200297425906E-2</v>
      </c>
      <c r="I21" s="2">
        <v>-1.1272197911251749E-2</v>
      </c>
    </row>
    <row r="25" spans="1:9" x14ac:dyDescent="0.2">
      <c r="A25" t="s">
        <v>45</v>
      </c>
      <c r="F25" t="s">
        <v>48</v>
      </c>
    </row>
    <row r="26" spans="1:9" ht="17" thickBot="1" x14ac:dyDescent="0.25"/>
    <row r="27" spans="1:9" x14ac:dyDescent="0.2">
      <c r="A27" s="3" t="s">
        <v>46</v>
      </c>
      <c r="B27" s="3" t="s">
        <v>50</v>
      </c>
      <c r="C27" s="3" t="s">
        <v>47</v>
      </c>
      <c r="D27" s="3" t="s">
        <v>52</v>
      </c>
      <c r="F27" s="3" t="s">
        <v>49</v>
      </c>
      <c r="G27" s="3" t="s">
        <v>2</v>
      </c>
    </row>
    <row r="28" spans="1:9" x14ac:dyDescent="0.2">
      <c r="A28">
        <v>1</v>
      </c>
      <c r="B28">
        <v>-1.2331368552340807</v>
      </c>
      <c r="C28">
        <v>-1.8900143657798336</v>
      </c>
      <c r="D28">
        <v>-1.9429462135054976</v>
      </c>
      <c r="F28">
        <v>0.34722222222222221</v>
      </c>
      <c r="G28">
        <v>-7.0047284893671877</v>
      </c>
    </row>
    <row r="29" spans="1:9" x14ac:dyDescent="0.2">
      <c r="A29">
        <v>2</v>
      </c>
      <c r="B29">
        <v>2.4856303583513482</v>
      </c>
      <c r="C29">
        <v>0.95318379687917565</v>
      </c>
      <c r="D29">
        <v>0.979878715449364</v>
      </c>
      <c r="F29">
        <v>1.0416666666666665</v>
      </c>
      <c r="G29">
        <v>-4.6868598995851904</v>
      </c>
    </row>
    <row r="30" spans="1:9" x14ac:dyDescent="0.2">
      <c r="A30">
        <v>3</v>
      </c>
      <c r="B30">
        <v>-0.86031769362694988</v>
      </c>
      <c r="C30">
        <v>-0.98199999891194456</v>
      </c>
      <c r="D30">
        <v>-1.0095019456432131</v>
      </c>
      <c r="F30">
        <v>1.7361111111111112</v>
      </c>
      <c r="G30">
        <v>-4.1526948243374111</v>
      </c>
    </row>
    <row r="31" spans="1:9" x14ac:dyDescent="0.2">
      <c r="A31">
        <v>4</v>
      </c>
      <c r="B31">
        <v>1.0874628400143844</v>
      </c>
      <c r="C31">
        <v>-0.32269757828738643</v>
      </c>
      <c r="D31">
        <v>-0.33173506466030123</v>
      </c>
      <c r="F31">
        <v>2.4305555555555554</v>
      </c>
      <c r="G31">
        <v>-3.6875242113072275</v>
      </c>
    </row>
    <row r="32" spans="1:9" x14ac:dyDescent="0.2">
      <c r="A32">
        <v>5</v>
      </c>
      <c r="B32">
        <v>2.2846000541704825</v>
      </c>
      <c r="C32">
        <v>0.55925456938323492</v>
      </c>
      <c r="D32">
        <v>0.57491708404050368</v>
      </c>
      <c r="F32">
        <v>3.125</v>
      </c>
      <c r="G32">
        <v>-3.3442885744124804</v>
      </c>
    </row>
    <row r="33" spans="1:7" x14ac:dyDescent="0.2">
      <c r="A33">
        <v>6</v>
      </c>
      <c r="B33">
        <v>-0.21888513365923409</v>
      </c>
      <c r="C33">
        <v>-0.18698890433568557</v>
      </c>
      <c r="D33">
        <v>-0.19222572601804427</v>
      </c>
      <c r="F33">
        <v>3.8194444444444446</v>
      </c>
      <c r="G33">
        <v>-3.1231512210139143</v>
      </c>
    </row>
    <row r="34" spans="1:7" x14ac:dyDescent="0.2">
      <c r="A34">
        <v>7</v>
      </c>
      <c r="B34">
        <v>0.50957840029515233</v>
      </c>
      <c r="C34">
        <v>-0.11494049684276181</v>
      </c>
      <c r="D34">
        <v>-0.11815952680705677</v>
      </c>
      <c r="F34">
        <v>4.5138888888888884</v>
      </c>
      <c r="G34">
        <v>-2.9682787226250409</v>
      </c>
    </row>
    <row r="35" spans="1:7" x14ac:dyDescent="0.2">
      <c r="A35">
        <v>8</v>
      </c>
      <c r="B35">
        <v>0.5482438239530939</v>
      </c>
      <c r="C35">
        <v>-1.3931113058690214</v>
      </c>
      <c r="D35">
        <v>-1.4321268587887657</v>
      </c>
      <c r="F35">
        <v>5.208333333333333</v>
      </c>
      <c r="G35">
        <v>-2.5680570998352561</v>
      </c>
    </row>
    <row r="36" spans="1:7" x14ac:dyDescent="0.2">
      <c r="A36">
        <v>9</v>
      </c>
      <c r="B36">
        <v>1.5716552187809381</v>
      </c>
      <c r="C36">
        <v>0.56040642139941266</v>
      </c>
      <c r="D36">
        <v>0.57610119488848011</v>
      </c>
      <c r="F36">
        <v>5.9027777777777777</v>
      </c>
      <c r="G36">
        <v>-2.5280472836281653</v>
      </c>
    </row>
    <row r="37" spans="1:7" x14ac:dyDescent="0.2">
      <c r="A37">
        <v>10</v>
      </c>
      <c r="B37">
        <v>0.36445257981732609</v>
      </c>
      <c r="C37">
        <v>-0.78859268236382318</v>
      </c>
      <c r="D37">
        <v>-0.81067805300238549</v>
      </c>
      <c r="F37">
        <v>6.5972222222222223</v>
      </c>
      <c r="G37">
        <v>-2.5046976641667626</v>
      </c>
    </row>
    <row r="38" spans="1:7" x14ac:dyDescent="0.2">
      <c r="A38">
        <v>11</v>
      </c>
      <c r="B38">
        <v>1.0629259124737571</v>
      </c>
      <c r="C38">
        <v>-0.31772555853967444</v>
      </c>
      <c r="D38">
        <v>-0.32662379825026755</v>
      </c>
      <c r="F38">
        <v>7.291666666666667</v>
      </c>
      <c r="G38">
        <v>-2.2568118607420633</v>
      </c>
    </row>
    <row r="39" spans="1:7" x14ac:dyDescent="0.2">
      <c r="A39">
        <v>12</v>
      </c>
      <c r="B39">
        <v>1.0730303824781147</v>
      </c>
      <c r="C39">
        <v>0.31635325465199005</v>
      </c>
      <c r="D39">
        <v>0.32521306154337742</v>
      </c>
      <c r="F39">
        <v>7.9861111111111107</v>
      </c>
      <c r="G39">
        <v>-1.9001782009329338</v>
      </c>
    </row>
    <row r="40" spans="1:7" x14ac:dyDescent="0.2">
      <c r="A40">
        <v>13</v>
      </c>
      <c r="B40">
        <v>0.56560092288840369</v>
      </c>
      <c r="C40">
        <v>-0.72520513655832208</v>
      </c>
      <c r="D40">
        <v>-0.74551527205421597</v>
      </c>
      <c r="F40">
        <v>8.6805555555555536</v>
      </c>
      <c r="G40">
        <v>-1.8423176925388944</v>
      </c>
    </row>
    <row r="41" spans="1:7" x14ac:dyDescent="0.2">
      <c r="A41">
        <v>14</v>
      </c>
      <c r="B41">
        <v>-1.0988609409636332</v>
      </c>
      <c r="C41">
        <v>1.1010353808033058</v>
      </c>
      <c r="D41">
        <v>1.1318710390778937</v>
      </c>
      <c r="F41">
        <v>9.3749999999999982</v>
      </c>
      <c r="G41">
        <v>-1.8267949190726551</v>
      </c>
    </row>
    <row r="42" spans="1:7" x14ac:dyDescent="0.2">
      <c r="A42">
        <v>15</v>
      </c>
      <c r="B42">
        <v>2.3342346410470634</v>
      </c>
      <c r="C42">
        <v>-0.18142357023220601</v>
      </c>
      <c r="D42">
        <v>-0.18650452885730892</v>
      </c>
      <c r="F42">
        <v>10.069444444444443</v>
      </c>
      <c r="G42">
        <v>-1.7163787658669345</v>
      </c>
    </row>
    <row r="43" spans="1:7" x14ac:dyDescent="0.2">
      <c r="A43">
        <v>16</v>
      </c>
      <c r="B43">
        <v>-1.0315204437817451</v>
      </c>
      <c r="C43">
        <v>0.39830122199364504</v>
      </c>
      <c r="D43">
        <v>0.40945606822827385</v>
      </c>
      <c r="F43">
        <v>10.763888888888888</v>
      </c>
      <c r="G43">
        <v>-1.7024670003016547</v>
      </c>
    </row>
    <row r="44" spans="1:7" x14ac:dyDescent="0.2">
      <c r="A44">
        <v>17</v>
      </c>
      <c r="B44">
        <v>1.016241171794662</v>
      </c>
      <c r="C44">
        <v>-0.47312837348176884</v>
      </c>
      <c r="D44">
        <v>-0.48637883309374902</v>
      </c>
      <c r="F44">
        <v>11.458333333333332</v>
      </c>
      <c r="G44">
        <v>-1.4912303020014905</v>
      </c>
    </row>
    <row r="45" spans="1:7" x14ac:dyDescent="0.2">
      <c r="A45">
        <v>18</v>
      </c>
      <c r="B45">
        <v>1.2099445356345464</v>
      </c>
      <c r="C45">
        <v>1.4436446971129924</v>
      </c>
      <c r="D45">
        <v>1.4840754910059362</v>
      </c>
      <c r="F45">
        <v>12.152777777777777</v>
      </c>
      <c r="G45">
        <v>-1.4816122688402813</v>
      </c>
    </row>
    <row r="46" spans="1:7" x14ac:dyDescent="0.2">
      <c r="A46">
        <v>19</v>
      </c>
      <c r="B46">
        <v>-0.44089115729850281</v>
      </c>
      <c r="C46">
        <v>0.2543717575453347</v>
      </c>
      <c r="D46">
        <v>0.26149570717232268</v>
      </c>
      <c r="F46">
        <v>12.847222222222221</v>
      </c>
      <c r="G46">
        <v>-1.3850399013585131</v>
      </c>
    </row>
    <row r="47" spans="1:7" x14ac:dyDescent="0.2">
      <c r="A47">
        <v>20</v>
      </c>
      <c r="B47">
        <v>2.3178984058052086</v>
      </c>
      <c r="C47">
        <v>8.6803364869123989E-2</v>
      </c>
      <c r="D47">
        <v>8.9234384746283452E-2</v>
      </c>
      <c r="F47">
        <v>13.541666666666666</v>
      </c>
      <c r="G47">
        <v>-1.3845334693391671</v>
      </c>
    </row>
    <row r="48" spans="1:7" x14ac:dyDescent="0.2">
      <c r="A48">
        <v>21</v>
      </c>
      <c r="B48">
        <v>0.52056836631465953</v>
      </c>
      <c r="C48">
        <v>0.30149915935478677</v>
      </c>
      <c r="D48">
        <v>0.30994296162493434</v>
      </c>
      <c r="F48">
        <v>14.236111111111111</v>
      </c>
      <c r="G48">
        <v>-1.3312319193447704</v>
      </c>
    </row>
    <row r="49" spans="1:7" x14ac:dyDescent="0.2">
      <c r="A49">
        <v>22</v>
      </c>
      <c r="B49">
        <v>0.56494873014573643</v>
      </c>
      <c r="C49">
        <v>0.23295887666527693</v>
      </c>
      <c r="D49">
        <v>0.23948313595623757</v>
      </c>
      <c r="F49">
        <v>14.930555555555554</v>
      </c>
      <c r="G49">
        <v>-1.2793531068196276</v>
      </c>
    </row>
    <row r="50" spans="1:7" x14ac:dyDescent="0.2">
      <c r="A50">
        <v>23</v>
      </c>
      <c r="B50">
        <v>-6.1620725877335983E-2</v>
      </c>
      <c r="C50">
        <v>-0.17255433521367475</v>
      </c>
      <c r="D50">
        <v>-0.17738690154825115</v>
      </c>
      <c r="F50">
        <v>15.624999999999998</v>
      </c>
      <c r="G50">
        <v>-1.1425691586862545</v>
      </c>
    </row>
    <row r="51" spans="1:7" x14ac:dyDescent="0.2">
      <c r="A51">
        <v>24</v>
      </c>
      <c r="B51">
        <v>0.23442549065603285</v>
      </c>
      <c r="C51">
        <v>0.2146378052437069</v>
      </c>
      <c r="D51">
        <v>0.22064896358675098</v>
      </c>
      <c r="F51">
        <v>16.319444444444443</v>
      </c>
      <c r="G51">
        <v>-1.1072210028407516</v>
      </c>
    </row>
    <row r="52" spans="1:7" x14ac:dyDescent="0.2">
      <c r="A52">
        <v>25</v>
      </c>
      <c r="B52">
        <v>-2.0535990838093285</v>
      </c>
      <c r="C52">
        <v>-1.2906894906031519</v>
      </c>
      <c r="D52">
        <v>-1.3268366124529545</v>
      </c>
      <c r="F52">
        <v>17.013888888888886</v>
      </c>
      <c r="G52">
        <v>-1.0801430002995103</v>
      </c>
    </row>
    <row r="53" spans="1:7" x14ac:dyDescent="0.2">
      <c r="A53">
        <v>26</v>
      </c>
      <c r="B53">
        <v>1.7169480455172095</v>
      </c>
      <c r="C53">
        <v>0.23821207521029497</v>
      </c>
      <c r="D53">
        <v>0.24488345587265475</v>
      </c>
      <c r="F53">
        <v>17.708333333333332</v>
      </c>
      <c r="G53">
        <v>-0.94912629185626851</v>
      </c>
    </row>
    <row r="54" spans="1:7" x14ac:dyDescent="0.2">
      <c r="A54">
        <v>27</v>
      </c>
      <c r="B54">
        <v>-3.1895253715743266</v>
      </c>
      <c r="C54">
        <v>0.2212466489492857</v>
      </c>
      <c r="D54">
        <v>0.22744289493769382</v>
      </c>
      <c r="F54">
        <v>18.402777777777775</v>
      </c>
      <c r="G54">
        <v>-0.93339874585644023</v>
      </c>
    </row>
    <row r="55" spans="1:7" x14ac:dyDescent="0.2">
      <c r="A55">
        <v>28</v>
      </c>
      <c r="B55">
        <v>-8.9504942181481723E-2</v>
      </c>
      <c r="C55">
        <v>-0.85962134967478676</v>
      </c>
      <c r="D55">
        <v>-0.88369595313101046</v>
      </c>
      <c r="F55">
        <v>19.097222222222221</v>
      </c>
      <c r="G55">
        <v>-0.8739297602339734</v>
      </c>
    </row>
    <row r="56" spans="1:7" x14ac:dyDescent="0.2">
      <c r="A56">
        <v>29</v>
      </c>
      <c r="B56">
        <v>1.8910299426394632</v>
      </c>
      <c r="C56">
        <v>0.79236133787274077</v>
      </c>
      <c r="D56">
        <v>0.81455225368764683</v>
      </c>
      <c r="F56">
        <v>19.791666666666664</v>
      </c>
      <c r="G56">
        <v>-0.85098504001589137</v>
      </c>
    </row>
    <row r="57" spans="1:7" x14ac:dyDescent="0.2">
      <c r="A57">
        <v>30</v>
      </c>
      <c r="B57">
        <v>0.38557004348732882</v>
      </c>
      <c r="C57">
        <v>0.69934013828173214</v>
      </c>
      <c r="D57">
        <v>0.71892589719351685</v>
      </c>
      <c r="F57">
        <v>20.486111111111111</v>
      </c>
      <c r="G57">
        <v>-0.84486748191592764</v>
      </c>
    </row>
    <row r="58" spans="1:7" x14ac:dyDescent="0.2">
      <c r="A58">
        <v>31</v>
      </c>
      <c r="B58">
        <v>-0.89061687852782756</v>
      </c>
      <c r="C58">
        <v>0.28855751730076229</v>
      </c>
      <c r="D58">
        <v>0.29663887522184745</v>
      </c>
      <c r="F58">
        <v>21.180555555555554</v>
      </c>
      <c r="G58">
        <v>-0.83998798555617005</v>
      </c>
    </row>
    <row r="59" spans="1:7" x14ac:dyDescent="0.2">
      <c r="A59">
        <v>32</v>
      </c>
      <c r="B59">
        <v>-5.9955496369796274E-2</v>
      </c>
      <c r="C59">
        <v>-1.3245779729693707</v>
      </c>
      <c r="D59">
        <v>-1.3616741775461305</v>
      </c>
      <c r="F59">
        <v>21.875</v>
      </c>
      <c r="G59">
        <v>-0.82038765576752415</v>
      </c>
    </row>
    <row r="60" spans="1:7" x14ac:dyDescent="0.2">
      <c r="A60">
        <v>33</v>
      </c>
      <c r="B60">
        <v>8.9965018645476319E-2</v>
      </c>
      <c r="C60">
        <v>0.42272713071840451</v>
      </c>
      <c r="D60">
        <v>0.43456605031490242</v>
      </c>
      <c r="F60">
        <v>22.569444444444443</v>
      </c>
      <c r="G60">
        <v>-0.73047275946122014</v>
      </c>
    </row>
    <row r="61" spans="1:7" x14ac:dyDescent="0.2">
      <c r="A61">
        <v>34</v>
      </c>
      <c r="B61">
        <v>3.4846419298655511</v>
      </c>
      <c r="C61">
        <v>-1.3719094158934948</v>
      </c>
      <c r="D61">
        <v>-1.41033118750025</v>
      </c>
      <c r="F61">
        <v>23.263888888888886</v>
      </c>
      <c r="G61">
        <v>-0.72114034769675106</v>
      </c>
    </row>
    <row r="62" spans="1:7" x14ac:dyDescent="0.2">
      <c r="A62">
        <v>35</v>
      </c>
      <c r="B62">
        <v>1.3031117496082798</v>
      </c>
      <c r="C62">
        <v>-0.85646925337328716</v>
      </c>
      <c r="D62">
        <v>-0.88045557904471272</v>
      </c>
      <c r="F62">
        <v>23.958333333333332</v>
      </c>
      <c r="G62">
        <v>-0.70844610563042631</v>
      </c>
    </row>
    <row r="63" spans="1:7" x14ac:dyDescent="0.2">
      <c r="A63">
        <v>36</v>
      </c>
      <c r="B63">
        <v>0.92017855339336585</v>
      </c>
      <c r="C63">
        <v>-0.11108284317178652</v>
      </c>
      <c r="D63">
        <v>-0.11419383547224808</v>
      </c>
      <c r="F63">
        <v>24.652777777777775</v>
      </c>
      <c r="G63">
        <v>-0.63980558944311527</v>
      </c>
    </row>
    <row r="64" spans="1:7" x14ac:dyDescent="0.2">
      <c r="A64">
        <v>37</v>
      </c>
      <c r="B64">
        <v>1.8210951684969752</v>
      </c>
      <c r="C64">
        <v>1.5739867737909883</v>
      </c>
      <c r="D64">
        <v>1.6180679351519696</v>
      </c>
      <c r="F64">
        <v>25.347222222222221</v>
      </c>
      <c r="G64">
        <v>-0.63321922178810008</v>
      </c>
    </row>
    <row r="65" spans="1:7" x14ac:dyDescent="0.2">
      <c r="A65">
        <v>38</v>
      </c>
      <c r="B65">
        <v>3.4477386772803671</v>
      </c>
      <c r="C65">
        <v>-0.33822777891417788</v>
      </c>
      <c r="D65">
        <v>-0.3477002049518963</v>
      </c>
      <c r="F65">
        <v>26.041666666666664</v>
      </c>
      <c r="G65">
        <v>-0.62523746935851443</v>
      </c>
    </row>
    <row r="66" spans="1:7" x14ac:dyDescent="0.2">
      <c r="A66">
        <v>39</v>
      </c>
      <c r="B66">
        <v>2.292438686566411</v>
      </c>
      <c r="C66">
        <v>-0.71719105728231347</v>
      </c>
      <c r="D66">
        <v>-0.73727675002709425</v>
      </c>
      <c r="F66">
        <v>26.736111111111111</v>
      </c>
      <c r="G66">
        <v>-0.60205936122706527</v>
      </c>
    </row>
    <row r="67" spans="1:7" x14ac:dyDescent="0.2">
      <c r="A67">
        <v>40</v>
      </c>
      <c r="B67">
        <v>-0.51526835822450145</v>
      </c>
      <c r="C67">
        <v>0.90941240923271915</v>
      </c>
      <c r="D67">
        <v>0.93488146387954663</v>
      </c>
      <c r="F67">
        <v>27.430555555555554</v>
      </c>
      <c r="G67">
        <v>-0.49649597275839152</v>
      </c>
    </row>
    <row r="68" spans="1:7" x14ac:dyDescent="0.2">
      <c r="A68">
        <v>41</v>
      </c>
      <c r="B68">
        <v>-1.1837031603760855</v>
      </c>
      <c r="C68">
        <v>1.4761905536391564</v>
      </c>
      <c r="D68">
        <v>1.5175328286049086</v>
      </c>
      <c r="F68">
        <v>28.125</v>
      </c>
      <c r="G68">
        <v>-0.45287219230992509</v>
      </c>
    </row>
    <row r="69" spans="1:7" x14ac:dyDescent="0.2">
      <c r="A69">
        <v>42</v>
      </c>
      <c r="B69">
        <v>6.222623485070955E-2</v>
      </c>
      <c r="C69">
        <v>-0.99562498070714978</v>
      </c>
      <c r="D69">
        <v>-1.0235085094383791</v>
      </c>
      <c r="F69">
        <v>28.819444444444443</v>
      </c>
      <c r="G69">
        <v>-0.44945692130845749</v>
      </c>
    </row>
    <row r="70" spans="1:7" x14ac:dyDescent="0.2">
      <c r="A70">
        <v>43</v>
      </c>
      <c r="B70">
        <v>2.2087531778633713</v>
      </c>
      <c r="C70">
        <v>0.65218289605895841</v>
      </c>
      <c r="D70">
        <v>0.67044796661530393</v>
      </c>
      <c r="F70">
        <v>29.513888888888886</v>
      </c>
      <c r="G70">
        <v>-0.42414010254649709</v>
      </c>
    </row>
    <row r="71" spans="1:7" x14ac:dyDescent="0.2">
      <c r="A71">
        <v>44</v>
      </c>
      <c r="B71">
        <v>0.3945601256180174</v>
      </c>
      <c r="C71">
        <v>-0.84401704692647495</v>
      </c>
      <c r="D71">
        <v>-0.8676546354097473</v>
      </c>
      <c r="F71">
        <v>30.208333333333332</v>
      </c>
      <c r="G71">
        <v>-0.40587403799491967</v>
      </c>
    </row>
    <row r="72" spans="1:7" x14ac:dyDescent="0.2">
      <c r="A72">
        <v>45</v>
      </c>
      <c r="B72">
        <v>1.3676021000102125</v>
      </c>
      <c r="C72">
        <v>1.1581021870455659</v>
      </c>
      <c r="D72">
        <v>1.1905360614781346</v>
      </c>
      <c r="F72">
        <v>30.902777777777775</v>
      </c>
      <c r="G72">
        <v>-0.38364685529762182</v>
      </c>
    </row>
    <row r="73" spans="1:7" x14ac:dyDescent="0.2">
      <c r="A73">
        <v>46</v>
      </c>
      <c r="B73">
        <v>0.30778296841411523</v>
      </c>
      <c r="C73">
        <v>1.4168129917210226E-2</v>
      </c>
      <c r="D73">
        <v>1.4564923353764749E-2</v>
      </c>
      <c r="F73">
        <v>31.597222222222221</v>
      </c>
      <c r="G73">
        <v>-0.34952011853591453</v>
      </c>
    </row>
    <row r="74" spans="1:7" x14ac:dyDescent="0.2">
      <c r="A74">
        <v>47</v>
      </c>
      <c r="B74">
        <v>1.0721199316832397</v>
      </c>
      <c r="C74">
        <v>-1.4557667869808615</v>
      </c>
      <c r="D74">
        <v>-1.4965370727986393</v>
      </c>
      <c r="F74">
        <v>32.291666666666664</v>
      </c>
      <c r="G74">
        <v>-0.32059917407416511</v>
      </c>
    </row>
    <row r="75" spans="1:7" x14ac:dyDescent="0.2">
      <c r="A75">
        <v>48</v>
      </c>
      <c r="B75">
        <v>1.2058831037909925</v>
      </c>
      <c r="C75">
        <v>0.60430567529533774</v>
      </c>
      <c r="D75">
        <v>0.62122989373707926</v>
      </c>
      <c r="F75">
        <v>32.986111111111107</v>
      </c>
      <c r="G75">
        <v>-0.25809067214290327</v>
      </c>
    </row>
    <row r="76" spans="1:7" x14ac:dyDescent="0.2">
      <c r="A76">
        <v>49</v>
      </c>
      <c r="B76">
        <v>-0.25993249398210111</v>
      </c>
      <c r="C76">
        <v>-0.61399726625187223</v>
      </c>
      <c r="D76">
        <v>-0.63119290793039906</v>
      </c>
      <c r="F76">
        <v>33.68055555555555</v>
      </c>
      <c r="G76">
        <v>-0.23417506109101072</v>
      </c>
    </row>
    <row r="77" spans="1:7" x14ac:dyDescent="0.2">
      <c r="A77">
        <v>50</v>
      </c>
      <c r="B77">
        <v>1.1262435079160238</v>
      </c>
      <c r="C77">
        <v>-0.34710807905214913</v>
      </c>
      <c r="D77">
        <v>-0.35682920727074613</v>
      </c>
      <c r="F77">
        <v>34.375</v>
      </c>
      <c r="G77">
        <v>-0.18651939975316809</v>
      </c>
    </row>
    <row r="78" spans="1:7" x14ac:dyDescent="0.2">
      <c r="A78">
        <v>51</v>
      </c>
      <c r="B78">
        <v>0.69053622199997067</v>
      </c>
      <c r="C78">
        <v>0.43470466296521759</v>
      </c>
      <c r="D78">
        <v>0.44687902599775309</v>
      </c>
      <c r="F78">
        <v>35.069444444444443</v>
      </c>
      <c r="G78">
        <v>-0.16023377056929605</v>
      </c>
    </row>
    <row r="79" spans="1:7" x14ac:dyDescent="0.2">
      <c r="A79">
        <v>52</v>
      </c>
      <c r="B79">
        <v>-3.6523952358900463E-3</v>
      </c>
      <c r="C79">
        <v>-1.0764906050636203</v>
      </c>
      <c r="D79">
        <v>-1.1066388609800903</v>
      </c>
      <c r="F79">
        <v>35.763888888888886</v>
      </c>
      <c r="G79">
        <v>-0.15960421366991845</v>
      </c>
    </row>
    <row r="80" spans="1:7" x14ac:dyDescent="0.2">
      <c r="A80">
        <v>53</v>
      </c>
      <c r="B80">
        <v>0.4323762105519961</v>
      </c>
      <c r="C80">
        <v>0.86093179780770424</v>
      </c>
      <c r="D80">
        <v>0.88504310174741618</v>
      </c>
      <c r="F80">
        <v>36.458333333333329</v>
      </c>
      <c r="G80">
        <v>-0.12574664360828455</v>
      </c>
    </row>
    <row r="81" spans="1:7" x14ac:dyDescent="0.2">
      <c r="A81">
        <v>54</v>
      </c>
      <c r="B81">
        <v>-6.7638006844168763E-2</v>
      </c>
      <c r="C81">
        <v>-0.28188211169174576</v>
      </c>
      <c r="D81">
        <v>-0.28977651783108732</v>
      </c>
      <c r="F81">
        <v>37.152777777777779</v>
      </c>
      <c r="G81">
        <v>-3.7635693365227305E-2</v>
      </c>
    </row>
    <row r="82" spans="1:7" x14ac:dyDescent="0.2">
      <c r="A82">
        <v>55</v>
      </c>
      <c r="B82">
        <v>1.0638957942606899</v>
      </c>
      <c r="C82">
        <v>1.1298711440518392</v>
      </c>
      <c r="D82">
        <v>1.1615143783200068</v>
      </c>
      <c r="F82">
        <v>37.847222222222221</v>
      </c>
      <c r="G82">
        <v>-2.8872892422191813E-2</v>
      </c>
    </row>
    <row r="83" spans="1:7" x14ac:dyDescent="0.2">
      <c r="A83">
        <v>56</v>
      </c>
      <c r="B83">
        <v>-0.66819917839995813</v>
      </c>
      <c r="C83">
        <v>-4.0246927230468188E-2</v>
      </c>
      <c r="D83">
        <v>-4.1374084918875509E-2</v>
      </c>
      <c r="F83">
        <v>38.541666666666664</v>
      </c>
      <c r="G83">
        <v>-2.1093949631446327E-2</v>
      </c>
    </row>
    <row r="84" spans="1:7" x14ac:dyDescent="0.2">
      <c r="A84">
        <v>57</v>
      </c>
      <c r="B84">
        <v>-1.2279508918895916</v>
      </c>
      <c r="C84">
        <v>8.5381733203337085E-2</v>
      </c>
      <c r="D84">
        <v>8.7772938784786494E-2</v>
      </c>
      <c r="F84">
        <v>39.236111111111107</v>
      </c>
      <c r="G84">
        <v>2.1744398396726858E-3</v>
      </c>
    </row>
    <row r="85" spans="1:7" x14ac:dyDescent="0.2">
      <c r="A85">
        <v>58</v>
      </c>
      <c r="B85">
        <v>0.55645516790404281</v>
      </c>
      <c r="C85">
        <v>-2.0476854699055336</v>
      </c>
      <c r="D85">
        <v>-2.1050330633659531</v>
      </c>
      <c r="F85">
        <v>39.93055555555555</v>
      </c>
      <c r="G85">
        <v>1.3361896540353232E-2</v>
      </c>
    </row>
    <row r="86" spans="1:7" x14ac:dyDescent="0.2">
      <c r="A86">
        <v>59</v>
      </c>
      <c r="B86">
        <v>0.97463613026190221</v>
      </c>
      <c r="C86">
        <v>1.4964861569290633</v>
      </c>
      <c r="D86">
        <v>1.5383968316923473</v>
      </c>
      <c r="F86">
        <v>40.625</v>
      </c>
      <c r="G86">
        <v>1.5244628300109645E-2</v>
      </c>
    </row>
    <row r="87" spans="1:7" x14ac:dyDescent="0.2">
      <c r="A87">
        <v>60</v>
      </c>
      <c r="B87">
        <v>0.34517401024579325</v>
      </c>
      <c r="C87">
        <v>1.2180638445667555</v>
      </c>
      <c r="D87">
        <v>1.2521770085236559</v>
      </c>
      <c r="F87">
        <v>41.319444444444443</v>
      </c>
      <c r="G87">
        <v>4.5162099813618559E-2</v>
      </c>
    </row>
    <row r="88" spans="1:7" x14ac:dyDescent="0.2">
      <c r="A88">
        <v>61</v>
      </c>
      <c r="B88">
        <v>-0.39552429745550244</v>
      </c>
      <c r="C88">
        <v>0.56603013934680013</v>
      </c>
      <c r="D88">
        <v>0.58188241099431171</v>
      </c>
      <c r="F88">
        <v>42.013888888888886</v>
      </c>
      <c r="G88">
        <v>5.5182858323510636E-2</v>
      </c>
    </row>
    <row r="89" spans="1:7" x14ac:dyDescent="0.2">
      <c r="A89">
        <v>62</v>
      </c>
      <c r="B89">
        <v>1.340676436346141</v>
      </c>
      <c r="C89">
        <v>-1.2401289192385478E-2</v>
      </c>
      <c r="D89">
        <v>-1.2748600389071767E-2</v>
      </c>
      <c r="F89">
        <v>42.708333333333329</v>
      </c>
      <c r="G89">
        <v>6.2862567183433013E-2</v>
      </c>
    </row>
    <row r="90" spans="1:7" x14ac:dyDescent="0.2">
      <c r="A90">
        <v>63</v>
      </c>
      <c r="B90">
        <v>0.46376648304886198</v>
      </c>
      <c r="C90">
        <v>-0.45040458650850873</v>
      </c>
      <c r="D90">
        <v>-0.46301864247531199</v>
      </c>
      <c r="F90">
        <v>43.402777777777779</v>
      </c>
      <c r="G90">
        <v>6.4450144874432388E-2</v>
      </c>
    </row>
    <row r="91" spans="1:7" x14ac:dyDescent="0.2">
      <c r="A91">
        <v>64</v>
      </c>
      <c r="B91">
        <v>0.37851690543566663</v>
      </c>
      <c r="C91">
        <v>-0.33335480562204806</v>
      </c>
      <c r="D91">
        <v>-0.34269075889800321</v>
      </c>
      <c r="F91">
        <v>44.097222222222221</v>
      </c>
      <c r="G91">
        <v>0.17050584189129772</v>
      </c>
    </row>
    <row r="92" spans="1:7" x14ac:dyDescent="0.2">
      <c r="A92">
        <v>65</v>
      </c>
      <c r="B92">
        <v>-1.1260152629969573</v>
      </c>
      <c r="C92">
        <v>-1.402032020631208</v>
      </c>
      <c r="D92">
        <v>-1.4412974075860503</v>
      </c>
      <c r="F92">
        <v>44.791666666666664</v>
      </c>
      <c r="G92">
        <v>0.20128346879376346</v>
      </c>
    </row>
    <row r="93" spans="1:7" x14ac:dyDescent="0.2">
      <c r="A93">
        <v>66</v>
      </c>
      <c r="B93">
        <v>-0.46984158123787434</v>
      </c>
      <c r="C93">
        <v>-0.38114345877801703</v>
      </c>
      <c r="D93">
        <v>-0.39181778373921738</v>
      </c>
      <c r="F93">
        <v>45.486111111111107</v>
      </c>
      <c r="G93">
        <v>0.25176219913533959</v>
      </c>
    </row>
    <row r="94" spans="1:7" x14ac:dyDescent="0.2">
      <c r="A94">
        <v>67</v>
      </c>
      <c r="B94">
        <v>-0.16176611016441778</v>
      </c>
      <c r="C94">
        <v>-2.342931554002345</v>
      </c>
      <c r="D94">
        <v>-2.4085478257585313</v>
      </c>
      <c r="F94">
        <v>46.18055555555555</v>
      </c>
      <c r="G94">
        <v>0.27937046819359035</v>
      </c>
    </row>
    <row r="95" spans="1:7" x14ac:dyDescent="0.2">
      <c r="A95">
        <v>68</v>
      </c>
      <c r="B95">
        <v>1.5966141992720031</v>
      </c>
      <c r="C95">
        <v>-2.8759673060916304</v>
      </c>
      <c r="D95">
        <v>-2.9565118068458451</v>
      </c>
      <c r="F95">
        <v>46.875</v>
      </c>
      <c r="G95">
        <v>0.29248739326307094</v>
      </c>
    </row>
    <row r="96" spans="1:7" x14ac:dyDescent="0.2">
      <c r="A96">
        <v>69</v>
      </c>
      <c r="B96">
        <v>0.78923362849270173</v>
      </c>
      <c r="C96">
        <v>0.53093926411168235</v>
      </c>
      <c r="D96">
        <v>0.54580877875049827</v>
      </c>
      <c r="F96">
        <v>47.569444444444443</v>
      </c>
      <c r="G96">
        <v>0.32195109833132546</v>
      </c>
    </row>
    <row r="97" spans="1:7" x14ac:dyDescent="0.2">
      <c r="A97">
        <v>70</v>
      </c>
      <c r="B97">
        <v>0.38576530774175138</v>
      </c>
      <c r="C97">
        <v>-1.2257532932979214</v>
      </c>
      <c r="D97">
        <v>-1.2600818083847929</v>
      </c>
      <c r="F97">
        <v>48.263888888888886</v>
      </c>
      <c r="G97">
        <v>0.3416951439283733</v>
      </c>
    </row>
    <row r="98" spans="1:7" x14ac:dyDescent="0.2">
      <c r="A98">
        <v>71</v>
      </c>
      <c r="B98">
        <v>0.43566895768236913</v>
      </c>
      <c r="C98">
        <v>0.87163081680005106</v>
      </c>
      <c r="D98">
        <v>0.89604175806229902</v>
      </c>
      <c r="F98">
        <v>48.958333333333329</v>
      </c>
      <c r="G98">
        <v>0.3941440510082177</v>
      </c>
    </row>
    <row r="99" spans="1:7" x14ac:dyDescent="0.2">
      <c r="A99">
        <v>72</v>
      </c>
      <c r="B99">
        <v>1.0814888404528538</v>
      </c>
      <c r="C99">
        <v>-0.28218840789450506</v>
      </c>
      <c r="D99">
        <v>-0.29009139218238189</v>
      </c>
      <c r="F99">
        <v>49.652777777777779</v>
      </c>
      <c r="G99">
        <v>0.39463790345239053</v>
      </c>
    </row>
    <row r="100" spans="1:7" x14ac:dyDescent="0.2">
      <c r="A100">
        <v>73</v>
      </c>
      <c r="B100">
        <v>0.79596360623776041</v>
      </c>
      <c r="C100">
        <v>-0.8170575558692067</v>
      </c>
      <c r="D100">
        <v>-0.83994011534251922</v>
      </c>
      <c r="F100">
        <v>50.347222222222221</v>
      </c>
      <c r="G100">
        <v>0.44664249623499269</v>
      </c>
    </row>
    <row r="101" spans="1:7" x14ac:dyDescent="0.2">
      <c r="A101">
        <v>74</v>
      </c>
      <c r="B101">
        <v>-2.7407696659785037</v>
      </c>
      <c r="C101">
        <v>-1.4119251583589074</v>
      </c>
      <c r="D101">
        <v>-1.4514676130806476</v>
      </c>
      <c r="F101">
        <v>51.041666666666664</v>
      </c>
      <c r="G101">
        <v>0.44906329589973976</v>
      </c>
    </row>
    <row r="102" spans="1:7" x14ac:dyDescent="0.2">
      <c r="A102">
        <v>75</v>
      </c>
      <c r="B102">
        <v>-7.0038220597697691</v>
      </c>
      <c r="C102">
        <v>-9.0642959741860096E-4</v>
      </c>
      <c r="D102">
        <v>-9.3181511527142414E-4</v>
      </c>
      <c r="F102">
        <v>51.736111111111107</v>
      </c>
      <c r="G102">
        <v>0.51269214936388086</v>
      </c>
    </row>
    <row r="103" spans="1:7" x14ac:dyDescent="0.2">
      <c r="A103">
        <v>76</v>
      </c>
      <c r="B103">
        <v>5.2064079157021066</v>
      </c>
      <c r="C103">
        <v>-0.70452567205641348</v>
      </c>
      <c r="D103">
        <v>-0.72425665731626587</v>
      </c>
      <c r="F103">
        <v>52.43055555555555</v>
      </c>
      <c r="G103">
        <v>0.54311279831289316</v>
      </c>
    </row>
    <row r="104" spans="1:7" x14ac:dyDescent="0.2">
      <c r="A104">
        <v>77</v>
      </c>
      <c r="B104">
        <v>2.5829157305051096</v>
      </c>
      <c r="C104">
        <v>0.12410233702144291</v>
      </c>
      <c r="D104">
        <v>0.12757795399269681</v>
      </c>
      <c r="F104">
        <v>53.125</v>
      </c>
      <c r="G104">
        <v>0.64991632276644051</v>
      </c>
    </row>
    <row r="105" spans="1:7" x14ac:dyDescent="0.2">
      <c r="A105">
        <v>78</v>
      </c>
      <c r="B105">
        <v>0.66616616286831609</v>
      </c>
      <c r="C105">
        <v>0.79089380664415432</v>
      </c>
      <c r="D105">
        <v>0.81304362269763497</v>
      </c>
      <c r="F105">
        <v>53.819444444444443</v>
      </c>
      <c r="G105">
        <v>0.74520035393408268</v>
      </c>
    </row>
    <row r="106" spans="1:7" x14ac:dyDescent="0.2">
      <c r="A106">
        <v>79</v>
      </c>
      <c r="B106">
        <v>2.4715638927224179</v>
      </c>
      <c r="C106">
        <v>-2.924436085032343</v>
      </c>
      <c r="D106">
        <v>-3.006338005112458</v>
      </c>
      <c r="F106">
        <v>54.513888888888886</v>
      </c>
      <c r="G106">
        <v>0.76476526172699799</v>
      </c>
    </row>
    <row r="107" spans="1:7" x14ac:dyDescent="0.2">
      <c r="A107">
        <v>80</v>
      </c>
      <c r="B107">
        <v>0.35514580234470627</v>
      </c>
      <c r="C107">
        <v>1.1195043588871911</v>
      </c>
      <c r="D107">
        <v>1.1508572603919285</v>
      </c>
      <c r="F107">
        <v>55.208333333333329</v>
      </c>
      <c r="G107">
        <v>0.76715041455256716</v>
      </c>
    </row>
    <row r="108" spans="1:7" x14ac:dyDescent="0.2">
      <c r="A108">
        <v>81</v>
      </c>
      <c r="B108">
        <v>6.7220791900095236E-2</v>
      </c>
      <c r="C108">
        <v>-0.38781996597426033</v>
      </c>
      <c r="D108">
        <v>-0.39868127356831756</v>
      </c>
      <c r="F108">
        <v>55.902777777777779</v>
      </c>
      <c r="G108">
        <v>0.77913542886387466</v>
      </c>
    </row>
    <row r="109" spans="1:7" x14ac:dyDescent="0.2">
      <c r="A109">
        <v>82</v>
      </c>
      <c r="B109">
        <v>-7.2936389885284725E-2</v>
      </c>
      <c r="C109">
        <v>-1.8272418110476489</v>
      </c>
      <c r="D109">
        <v>-1.8784156471049391</v>
      </c>
      <c r="F109">
        <v>56.597222222222221</v>
      </c>
      <c r="G109">
        <v>0.79790760681101336</v>
      </c>
    </row>
    <row r="110" spans="1:7" x14ac:dyDescent="0.2">
      <c r="A110">
        <v>83</v>
      </c>
      <c r="B110">
        <v>3.3801979431286284</v>
      </c>
      <c r="C110">
        <v>2.2065043533241324</v>
      </c>
      <c r="D110">
        <v>2.2682998372901908</v>
      </c>
      <c r="F110">
        <v>57.291666666666664</v>
      </c>
      <c r="G110">
        <v>0.79930043255834871</v>
      </c>
    </row>
    <row r="111" spans="1:7" x14ac:dyDescent="0.2">
      <c r="A111">
        <v>84</v>
      </c>
      <c r="B111">
        <v>1.141853528026006</v>
      </c>
      <c r="C111">
        <v>0.71009999129296464</v>
      </c>
      <c r="D111">
        <v>0.72998709124821071</v>
      </c>
      <c r="F111">
        <v>57.986111111111107</v>
      </c>
      <c r="G111">
        <v>0.80909571022157933</v>
      </c>
    </row>
    <row r="112" spans="1:7" x14ac:dyDescent="0.2">
      <c r="A112">
        <v>85</v>
      </c>
      <c r="B112">
        <v>-0.78780032759354723</v>
      </c>
      <c r="C112">
        <v>6.6659979896796173E-2</v>
      </c>
      <c r="D112">
        <v>6.8526863011114297E-2</v>
      </c>
      <c r="F112">
        <v>58.68055555555555</v>
      </c>
      <c r="G112">
        <v>0.8173714702258239</v>
      </c>
    </row>
    <row r="113" spans="1:7" x14ac:dyDescent="0.2">
      <c r="A113">
        <v>86</v>
      </c>
      <c r="B113">
        <v>-0.40630362310025347</v>
      </c>
      <c r="C113">
        <v>0.37743073067806165</v>
      </c>
      <c r="D113">
        <v>0.38800107676905243</v>
      </c>
      <c r="F113">
        <v>59.375</v>
      </c>
      <c r="G113">
        <v>0.8220675256694463</v>
      </c>
    </row>
    <row r="114" spans="1:7" x14ac:dyDescent="0.2">
      <c r="A114">
        <v>87</v>
      </c>
      <c r="B114">
        <v>1.425671288873843</v>
      </c>
      <c r="C114">
        <v>0.72974364859920282</v>
      </c>
      <c r="D114">
        <v>0.75018088991640619</v>
      </c>
      <c r="F114">
        <v>60.069444444444443</v>
      </c>
      <c r="G114">
        <v>0.94080499762717185</v>
      </c>
    </row>
    <row r="115" spans="1:7" x14ac:dyDescent="0.2">
      <c r="A115">
        <v>88</v>
      </c>
      <c r="B115">
        <v>0.56486987732280924</v>
      </c>
      <c r="C115">
        <v>1.7461017364577849</v>
      </c>
      <c r="D115">
        <v>1.7950031590612929</v>
      </c>
      <c r="F115">
        <v>60.763888888888886</v>
      </c>
      <c r="G115">
        <v>0.98384974618307341</v>
      </c>
    </row>
    <row r="116" spans="1:7" x14ac:dyDescent="0.2">
      <c r="A116">
        <v>89</v>
      </c>
      <c r="B116">
        <v>1.0067724710906198</v>
      </c>
      <c r="C116">
        <v>-0.75501027195528025</v>
      </c>
      <c r="D116">
        <v>-0.77615513173520023</v>
      </c>
      <c r="F116">
        <v>61.458333333333329</v>
      </c>
      <c r="G116">
        <v>1.084910181769061</v>
      </c>
    </row>
    <row r="117" spans="1:7" x14ac:dyDescent="0.2">
      <c r="A117">
        <v>90</v>
      </c>
      <c r="B117">
        <v>0.94130370116807649</v>
      </c>
      <c r="C117">
        <v>0.25220829350966123</v>
      </c>
      <c r="D117">
        <v>0.25927165304221944</v>
      </c>
      <c r="F117">
        <v>62.152777777777771</v>
      </c>
      <c r="G117">
        <v>1.088562294937061</v>
      </c>
    </row>
    <row r="118" spans="1:7" x14ac:dyDescent="0.2">
      <c r="A118">
        <v>91</v>
      </c>
      <c r="B118">
        <v>0.92407556872951635</v>
      </c>
      <c r="C118">
        <v>0.16448672620754468</v>
      </c>
      <c r="D118">
        <v>0.16909335063440101</v>
      </c>
      <c r="F118">
        <v>62.847222222222221</v>
      </c>
      <c r="G118">
        <v>1.1252408849651883</v>
      </c>
    </row>
    <row r="119" spans="1:7" x14ac:dyDescent="0.2">
      <c r="A119">
        <v>92</v>
      </c>
      <c r="B119">
        <v>0.69897125297108031</v>
      </c>
      <c r="C119">
        <v>0.78094548237811323</v>
      </c>
      <c r="D119">
        <v>0.80281668510742565</v>
      </c>
      <c r="F119">
        <v>63.541666666666664</v>
      </c>
      <c r="G119">
        <v>1.1573512190828252</v>
      </c>
    </row>
    <row r="120" spans="1:7" x14ac:dyDescent="0.2">
      <c r="A120">
        <v>93</v>
      </c>
      <c r="B120">
        <v>-1.0251032518062844</v>
      </c>
      <c r="C120">
        <v>-0.306128667538486</v>
      </c>
      <c r="D120">
        <v>-0.31470212407299319</v>
      </c>
      <c r="F120">
        <v>64.236111111111114</v>
      </c>
      <c r="G120">
        <v>1.1607317321410837</v>
      </c>
    </row>
    <row r="121" spans="1:7" x14ac:dyDescent="0.2">
      <c r="A121">
        <v>94</v>
      </c>
      <c r="B121">
        <v>1.3797990118739312</v>
      </c>
      <c r="C121">
        <v>0.33321309690091394</v>
      </c>
      <c r="D121">
        <v>0.34254508147452256</v>
      </c>
      <c r="F121">
        <v>64.930555555555557</v>
      </c>
      <c r="G121">
        <v>1.1935119946777377</v>
      </c>
    </row>
    <row r="122" spans="1:7" x14ac:dyDescent="0.2">
      <c r="A122">
        <v>95</v>
      </c>
      <c r="B122">
        <v>-0.57849762971765206</v>
      </c>
      <c r="C122">
        <v>0.92019277364602536</v>
      </c>
      <c r="D122">
        <v>0.94596374377978454</v>
      </c>
      <c r="F122">
        <v>65.625</v>
      </c>
      <c r="G122">
        <v>1.2933080083597004</v>
      </c>
    </row>
    <row r="123" spans="1:7" x14ac:dyDescent="0.2">
      <c r="A123">
        <v>96</v>
      </c>
      <c r="B123">
        <v>0.95347701795628304</v>
      </c>
      <c r="C123">
        <v>0.40581607517683205</v>
      </c>
      <c r="D123">
        <v>0.41718138280877887</v>
      </c>
      <c r="F123">
        <v>66.319444444444443</v>
      </c>
      <c r="G123">
        <v>1.3006576888791135</v>
      </c>
    </row>
    <row r="124" spans="1:7" x14ac:dyDescent="0.2">
      <c r="A124">
        <v>97</v>
      </c>
      <c r="B124">
        <v>-2.3841083006894248</v>
      </c>
      <c r="C124">
        <v>0.12729643994736151</v>
      </c>
      <c r="D124">
        <v>0.13086151114327949</v>
      </c>
      <c r="F124">
        <v>67.013888888888886</v>
      </c>
      <c r="G124">
        <v>1.3072997744824202</v>
      </c>
    </row>
    <row r="125" spans="1:7" x14ac:dyDescent="0.2">
      <c r="A125">
        <v>98</v>
      </c>
      <c r="B125">
        <v>-1.1620294301341456</v>
      </c>
      <c r="C125">
        <v>5.4808427293393969E-2</v>
      </c>
      <c r="D125">
        <v>5.6343395164593212E-2</v>
      </c>
      <c r="F125">
        <v>67.708333333333343</v>
      </c>
      <c r="G125">
        <v>1.3201728926043841</v>
      </c>
    </row>
    <row r="126" spans="1:7" x14ac:dyDescent="0.2">
      <c r="A126">
        <v>99</v>
      </c>
      <c r="B126">
        <v>1.1792217363590056</v>
      </c>
      <c r="C126">
        <v>0.81732719687217648</v>
      </c>
      <c r="D126">
        <v>0.84021730792645477</v>
      </c>
      <c r="F126">
        <v>68.402777777777786</v>
      </c>
      <c r="G126">
        <v>1.3282751471537555</v>
      </c>
    </row>
    <row r="127" spans="1:7" x14ac:dyDescent="0.2">
      <c r="A127">
        <v>100</v>
      </c>
      <c r="B127">
        <v>-3.4372149790558248</v>
      </c>
      <c r="C127">
        <v>1.7208362131888904</v>
      </c>
      <c r="D127">
        <v>1.7690300481387848</v>
      </c>
      <c r="F127">
        <v>69.097222222222229</v>
      </c>
      <c r="G127">
        <v>1.3592930931331151</v>
      </c>
    </row>
    <row r="128" spans="1:7" x14ac:dyDescent="0.2">
      <c r="A128">
        <v>101</v>
      </c>
      <c r="B128">
        <v>-0.22124713231314452</v>
      </c>
      <c r="C128">
        <v>-0.59914052345437963</v>
      </c>
      <c r="D128">
        <v>-0.6159200863656259</v>
      </c>
      <c r="F128">
        <v>69.791666666666671</v>
      </c>
      <c r="G128">
        <v>1.3893836371301047</v>
      </c>
    </row>
    <row r="129" spans="1:7" x14ac:dyDescent="0.2">
      <c r="A129">
        <v>102</v>
      </c>
      <c r="B129">
        <v>-4.1667317813654794</v>
      </c>
      <c r="C129">
        <v>0.47920757005825187</v>
      </c>
      <c r="D129">
        <v>0.49262828398856262</v>
      </c>
      <c r="F129">
        <v>70.486111111111114</v>
      </c>
      <c r="G129">
        <v>1.4570599695124704</v>
      </c>
    </row>
    <row r="130" spans="1:7" x14ac:dyDescent="0.2">
      <c r="A130">
        <v>103</v>
      </c>
      <c r="B130">
        <v>4.5010796594696743</v>
      </c>
      <c r="C130">
        <v>-0.67959077331272955</v>
      </c>
      <c r="D130">
        <v>-0.69862343040785868</v>
      </c>
      <c r="F130">
        <v>71.180555555555557</v>
      </c>
      <c r="G130">
        <v>1.4746501612318974</v>
      </c>
    </row>
    <row r="131" spans="1:7" x14ac:dyDescent="0.2">
      <c r="A131">
        <v>104</v>
      </c>
      <c r="B131">
        <v>-3.2548979610378215</v>
      </c>
      <c r="C131">
        <v>1.4281030419651664</v>
      </c>
      <c r="D131">
        <v>1.4680985753973517</v>
      </c>
      <c r="F131">
        <v>71.875</v>
      </c>
      <c r="G131">
        <v>1.4799167353491935</v>
      </c>
    </row>
    <row r="132" spans="1:7" x14ac:dyDescent="0.2">
      <c r="A132">
        <v>105</v>
      </c>
      <c r="B132">
        <v>-4.6347179854922125</v>
      </c>
      <c r="C132">
        <v>-5.214191409297797E-2</v>
      </c>
      <c r="D132">
        <v>-5.3602203446786865E-2</v>
      </c>
      <c r="F132">
        <v>72.569444444444443</v>
      </c>
      <c r="G132">
        <v>1.5120608050198472</v>
      </c>
    </row>
    <row r="133" spans="1:7" x14ac:dyDescent="0.2">
      <c r="A133">
        <v>106</v>
      </c>
      <c r="B133">
        <v>2.8046574668667068</v>
      </c>
      <c r="C133">
        <v>-0.56050052293165553</v>
      </c>
      <c r="D133">
        <v>-0.57619793183348267</v>
      </c>
      <c r="F133">
        <v>73.263888888888886</v>
      </c>
      <c r="G133">
        <v>1.5632378548125487</v>
      </c>
    </row>
    <row r="134" spans="1:7" x14ac:dyDescent="0.2">
      <c r="A134">
        <v>107</v>
      </c>
      <c r="B134">
        <v>2.5843038985486242</v>
      </c>
      <c r="C134">
        <v>-6.4435764807333928E-2</v>
      </c>
      <c r="D134">
        <v>-6.6240356429822053E-2</v>
      </c>
      <c r="F134">
        <v>73.958333333333343</v>
      </c>
      <c r="G134">
        <v>1.5752476292840976</v>
      </c>
    </row>
    <row r="135" spans="1:7" x14ac:dyDescent="0.2">
      <c r="A135">
        <v>108</v>
      </c>
      <c r="B135">
        <v>-1.1534815312359492</v>
      </c>
      <c r="C135">
        <v>-0.23155837012256386</v>
      </c>
      <c r="D135">
        <v>-0.23804340674918931</v>
      </c>
      <c r="F135">
        <v>74.652777777777786</v>
      </c>
      <c r="G135">
        <v>1.7130121087748451</v>
      </c>
    </row>
    <row r="136" spans="1:7" x14ac:dyDescent="0.2">
      <c r="A136">
        <v>109</v>
      </c>
      <c r="B136">
        <v>2.1302123340028487</v>
      </c>
      <c r="C136">
        <v>0.93965904873498562</v>
      </c>
      <c r="D136">
        <v>0.96597519245443308</v>
      </c>
      <c r="F136">
        <v>75.347222222222229</v>
      </c>
      <c r="G136">
        <v>1.8101887790863302</v>
      </c>
    </row>
    <row r="137" spans="1:7" x14ac:dyDescent="0.2">
      <c r="A137">
        <v>110</v>
      </c>
      <c r="B137">
        <v>-1.0039431346789691</v>
      </c>
      <c r="C137">
        <v>0.84370936410967312</v>
      </c>
      <c r="D137">
        <v>0.86733833561082008</v>
      </c>
      <c r="F137">
        <v>76.041666666666671</v>
      </c>
      <c r="G137">
        <v>1.8519535193189707</v>
      </c>
    </row>
    <row r="138" spans="1:7" x14ac:dyDescent="0.2">
      <c r="A138">
        <v>111</v>
      </c>
      <c r="B138">
        <v>1.2099415850423041</v>
      </c>
      <c r="C138">
        <v>-1.4680322571852074</v>
      </c>
      <c r="D138">
        <v>-1.5091460504455185</v>
      </c>
      <c r="F138">
        <v>76.736111111111114</v>
      </c>
      <c r="G138">
        <v>1.9551601207275044</v>
      </c>
    </row>
    <row r="139" spans="1:7" x14ac:dyDescent="0.2">
      <c r="A139">
        <v>112</v>
      </c>
      <c r="B139">
        <v>0.50574060831271506</v>
      </c>
      <c r="C139">
        <v>0.43506438931445679</v>
      </c>
      <c r="D139">
        <v>0.4472488268631894</v>
      </c>
      <c r="F139">
        <v>77.430555555555557</v>
      </c>
      <c r="G139">
        <v>1.9636320377819911</v>
      </c>
    </row>
    <row r="140" spans="1:7" x14ac:dyDescent="0.2">
      <c r="A140">
        <v>113</v>
      </c>
      <c r="B140">
        <v>-0.63487014574213618</v>
      </c>
      <c r="C140">
        <v>-0.84674212309814512</v>
      </c>
      <c r="D140">
        <v>-0.87045603021664664</v>
      </c>
      <c r="F140">
        <v>78.125</v>
      </c>
      <c r="G140">
        <v>1.9965489332311821</v>
      </c>
    </row>
    <row r="141" spans="1:7" x14ac:dyDescent="0.2">
      <c r="A141">
        <v>114</v>
      </c>
      <c r="B141">
        <v>0.42186851698828487</v>
      </c>
      <c r="C141">
        <v>0.34528189756428229</v>
      </c>
      <c r="D141">
        <v>0.35495188164229213</v>
      </c>
      <c r="F141">
        <v>78.819444444444443</v>
      </c>
      <c r="G141">
        <v>2.1127325139720563</v>
      </c>
    </row>
    <row r="142" spans="1:7" x14ac:dyDescent="0.2">
      <c r="A142">
        <v>115</v>
      </c>
      <c r="B142">
        <v>1.2041259550203178</v>
      </c>
      <c r="C142">
        <v>0.75950608276167331</v>
      </c>
      <c r="D142">
        <v>0.78077685246974837</v>
      </c>
      <c r="F142">
        <v>79.513888888888886</v>
      </c>
      <c r="G142">
        <v>2.1320616401803507</v>
      </c>
    </row>
    <row r="143" spans="1:7" x14ac:dyDescent="0.2">
      <c r="A143">
        <v>116</v>
      </c>
      <c r="B143">
        <v>0.57957605599005513</v>
      </c>
      <c r="C143">
        <v>-1.2048135253485697</v>
      </c>
      <c r="D143">
        <v>-1.2385556001265345</v>
      </c>
      <c r="F143">
        <v>80.208333333333343</v>
      </c>
      <c r="G143">
        <v>2.1528110708148573</v>
      </c>
    </row>
    <row r="144" spans="1:7" x14ac:dyDescent="0.2">
      <c r="A144">
        <v>117</v>
      </c>
      <c r="B144">
        <v>-0.19653912170266707</v>
      </c>
      <c r="C144">
        <v>0.47590958989625742</v>
      </c>
      <c r="D144">
        <v>0.48923794041023777</v>
      </c>
      <c r="F144">
        <v>80.902777777777786</v>
      </c>
      <c r="G144">
        <v>2.1554149374730458</v>
      </c>
    </row>
    <row r="145" spans="1:7" x14ac:dyDescent="0.2">
      <c r="A145">
        <v>118</v>
      </c>
      <c r="B145">
        <v>-8.8964696776177743E-2</v>
      </c>
      <c r="C145">
        <v>-1.613502303525477</v>
      </c>
      <c r="D145">
        <v>-1.6586901390158064</v>
      </c>
      <c r="F145">
        <v>81.597222222222229</v>
      </c>
      <c r="G145">
        <v>2.1937669383125291</v>
      </c>
    </row>
    <row r="146" spans="1:7" x14ac:dyDescent="0.2">
      <c r="A146">
        <v>119</v>
      </c>
      <c r="B146">
        <v>2.8955758555323663</v>
      </c>
      <c r="C146">
        <v>0.2711115007661502</v>
      </c>
      <c r="D146">
        <v>0.27870426457528086</v>
      </c>
      <c r="F146">
        <v>82.291666666666671</v>
      </c>
      <c r="G146">
        <v>2.2441569439350513</v>
      </c>
    </row>
    <row r="147" spans="1:7" x14ac:dyDescent="0.2">
      <c r="A147">
        <v>120</v>
      </c>
      <c r="B147">
        <v>2.9276018176266789</v>
      </c>
      <c r="C147">
        <v>0.65246956199067307</v>
      </c>
      <c r="D147">
        <v>0.6707426609290883</v>
      </c>
      <c r="F147">
        <v>82.986111111111114</v>
      </c>
      <c r="G147">
        <v>2.3109716137805942</v>
      </c>
    </row>
    <row r="148" spans="1:7" x14ac:dyDescent="0.2">
      <c r="A148">
        <v>121</v>
      </c>
      <c r="B148">
        <v>-0.14362024950359759</v>
      </c>
      <c r="C148">
        <v>0.19880310782710822</v>
      </c>
      <c r="D148">
        <v>0.2043707987512729</v>
      </c>
      <c r="F148">
        <v>83.680555555555557</v>
      </c>
      <c r="G148">
        <v>2.3644571963769208</v>
      </c>
    </row>
    <row r="149" spans="1:7" x14ac:dyDescent="0.2">
      <c r="A149">
        <v>122</v>
      </c>
      <c r="B149">
        <v>7.9484272406445303E-2</v>
      </c>
      <c r="C149">
        <v>0.73788719781937862</v>
      </c>
      <c r="D149">
        <v>0.75855250783017147</v>
      </c>
      <c r="F149">
        <v>84.375</v>
      </c>
      <c r="G149">
        <v>2.3878145236429944</v>
      </c>
    </row>
    <row r="150" spans="1:7" x14ac:dyDescent="0.2">
      <c r="A150">
        <v>123</v>
      </c>
      <c r="B150">
        <v>1.3433747057753105</v>
      </c>
      <c r="C150">
        <v>1.1909420893962332</v>
      </c>
      <c r="D150">
        <v>1.224295679965369</v>
      </c>
      <c r="F150">
        <v>85.069444444444443</v>
      </c>
      <c r="G150">
        <v>2.4047017706743326</v>
      </c>
    </row>
    <row r="151" spans="1:7" x14ac:dyDescent="0.2">
      <c r="A151">
        <v>124</v>
      </c>
      <c r="B151">
        <v>-0.6323102680633389</v>
      </c>
      <c r="C151">
        <v>0.13581429530494737</v>
      </c>
      <c r="D151">
        <v>0.13961791803301254</v>
      </c>
      <c r="F151">
        <v>85.763888888888886</v>
      </c>
      <c r="G151">
        <v>2.4711222871909655</v>
      </c>
    </row>
    <row r="152" spans="1:7" x14ac:dyDescent="0.2">
      <c r="A152">
        <v>125</v>
      </c>
      <c r="B152">
        <v>0.91421237379226195</v>
      </c>
      <c r="C152">
        <v>0.24313884529056329</v>
      </c>
      <c r="D152">
        <v>0.24994820535053494</v>
      </c>
      <c r="F152">
        <v>86.458333333333343</v>
      </c>
      <c r="G152">
        <v>2.5118747000438195</v>
      </c>
    </row>
    <row r="153" spans="1:7" x14ac:dyDescent="0.2">
      <c r="A153">
        <v>126</v>
      </c>
      <c r="B153">
        <v>0.46497540910174273</v>
      </c>
      <c r="C153">
        <v>0.69575632303934098</v>
      </c>
      <c r="D153">
        <v>0.71524171342159393</v>
      </c>
      <c r="F153">
        <v>87.152777777777786</v>
      </c>
      <c r="G153">
        <v>2.5198681337412903</v>
      </c>
    </row>
    <row r="154" spans="1:7" x14ac:dyDescent="0.2">
      <c r="A154">
        <v>127</v>
      </c>
      <c r="B154">
        <v>0.55216289839816268</v>
      </c>
      <c r="C154">
        <v>0.43168684778491073</v>
      </c>
      <c r="D154">
        <v>0.44377669371721651</v>
      </c>
      <c r="F154">
        <v>87.847222222222229</v>
      </c>
      <c r="G154">
        <v>2.5257042870557784</v>
      </c>
    </row>
    <row r="155" spans="1:7" x14ac:dyDescent="0.2">
      <c r="A155">
        <v>128</v>
      </c>
      <c r="B155">
        <v>1.7826860438304273</v>
      </c>
      <c r="C155">
        <v>-1.5814025750366638</v>
      </c>
      <c r="D155">
        <v>-1.6256914237408775</v>
      </c>
      <c r="F155">
        <v>88.541666666666671</v>
      </c>
      <c r="G155">
        <v>2.5343167951715437</v>
      </c>
    </row>
    <row r="156" spans="1:7" x14ac:dyDescent="0.2">
      <c r="A156">
        <v>129</v>
      </c>
      <c r="B156">
        <v>1.0944878369186033</v>
      </c>
      <c r="C156">
        <v>-1.0316252697351702</v>
      </c>
      <c r="D156">
        <v>-1.0605170245684929</v>
      </c>
      <c r="F156">
        <v>89.236111111111114</v>
      </c>
      <c r="G156">
        <v>2.6303236664701828</v>
      </c>
    </row>
    <row r="157" spans="1:7" x14ac:dyDescent="0.2">
      <c r="A157">
        <v>130</v>
      </c>
      <c r="B157">
        <v>-0.61006805031957401</v>
      </c>
      <c r="C157">
        <v>0.62531267861968365</v>
      </c>
      <c r="D157">
        <v>0.64282522036799317</v>
      </c>
      <c r="F157">
        <v>89.930555555555557</v>
      </c>
      <c r="G157">
        <v>2.6535892327475388</v>
      </c>
    </row>
    <row r="158" spans="1:7" x14ac:dyDescent="0.2">
      <c r="A158">
        <v>131</v>
      </c>
      <c r="B158">
        <v>2.031603534012647</v>
      </c>
      <c r="C158">
        <v>0.48027116603117248</v>
      </c>
      <c r="D158">
        <v>0.49372166708961285</v>
      </c>
      <c r="F158">
        <v>90.625</v>
      </c>
      <c r="G158">
        <v>2.664630651168546</v>
      </c>
    </row>
    <row r="159" spans="1:7" x14ac:dyDescent="0.2">
      <c r="A159">
        <v>132</v>
      </c>
      <c r="B159">
        <v>-0.53359519457316062</v>
      </c>
      <c r="C159">
        <v>-0.19687756488805952</v>
      </c>
      <c r="D159">
        <v>-0.20239132894929429</v>
      </c>
      <c r="F159">
        <v>91.319444444444443</v>
      </c>
      <c r="G159">
        <v>2.683391280512204</v>
      </c>
    </row>
    <row r="160" spans="1:7" x14ac:dyDescent="0.2">
      <c r="A160">
        <v>133</v>
      </c>
      <c r="B160">
        <v>0.9776980670937343</v>
      </c>
      <c r="C160">
        <v>1.6869325840748117</v>
      </c>
      <c r="D160">
        <v>1.7341769120970838</v>
      </c>
      <c r="F160">
        <v>92.013888888888886</v>
      </c>
      <c r="G160">
        <v>2.7070180675265525</v>
      </c>
    </row>
    <row r="161" spans="1:7" x14ac:dyDescent="0.2">
      <c r="A161">
        <v>134</v>
      </c>
      <c r="B161">
        <v>0.29555086180340712</v>
      </c>
      <c r="C161">
        <v>-0.93535645124652245</v>
      </c>
      <c r="D161">
        <v>-0.96155209618077142</v>
      </c>
      <c r="F161">
        <v>92.708333333333343</v>
      </c>
      <c r="G161">
        <v>2.8438546235537174</v>
      </c>
    </row>
    <row r="162" spans="1:7" x14ac:dyDescent="0.2">
      <c r="A162">
        <v>135</v>
      </c>
      <c r="B162">
        <v>-0.42154537263253206</v>
      </c>
      <c r="C162">
        <v>-2.1465117272027241</v>
      </c>
      <c r="D162">
        <v>-2.2066270543361064</v>
      </c>
      <c r="F162">
        <v>93.402777777777786</v>
      </c>
      <c r="G162">
        <v>2.8609360739223297</v>
      </c>
    </row>
    <row r="163" spans="1:7" x14ac:dyDescent="0.2">
      <c r="A163">
        <v>136</v>
      </c>
      <c r="B163">
        <v>0.42756051091798414</v>
      </c>
      <c r="C163">
        <v>-0.55330715452626866</v>
      </c>
      <c r="D163">
        <v>-0.56880310555139257</v>
      </c>
      <c r="F163">
        <v>94.097222222222229</v>
      </c>
      <c r="G163">
        <v>3.0698713827378343</v>
      </c>
    </row>
    <row r="164" spans="1:7" x14ac:dyDescent="0.2">
      <c r="A164">
        <v>137</v>
      </c>
      <c r="B164">
        <v>0.95567342112403342</v>
      </c>
      <c r="C164">
        <v>1.432141102518961</v>
      </c>
      <c r="D164">
        <v>1.4722497261002003</v>
      </c>
      <c r="F164">
        <v>94.791666666666671</v>
      </c>
      <c r="G164">
        <v>3.1095108983661892</v>
      </c>
    </row>
    <row r="165" spans="1:7" x14ac:dyDescent="0.2">
      <c r="A165">
        <v>138</v>
      </c>
      <c r="B165">
        <v>0.93334266615570471</v>
      </c>
      <c r="C165">
        <v>0.36731502272340877</v>
      </c>
      <c r="D165">
        <v>0.37760206773331378</v>
      </c>
      <c r="F165">
        <v>95.486111111111114</v>
      </c>
      <c r="G165">
        <v>3.1666873562985165</v>
      </c>
    </row>
    <row r="166" spans="1:7" x14ac:dyDescent="0.2">
      <c r="A166">
        <v>139</v>
      </c>
      <c r="B166">
        <v>0.69691577952620942</v>
      </c>
      <c r="C166">
        <v>1.6675414168507112</v>
      </c>
      <c r="D166">
        <v>1.7142426747623465</v>
      </c>
      <c r="F166">
        <v>96.180555555555557</v>
      </c>
      <c r="G166">
        <v>3.3950819422879635</v>
      </c>
    </row>
    <row r="167" spans="1:7" x14ac:dyDescent="0.2">
      <c r="A167">
        <v>140</v>
      </c>
      <c r="B167">
        <v>0.33251462751380667</v>
      </c>
      <c r="C167">
        <v>-0.37015032087903399</v>
      </c>
      <c r="D167">
        <v>-0.38051677140719736</v>
      </c>
      <c r="F167">
        <v>96.875</v>
      </c>
      <c r="G167">
        <v>3.4388141552305238</v>
      </c>
    </row>
    <row r="168" spans="1:7" x14ac:dyDescent="0.2">
      <c r="A168">
        <v>141</v>
      </c>
      <c r="B168">
        <v>0.86371140186523487</v>
      </c>
      <c r="C168">
        <v>0.64834940315461231</v>
      </c>
      <c r="D168">
        <v>0.66650711269490204</v>
      </c>
      <c r="F168">
        <v>97.569444444444443</v>
      </c>
      <c r="G168">
        <v>3.580071379617352</v>
      </c>
    </row>
    <row r="169" spans="1:7" x14ac:dyDescent="0.2">
      <c r="A169">
        <v>142</v>
      </c>
      <c r="B169">
        <v>0.82797706460217479</v>
      </c>
      <c r="C169">
        <v>1.8023466018680079</v>
      </c>
      <c r="D169">
        <v>1.8528232213087188</v>
      </c>
      <c r="F169">
        <v>98.263888888888886</v>
      </c>
      <c r="G169">
        <v>3.8214888861569447</v>
      </c>
    </row>
    <row r="170" spans="1:7" x14ac:dyDescent="0.2">
      <c r="A170">
        <v>143</v>
      </c>
      <c r="B170">
        <v>0.45107276273162683</v>
      </c>
      <c r="C170">
        <v>-0.38662261785719443</v>
      </c>
      <c r="D170">
        <v>-0.39745039245311437</v>
      </c>
      <c r="F170">
        <v>98.958333333333343</v>
      </c>
      <c r="G170">
        <v>4.5018822436456931</v>
      </c>
    </row>
    <row r="171" spans="1:7" ht="17" thickBot="1" x14ac:dyDescent="0.25">
      <c r="A171" s="2">
        <v>144</v>
      </c>
      <c r="B171" s="2">
        <v>0.65512121834452319</v>
      </c>
      <c r="C171" s="2">
        <v>-5.20489557808268E-3</v>
      </c>
      <c r="D171" s="2">
        <v>-5.3506641738961724E-3</v>
      </c>
      <c r="F171" s="2">
        <v>99.652777777777786</v>
      </c>
      <c r="G171" s="2">
        <v>5.5867022964527608</v>
      </c>
    </row>
  </sheetData>
  <sortState xmlns:xlrd2="http://schemas.microsoft.com/office/spreadsheetml/2017/richdata2" ref="G28:G171">
    <sortCondition ref="G28"/>
  </sortState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5CF50-C308-FC44-ACBA-A6FA62276ED8}">
  <dimension ref="A1:I169"/>
  <sheetViews>
    <sheetView workbookViewId="0">
      <selection activeCell="A18" sqref="A18"/>
    </sheetView>
  </sheetViews>
  <sheetFormatPr baseColWidth="10" defaultRowHeight="16" x14ac:dyDescent="0.2"/>
  <cols>
    <col min="1" max="1" width="18" bestFit="1" customWidth="1"/>
    <col min="2" max="2" width="31.1640625" bestFit="1" customWidth="1"/>
    <col min="3" max="3" width="13.5" bestFit="1" customWidth="1"/>
    <col min="4" max="4" width="17.5" bestFit="1" customWidth="1"/>
    <col min="5" max="5" width="12.1640625" bestFit="1" customWidth="1"/>
    <col min="6" max="6" width="19.6640625" bestFit="1" customWidth="1"/>
    <col min="7" max="7" width="22.83203125" bestFit="1" customWidth="1"/>
    <col min="8" max="9" width="12.83203125" bestFit="1" customWidth="1"/>
  </cols>
  <sheetData>
    <row r="1" spans="1:9" x14ac:dyDescent="0.2">
      <c r="A1" t="s">
        <v>21</v>
      </c>
    </row>
    <row r="2" spans="1:9" ht="17" thickBot="1" x14ac:dyDescent="0.25"/>
    <row r="3" spans="1:9" x14ac:dyDescent="0.2">
      <c r="A3" s="4" t="s">
        <v>22</v>
      </c>
      <c r="B3" s="4"/>
    </row>
    <row r="4" spans="1:9" x14ac:dyDescent="0.2">
      <c r="A4" t="s">
        <v>23</v>
      </c>
      <c r="B4">
        <v>0.99786584637976905</v>
      </c>
    </row>
    <row r="5" spans="1:9" x14ac:dyDescent="0.2">
      <c r="A5" t="s">
        <v>24</v>
      </c>
      <c r="B5">
        <v>0.9957362473712128</v>
      </c>
    </row>
    <row r="6" spans="1:9" x14ac:dyDescent="0.2">
      <c r="A6" t="s">
        <v>25</v>
      </c>
      <c r="B6">
        <v>0.99567576861052076</v>
      </c>
    </row>
    <row r="7" spans="1:9" x14ac:dyDescent="0.2">
      <c r="A7" t="s">
        <v>26</v>
      </c>
      <c r="B7">
        <v>0.12730937327278039</v>
      </c>
    </row>
    <row r="8" spans="1:9" ht="17" thickBot="1" x14ac:dyDescent="0.25">
      <c r="A8" s="2" t="s">
        <v>27</v>
      </c>
      <c r="B8" s="2">
        <v>144</v>
      </c>
    </row>
    <row r="10" spans="1:9" ht="17" thickBot="1" x14ac:dyDescent="0.25">
      <c r="A10" t="s">
        <v>28</v>
      </c>
    </row>
    <row r="11" spans="1:9" x14ac:dyDescent="0.2">
      <c r="A11" s="3"/>
      <c r="B11" s="3" t="s">
        <v>33</v>
      </c>
      <c r="C11" s="3" t="s">
        <v>34</v>
      </c>
      <c r="D11" s="3" t="s">
        <v>35</v>
      </c>
      <c r="E11" s="3" t="s">
        <v>36</v>
      </c>
      <c r="F11" s="3" t="s">
        <v>37</v>
      </c>
    </row>
    <row r="12" spans="1:9" x14ac:dyDescent="0.2">
      <c r="A12" t="s">
        <v>29</v>
      </c>
      <c r="B12">
        <v>2</v>
      </c>
      <c r="C12">
        <v>533.69383945911409</v>
      </c>
      <c r="D12">
        <v>266.84691972955704</v>
      </c>
      <c r="E12">
        <v>16464.230350914244</v>
      </c>
      <c r="F12">
        <v>7.9494304213583196E-168</v>
      </c>
    </row>
    <row r="13" spans="1:9" x14ac:dyDescent="0.2">
      <c r="A13" t="s">
        <v>30</v>
      </c>
      <c r="B13">
        <v>141</v>
      </c>
      <c r="C13">
        <v>2.2852823897582457</v>
      </c>
      <c r="D13">
        <v>1.6207676523108127E-2</v>
      </c>
    </row>
    <row r="14" spans="1:9" ht="17" thickBot="1" x14ac:dyDescent="0.25">
      <c r="A14" s="2" t="s">
        <v>31</v>
      </c>
      <c r="B14" s="2">
        <v>143</v>
      </c>
      <c r="C14" s="2">
        <v>535.9791218488723</v>
      </c>
      <c r="D14" s="2"/>
      <c r="E14" s="2"/>
      <c r="F14" s="2"/>
    </row>
    <row r="15" spans="1:9" ht="17" thickBot="1" x14ac:dyDescent="0.25"/>
    <row r="16" spans="1:9" x14ac:dyDescent="0.2">
      <c r="A16" s="3"/>
      <c r="B16" s="3" t="s">
        <v>38</v>
      </c>
      <c r="C16" s="3" t="s">
        <v>26</v>
      </c>
      <c r="D16" s="3" t="s">
        <v>39</v>
      </c>
      <c r="E16" s="3" t="s">
        <v>40</v>
      </c>
      <c r="F16" s="3" t="s">
        <v>41</v>
      </c>
      <c r="G16" s="3" t="s">
        <v>42</v>
      </c>
      <c r="H16" s="3" t="s">
        <v>43</v>
      </c>
      <c r="I16" s="3" t="s">
        <v>44</v>
      </c>
    </row>
    <row r="17" spans="1:9" x14ac:dyDescent="0.2">
      <c r="A17" t="s">
        <v>32</v>
      </c>
      <c r="B17">
        <v>-0.14072405618835521</v>
      </c>
      <c r="C17">
        <v>1.0656853929625499E-2</v>
      </c>
      <c r="D17">
        <v>-13.205028155368598</v>
      </c>
      <c r="E17">
        <v>2.0214021546734726E-26</v>
      </c>
      <c r="F17">
        <v>-0.16179192629160757</v>
      </c>
      <c r="G17">
        <v>-0.11965618608510283</v>
      </c>
      <c r="H17">
        <v>-0.16179192629160757</v>
      </c>
      <c r="I17">
        <v>-0.11965618608510283</v>
      </c>
    </row>
    <row r="18" spans="1:9" x14ac:dyDescent="0.2">
      <c r="A18" t="s">
        <v>17</v>
      </c>
      <c r="B18">
        <v>-0.98711480806029395</v>
      </c>
      <c r="C18">
        <v>5.6150386577552541E-3</v>
      </c>
      <c r="D18">
        <v>-175.79839930343715</v>
      </c>
      <c r="E18">
        <v>4.581501611370644E-167</v>
      </c>
      <c r="F18">
        <v>-0.99821535479270895</v>
      </c>
      <c r="G18">
        <v>-0.97601426132787894</v>
      </c>
      <c r="H18">
        <v>-0.99821535479270895</v>
      </c>
      <c r="I18">
        <v>-0.97601426132787894</v>
      </c>
    </row>
    <row r="19" spans="1:9" ht="17" thickBot="1" x14ac:dyDescent="0.25">
      <c r="A19" s="2" t="s">
        <v>18</v>
      </c>
      <c r="B19" s="2">
        <v>-0.99336085277125574</v>
      </c>
      <c r="C19" s="2">
        <v>6.972067889994338E-3</v>
      </c>
      <c r="D19" s="2">
        <v>-142.47722030888923</v>
      </c>
      <c r="E19" s="2">
        <v>2.8704579115768245E-154</v>
      </c>
      <c r="F19" s="2">
        <v>-1.0071441533238814</v>
      </c>
      <c r="G19" s="2">
        <v>-0.97957755221863008</v>
      </c>
      <c r="H19" s="2">
        <v>-1.0071441533238814</v>
      </c>
      <c r="I19" s="2">
        <v>-0.97957755221863008</v>
      </c>
    </row>
    <row r="23" spans="1:9" x14ac:dyDescent="0.2">
      <c r="A23" t="s">
        <v>45</v>
      </c>
      <c r="F23" t="s">
        <v>48</v>
      </c>
    </row>
    <row r="24" spans="1:9" ht="17" thickBot="1" x14ac:dyDescent="0.25"/>
    <row r="25" spans="1:9" x14ac:dyDescent="0.2">
      <c r="A25" s="3" t="s">
        <v>46</v>
      </c>
      <c r="B25" s="3" t="s">
        <v>63</v>
      </c>
      <c r="C25" s="3" t="s">
        <v>47</v>
      </c>
      <c r="D25" s="3" t="s">
        <v>52</v>
      </c>
      <c r="F25" s="3" t="s">
        <v>49</v>
      </c>
      <c r="G25" s="3" t="s">
        <v>62</v>
      </c>
    </row>
    <row r="26" spans="1:9" x14ac:dyDescent="0.2">
      <c r="A26">
        <v>1</v>
      </c>
      <c r="B26">
        <v>-0.9707722970883168</v>
      </c>
      <c r="C26">
        <v>5.9807921467587843E-2</v>
      </c>
      <c r="D26">
        <v>0.47310418707889423</v>
      </c>
      <c r="F26">
        <v>0.34722222222222221</v>
      </c>
      <c r="G26">
        <v>-6.4144470109190195</v>
      </c>
    </row>
    <row r="27" spans="1:9" x14ac:dyDescent="0.2">
      <c r="A27">
        <v>2</v>
      </c>
      <c r="B27">
        <v>-2.429773258178852</v>
      </c>
      <c r="C27">
        <v>3.1759645645818235E-2</v>
      </c>
      <c r="D27">
        <v>0.25123129121485233</v>
      </c>
      <c r="F27">
        <v>1.0416666666666665</v>
      </c>
      <c r="G27">
        <v>-5.4985096206098296</v>
      </c>
    </row>
    <row r="28" spans="1:9" x14ac:dyDescent="0.2">
      <c r="A28">
        <v>3</v>
      </c>
      <c r="B28">
        <v>0.72694643354459232</v>
      </c>
      <c r="C28">
        <v>2.3056317159779294E-2</v>
      </c>
      <c r="D28">
        <v>0.18238453902501892</v>
      </c>
      <c r="F28">
        <v>1.7361111111111112</v>
      </c>
      <c r="G28">
        <v>-4.1583515919665963</v>
      </c>
    </row>
    <row r="29" spans="1:9" x14ac:dyDescent="0.2">
      <c r="A29">
        <v>4</v>
      </c>
      <c r="B29">
        <v>-1.2457214349395429</v>
      </c>
      <c r="C29">
        <v>8.8132857742844184E-3</v>
      </c>
      <c r="D29">
        <v>6.9716557596747053E-2</v>
      </c>
      <c r="F29">
        <v>2.4305555555555554</v>
      </c>
      <c r="G29">
        <v>-3.8039423750472912</v>
      </c>
    </row>
    <row r="30" spans="1:9" x14ac:dyDescent="0.2">
      <c r="A30">
        <v>5</v>
      </c>
      <c r="B30">
        <v>-2.4816751016000507</v>
      </c>
      <c r="C30">
        <v>5.6656418341702874E-3</v>
      </c>
      <c r="D30">
        <v>4.4817455756056321E-2</v>
      </c>
      <c r="F30">
        <v>3.125</v>
      </c>
      <c r="G30">
        <v>-3.6270796894894017</v>
      </c>
    </row>
    <row r="31" spans="1:9" x14ac:dyDescent="0.2">
      <c r="A31">
        <v>6</v>
      </c>
      <c r="B31">
        <v>-5.3468357722859849E-2</v>
      </c>
      <c r="C31">
        <v>5.1745614666626194E-2</v>
      </c>
      <c r="D31">
        <v>0.40932816859417359</v>
      </c>
      <c r="F31">
        <v>3.8194444444444446</v>
      </c>
      <c r="G31">
        <v>-3.4444537391388588</v>
      </c>
    </row>
    <row r="32" spans="1:9" x14ac:dyDescent="0.2">
      <c r="A32">
        <v>7</v>
      </c>
      <c r="B32">
        <v>-0.72468265357310746</v>
      </c>
      <c r="C32">
        <v>-2.632162908793978E-3</v>
      </c>
      <c r="D32">
        <v>-2.0821444094141616E-2</v>
      </c>
      <c r="F32">
        <v>4.5138888888888884</v>
      </c>
      <c r="G32">
        <v>-3.2444938645392751</v>
      </c>
    </row>
    <row r="33" spans="1:7" x14ac:dyDescent="0.2">
      <c r="A33">
        <v>8</v>
      </c>
      <c r="B33">
        <v>-0.51157391913239803</v>
      </c>
      <c r="C33">
        <v>-8.5425969041914573E-3</v>
      </c>
      <c r="D33">
        <v>-6.7575302146061694E-2</v>
      </c>
      <c r="F33">
        <v>5.208333333333333</v>
      </c>
      <c r="G33">
        <v>-3.2081607641556928</v>
      </c>
    </row>
    <row r="34" spans="1:7" x14ac:dyDescent="0.2">
      <c r="A34">
        <v>9</v>
      </c>
      <c r="B34">
        <v>-1.9075718715710221</v>
      </c>
      <c r="C34">
        <v>-1.8904014711851991E-2</v>
      </c>
      <c r="D34">
        <v>-0.14953819315765801</v>
      </c>
      <c r="F34">
        <v>5.9027777777777777</v>
      </c>
      <c r="G34">
        <v>-2.91622485577851</v>
      </c>
    </row>
    <row r="35" spans="1:7" x14ac:dyDescent="0.2">
      <c r="A35">
        <v>10</v>
      </c>
      <c r="B35">
        <v>-1.1794190306467278E-2</v>
      </c>
      <c r="C35">
        <v>1.8712897957578301E-2</v>
      </c>
      <c r="D35">
        <v>0.14802638444655256</v>
      </c>
      <c r="F35">
        <v>6.5972222222222223</v>
      </c>
      <c r="G35">
        <v>-2.8853567348890796</v>
      </c>
    </row>
    <row r="36" spans="1:7" x14ac:dyDescent="0.2">
      <c r="A36">
        <v>11</v>
      </c>
      <c r="B36">
        <v>-0.63185144152136552</v>
      </c>
      <c r="C36">
        <v>-1.8912290868084436E-2</v>
      </c>
      <c r="D36">
        <v>-0.14960366080927354</v>
      </c>
      <c r="F36">
        <v>7.291666666666667</v>
      </c>
      <c r="G36">
        <v>-2.4760094597658804</v>
      </c>
    </row>
    <row r="37" spans="1:7" x14ac:dyDescent="0.2">
      <c r="A37">
        <v>12</v>
      </c>
      <c r="B37">
        <v>-0.51511091320896951</v>
      </c>
      <c r="C37">
        <v>2.1536764683283138E-4</v>
      </c>
      <c r="D37">
        <v>1.7036428114820847E-3</v>
      </c>
      <c r="F37">
        <v>7.9861111111111107</v>
      </c>
      <c r="G37">
        <v>-2.3980136125330338</v>
      </c>
    </row>
    <row r="38" spans="1:7" x14ac:dyDescent="0.2">
      <c r="A38">
        <v>13</v>
      </c>
      <c r="B38">
        <v>-0.85752237792151709</v>
      </c>
      <c r="C38">
        <v>8.0480258697499529E-3</v>
      </c>
      <c r="D38">
        <v>6.3663050700757409E-2</v>
      </c>
      <c r="F38">
        <v>8.6805555555555536</v>
      </c>
      <c r="G38">
        <v>-2.3666150000944421</v>
      </c>
    </row>
    <row r="39" spans="1:7" x14ac:dyDescent="0.2">
      <c r="A39">
        <v>14</v>
      </c>
      <c r="B39">
        <v>1.3250104785057715</v>
      </c>
      <c r="C39">
        <v>2.7215778834053239E-3</v>
      </c>
      <c r="D39">
        <v>2.1528751718920155E-2</v>
      </c>
      <c r="F39">
        <v>9.3749999999999982</v>
      </c>
      <c r="G39">
        <v>-2.327596256567102</v>
      </c>
    </row>
    <row r="40" spans="1:7" x14ac:dyDescent="0.2">
      <c r="A40">
        <v>15</v>
      </c>
      <c r="B40">
        <v>-1.3326846942947115</v>
      </c>
      <c r="C40">
        <v>-2.9612971199782123E-2</v>
      </c>
      <c r="D40">
        <v>-0.2342502518509389</v>
      </c>
      <c r="F40">
        <v>10.069444444444443</v>
      </c>
      <c r="G40">
        <v>-2.18934556443602</v>
      </c>
    </row>
    <row r="41" spans="1:7" x14ac:dyDescent="0.2">
      <c r="A41">
        <v>16</v>
      </c>
      <c r="B41">
        <v>1.688777335486747</v>
      </c>
      <c r="C41">
        <v>3.0328934097710869E-2</v>
      </c>
      <c r="D41">
        <v>0.23991380003137178</v>
      </c>
      <c r="F41">
        <v>10.763888888888888</v>
      </c>
      <c r="G41">
        <v>-2.0969608219353946</v>
      </c>
    </row>
    <row r="42" spans="1:7" x14ac:dyDescent="0.2">
      <c r="A42">
        <v>17</v>
      </c>
      <c r="B42">
        <v>-1.6148371214088408</v>
      </c>
      <c r="C42">
        <v>-2.5800153425766137E-2</v>
      </c>
      <c r="D42">
        <v>-0.20408936330654481</v>
      </c>
      <c r="F42">
        <v>11.458333333333332</v>
      </c>
      <c r="G42">
        <v>-2.0722333327069506</v>
      </c>
    </row>
    <row r="43" spans="1:7" x14ac:dyDescent="0.2">
      <c r="A43">
        <v>18</v>
      </c>
      <c r="B43">
        <v>0.42716968017195134</v>
      </c>
      <c r="C43">
        <v>7.8820850083320959E-2</v>
      </c>
      <c r="D43">
        <v>0.6235039320626794</v>
      </c>
      <c r="F43">
        <v>12.152777777777777</v>
      </c>
      <c r="G43">
        <v>-2.0674543719469156</v>
      </c>
    </row>
    <row r="44" spans="1:7" x14ac:dyDescent="0.2">
      <c r="A44">
        <v>19</v>
      </c>
      <c r="B44">
        <v>1.2327318190919461</v>
      </c>
      <c r="C44">
        <v>4.9787058868847156E-2</v>
      </c>
      <c r="D44">
        <v>0.39383522174332763</v>
      </c>
      <c r="F44">
        <v>12.847222222222221</v>
      </c>
      <c r="G44">
        <v>-2.0328061690675399</v>
      </c>
    </row>
    <row r="45" spans="1:7" x14ac:dyDescent="0.2">
      <c r="A45">
        <v>20</v>
      </c>
      <c r="B45">
        <v>-1.2052217165386585</v>
      </c>
      <c r="C45">
        <v>9.5164916230303653E-3</v>
      </c>
      <c r="D45">
        <v>7.5279192499556238E-2</v>
      </c>
      <c r="F45">
        <v>13.541666666666666</v>
      </c>
      <c r="G45">
        <v>-1.9264758862828741</v>
      </c>
    </row>
    <row r="46" spans="1:7" x14ac:dyDescent="0.2">
      <c r="A46">
        <v>21</v>
      </c>
      <c r="B46">
        <v>-2.1428049372538847</v>
      </c>
      <c r="C46">
        <v>7.5350565306969042E-2</v>
      </c>
      <c r="D46">
        <v>0.59605261428133849</v>
      </c>
      <c r="F46">
        <v>14.236111111111111</v>
      </c>
      <c r="G46">
        <v>-1.8131942210481211</v>
      </c>
    </row>
    <row r="47" spans="1:7" x14ac:dyDescent="0.2">
      <c r="A47">
        <v>22</v>
      </c>
      <c r="B47">
        <v>0.72229980360125157</v>
      </c>
      <c r="C47">
        <v>5.251379709408277E-2</v>
      </c>
      <c r="D47">
        <v>0.41540479379618955</v>
      </c>
      <c r="F47">
        <v>14.930555555555554</v>
      </c>
      <c r="G47">
        <v>-1.640637274834607</v>
      </c>
    </row>
    <row r="48" spans="1:7" x14ac:dyDescent="0.2">
      <c r="A48">
        <v>23</v>
      </c>
      <c r="B48">
        <v>-0.69981247306454497</v>
      </c>
      <c r="C48">
        <v>5.5242390334012681E-2</v>
      </c>
      <c r="D48">
        <v>0.43698903974504094</v>
      </c>
      <c r="F48">
        <v>15.624999999999998</v>
      </c>
      <c r="G48">
        <v>-1.5462862384030147</v>
      </c>
    </row>
    <row r="49" spans="1:7" x14ac:dyDescent="0.2">
      <c r="A49">
        <v>24</v>
      </c>
      <c r="B49">
        <v>9.0964415942978438E-2</v>
      </c>
      <c r="C49">
        <v>4.7375737047015698E-2</v>
      </c>
      <c r="D49">
        <v>0.37476071752533008</v>
      </c>
      <c r="F49">
        <v>16.319444444444443</v>
      </c>
      <c r="G49">
        <v>-1.459106650799638</v>
      </c>
    </row>
    <row r="50" spans="1:7" x14ac:dyDescent="0.2">
      <c r="A50">
        <v>25</v>
      </c>
      <c r="B50">
        <v>1.7749075051663763</v>
      </c>
      <c r="C50">
        <v>5.467749136773814E-2</v>
      </c>
      <c r="D50">
        <v>0.43252046669212424</v>
      </c>
      <c r="F50">
        <v>17.013888888888886</v>
      </c>
      <c r="G50">
        <v>-1.4159902495028978</v>
      </c>
    </row>
    <row r="51" spans="1:7" x14ac:dyDescent="0.2">
      <c r="A51">
        <v>26</v>
      </c>
      <c r="B51">
        <v>-0.20748182165872509</v>
      </c>
      <c r="C51">
        <v>1.1067273763859187E-2</v>
      </c>
      <c r="D51">
        <v>8.7546489306901343E-2</v>
      </c>
      <c r="F51">
        <v>17.708333333333332</v>
      </c>
      <c r="G51">
        <v>-1.3622976654944936</v>
      </c>
    </row>
    <row r="52" spans="1:7" x14ac:dyDescent="0.2">
      <c r="A52">
        <v>27</v>
      </c>
      <c r="B52">
        <v>1.5159981599214305</v>
      </c>
      <c r="C52">
        <v>3.187937278002817E-2</v>
      </c>
      <c r="D52">
        <v>0.25217837994677511</v>
      </c>
      <c r="F52">
        <v>18.402777777777775</v>
      </c>
      <c r="G52">
        <v>-1.3225929038760302</v>
      </c>
    </row>
    <row r="53" spans="1:7" x14ac:dyDescent="0.2">
      <c r="A53">
        <v>28</v>
      </c>
      <c r="B53">
        <v>2.8244823244585562</v>
      </c>
      <c r="C53">
        <v>1.5333651568452122E-2</v>
      </c>
      <c r="D53">
        <v>0.12129521612241603</v>
      </c>
      <c r="F53">
        <v>19.097222222222221</v>
      </c>
      <c r="G53">
        <v>-1.3189174099723493</v>
      </c>
    </row>
    <row r="54" spans="1:7" x14ac:dyDescent="0.2">
      <c r="A54">
        <v>29</v>
      </c>
      <c r="B54">
        <v>-3.4996275700194039</v>
      </c>
      <c r="C54">
        <v>5.5173830880545172E-2</v>
      </c>
      <c r="D54">
        <v>0.43644670749701431</v>
      </c>
      <c r="F54">
        <v>19.791666666666664</v>
      </c>
      <c r="G54">
        <v>-1.3117038516195374</v>
      </c>
    </row>
    <row r="55" spans="1:7" x14ac:dyDescent="0.2">
      <c r="A55">
        <v>30</v>
      </c>
      <c r="B55">
        <v>1.8389456813681524</v>
      </c>
      <c r="C55">
        <v>6.7620334891132172E-2</v>
      </c>
      <c r="D55">
        <v>0.53490345064088285</v>
      </c>
      <c r="F55">
        <v>20.486111111111111</v>
      </c>
      <c r="G55">
        <v>-1.2426485711525617</v>
      </c>
    </row>
    <row r="56" spans="1:7" x14ac:dyDescent="0.2">
      <c r="A56">
        <v>31</v>
      </c>
      <c r="B56">
        <v>2.2003629362492418</v>
      </c>
      <c r="C56">
        <v>4.1051447247832495E-2</v>
      </c>
      <c r="D56">
        <v>0.32473309725574062</v>
      </c>
      <c r="F56">
        <v>21.180555555555554</v>
      </c>
      <c r="G56">
        <v>-1.2369081491652585</v>
      </c>
    </row>
    <row r="57" spans="1:7" x14ac:dyDescent="0.2">
      <c r="A57">
        <v>32</v>
      </c>
      <c r="B57">
        <v>1.6306101723329751</v>
      </c>
      <c r="C57">
        <v>2.8253697709821335E-3</v>
      </c>
      <c r="D57">
        <v>2.2349786381093157E-2</v>
      </c>
      <c r="F57">
        <v>21.875</v>
      </c>
      <c r="G57">
        <v>-1.2315306476671668</v>
      </c>
    </row>
    <row r="58" spans="1:7" x14ac:dyDescent="0.2">
      <c r="A58">
        <v>33</v>
      </c>
      <c r="B58">
        <v>-0.8728684112808438</v>
      </c>
      <c r="C58">
        <v>7.0463020006747201E-2</v>
      </c>
      <c r="D58">
        <v>0.55739020820983076</v>
      </c>
      <c r="F58">
        <v>22.569444444444443</v>
      </c>
      <c r="G58">
        <v>-1.1957052249156281</v>
      </c>
    </row>
    <row r="59" spans="1:7" x14ac:dyDescent="0.2">
      <c r="A59">
        <v>34</v>
      </c>
      <c r="B59">
        <v>-3.7119579333930717</v>
      </c>
      <c r="C59">
        <v>8.4878243903669937E-2</v>
      </c>
      <c r="D59">
        <v>0.67142030014355292</v>
      </c>
      <c r="F59">
        <v>23.263888888888886</v>
      </c>
      <c r="G59">
        <v>-1.161662273804297</v>
      </c>
    </row>
    <row r="60" spans="1:7" x14ac:dyDescent="0.2">
      <c r="A60">
        <v>35</v>
      </c>
      <c r="B60">
        <v>-2.3903090879540878</v>
      </c>
      <c r="C60">
        <v>6.2712831386985801E-2</v>
      </c>
      <c r="D60">
        <v>0.4960831673248301</v>
      </c>
      <c r="F60">
        <v>23.958333333333332</v>
      </c>
      <c r="G60">
        <v>-1.1591554387325347</v>
      </c>
    </row>
    <row r="61" spans="1:7" x14ac:dyDescent="0.2">
      <c r="A61">
        <v>36</v>
      </c>
      <c r="B61">
        <v>-0.38615816428001215</v>
      </c>
      <c r="C61">
        <v>5.2059471081628228E-2</v>
      </c>
      <c r="D61">
        <v>0.41181089630708206</v>
      </c>
      <c r="F61">
        <v>24.652777777777775</v>
      </c>
      <c r="G61">
        <v>-1.1458441665296273</v>
      </c>
    </row>
    <row r="62" spans="1:7" x14ac:dyDescent="0.2">
      <c r="A62">
        <v>37</v>
      </c>
      <c r="B62">
        <v>-0.84384777041282533</v>
      </c>
      <c r="C62">
        <v>8.3160446184035841E-2</v>
      </c>
      <c r="D62">
        <v>0.65783184440439313</v>
      </c>
      <c r="F62">
        <v>25.347222222222221</v>
      </c>
      <c r="G62">
        <v>-1.0924478196852974</v>
      </c>
    </row>
    <row r="63" spans="1:7" x14ac:dyDescent="0.2">
      <c r="A63">
        <v>38</v>
      </c>
      <c r="B63">
        <v>-2.4621515231221283</v>
      </c>
      <c r="C63">
        <v>9.5536523027686115E-2</v>
      </c>
      <c r="D63">
        <v>0.7557314809519402</v>
      </c>
      <c r="F63">
        <v>26.041666666666664</v>
      </c>
      <c r="G63">
        <v>-1.0912706668086227</v>
      </c>
    </row>
    <row r="64" spans="1:7" x14ac:dyDescent="0.2">
      <c r="A64">
        <v>39</v>
      </c>
      <c r="B64">
        <v>-2.1236283471806976</v>
      </c>
      <c r="C64">
        <v>9.0822178113157737E-2</v>
      </c>
      <c r="D64">
        <v>0.71843915806781866</v>
      </c>
      <c r="F64">
        <v>26.736111111111111</v>
      </c>
      <c r="G64">
        <v>-1.0860475657539417</v>
      </c>
    </row>
    <row r="65" spans="1:7" x14ac:dyDescent="0.2">
      <c r="A65">
        <v>40</v>
      </c>
      <c r="B65">
        <v>-0.11758611653970474</v>
      </c>
      <c r="C65">
        <v>0.11708331070359668</v>
      </c>
      <c r="D65">
        <v>0.92617504791484906</v>
      </c>
      <c r="F65">
        <v>27.430555555555554</v>
      </c>
      <c r="G65">
        <v>-1.0542238722111643</v>
      </c>
    </row>
    <row r="66" spans="1:7" x14ac:dyDescent="0.2">
      <c r="A66">
        <v>41</v>
      </c>
      <c r="B66">
        <v>-0.38753233483629757</v>
      </c>
      <c r="C66">
        <v>0.10247861337315955</v>
      </c>
      <c r="D66">
        <v>0.81064614658370526</v>
      </c>
      <c r="F66">
        <v>28.125</v>
      </c>
      <c r="G66">
        <v>-1.0037666080123129</v>
      </c>
    </row>
    <row r="67" spans="1:7" x14ac:dyDescent="0.2">
      <c r="A67">
        <v>42</v>
      </c>
      <c r="B67">
        <v>0.61643012018859855</v>
      </c>
      <c r="C67">
        <v>0.10604225622536301</v>
      </c>
      <c r="D67">
        <v>0.83883596347183975</v>
      </c>
      <c r="F67">
        <v>28.819444444444443</v>
      </c>
      <c r="G67">
        <v>-0.97250002344103259</v>
      </c>
    </row>
    <row r="68" spans="1:7" x14ac:dyDescent="0.2">
      <c r="A68">
        <v>43</v>
      </c>
      <c r="B68">
        <v>-2.168899416193784</v>
      </c>
      <c r="C68">
        <v>9.6666083486833365E-2</v>
      </c>
      <c r="D68">
        <v>0.76466674854974381</v>
      </c>
      <c r="F68">
        <v>29.513888888888886</v>
      </c>
      <c r="G68">
        <v>-0.91096437562072896</v>
      </c>
    </row>
    <row r="69" spans="1:7" x14ac:dyDescent="0.2">
      <c r="A69">
        <v>44</v>
      </c>
      <c r="B69">
        <v>-0.72979785847057199</v>
      </c>
      <c r="C69">
        <v>9.5647665129640735E-2</v>
      </c>
      <c r="D69">
        <v>0.75661065870139566</v>
      </c>
      <c r="F69">
        <v>30.208333333333332</v>
      </c>
      <c r="G69">
        <v>-0.86881567324215925</v>
      </c>
    </row>
    <row r="70" spans="1:7" x14ac:dyDescent="0.2">
      <c r="A70">
        <v>45</v>
      </c>
      <c r="B70">
        <v>-1.2605784422175679</v>
      </c>
      <c r="C70">
        <v>9.8916168413270888E-2</v>
      </c>
      <c r="D70">
        <v>0.78246580549502831</v>
      </c>
      <c r="F70">
        <v>30.902777777777775</v>
      </c>
      <c r="G70">
        <v>-0.84947435205176713</v>
      </c>
    </row>
    <row r="71" spans="1:7" x14ac:dyDescent="0.2">
      <c r="A71">
        <v>46</v>
      </c>
      <c r="B71">
        <v>0.21263043511645272</v>
      </c>
      <c r="C71">
        <v>0.11659833035506775</v>
      </c>
      <c r="D71">
        <v>0.92233866256806252</v>
      </c>
      <c r="F71">
        <v>31.597222222222221</v>
      </c>
      <c r="G71">
        <v>-0.81322058181053336</v>
      </c>
    </row>
    <row r="72" spans="1:7" x14ac:dyDescent="0.2">
      <c r="A72">
        <v>47</v>
      </c>
      <c r="B72">
        <v>-1.1398319376921293</v>
      </c>
      <c r="C72">
        <v>8.5608065480965001E-2</v>
      </c>
      <c r="D72">
        <v>0.67719347592973944</v>
      </c>
      <c r="F72">
        <v>32.291666666666664</v>
      </c>
      <c r="G72">
        <v>-0.8024053912740966</v>
      </c>
    </row>
    <row r="73" spans="1:7" x14ac:dyDescent="0.2">
      <c r="A73">
        <v>48</v>
      </c>
      <c r="B73">
        <v>-0.81263298537432294</v>
      </c>
      <c r="C73">
        <v>0.10173249809578666</v>
      </c>
      <c r="D73">
        <v>0.80474408122000685</v>
      </c>
      <c r="F73">
        <v>32.986111111111107</v>
      </c>
      <c r="G73">
        <v>-0.78323253356016631</v>
      </c>
    </row>
    <row r="74" spans="1:7" x14ac:dyDescent="0.2">
      <c r="A74">
        <v>49</v>
      </c>
      <c r="B74">
        <v>-0.23080583342217253</v>
      </c>
      <c r="C74">
        <v>0.10480467177418884</v>
      </c>
      <c r="D74">
        <v>0.82904618360076454</v>
      </c>
      <c r="F74">
        <v>33.68055555555555</v>
      </c>
      <c r="G74">
        <v>-0.77426758540165275</v>
      </c>
    </row>
    <row r="75" spans="1:7" x14ac:dyDescent="0.2">
      <c r="A75">
        <v>50</v>
      </c>
      <c r="B75">
        <v>-0.896463912193459</v>
      </c>
      <c r="C75">
        <v>8.324333038292564E-2</v>
      </c>
      <c r="D75">
        <v>0.65848749102402515</v>
      </c>
      <c r="F75">
        <v>34.375</v>
      </c>
      <c r="G75">
        <v>-0.76068732422878949</v>
      </c>
    </row>
    <row r="76" spans="1:7" x14ac:dyDescent="0.2">
      <c r="A76">
        <v>51</v>
      </c>
      <c r="B76">
        <v>-5.177731321514556E-2</v>
      </c>
      <c r="C76">
        <v>9.36983648249059E-2</v>
      </c>
      <c r="D76">
        <v>0.74119092644161455</v>
      </c>
      <c r="F76">
        <v>35.069444444444443</v>
      </c>
      <c r="G76">
        <v>-0.76028132124532877</v>
      </c>
    </row>
    <row r="77" spans="1:7" x14ac:dyDescent="0.2">
      <c r="A77">
        <v>52</v>
      </c>
      <c r="B77">
        <v>-0.59517589447659414</v>
      </c>
      <c r="C77">
        <v>9.4818158921140538E-2</v>
      </c>
      <c r="D77">
        <v>0.75004893826671937</v>
      </c>
      <c r="F77">
        <v>35.763888888888886</v>
      </c>
      <c r="G77">
        <v>-0.75153605899196996</v>
      </c>
    </row>
    <row r="78" spans="1:7" x14ac:dyDescent="0.2">
      <c r="A78">
        <v>53</v>
      </c>
      <c r="B78">
        <v>-0.28010097401618372</v>
      </c>
      <c r="C78">
        <v>9.2449145987220982E-2</v>
      </c>
      <c r="D78">
        <v>0.73130911399630405</v>
      </c>
      <c r="F78">
        <v>36.458333333333329</v>
      </c>
      <c r="G78">
        <v>-0.72731481648190144</v>
      </c>
    </row>
    <row r="79" spans="1:7" x14ac:dyDescent="0.2">
      <c r="A79">
        <v>54</v>
      </c>
      <c r="B79">
        <v>0.20749170932254848</v>
      </c>
      <c r="C79">
        <v>8.6354101241643194E-2</v>
      </c>
      <c r="D79">
        <v>0.68309491228510111</v>
      </c>
      <c r="F79">
        <v>37.152777777777779</v>
      </c>
      <c r="G79">
        <v>-0.71518525407645916</v>
      </c>
    </row>
    <row r="80" spans="1:7" x14ac:dyDescent="0.2">
      <c r="A80">
        <v>55</v>
      </c>
      <c r="B80">
        <v>5.5320259895450308E-2</v>
      </c>
      <c r="C80">
        <v>9.1737634137288637E-2</v>
      </c>
      <c r="D80">
        <v>0.72568077535655262</v>
      </c>
      <c r="F80">
        <v>37.847222222222221</v>
      </c>
      <c r="G80">
        <v>-0.71090048727853627</v>
      </c>
    </row>
    <row r="81" spans="1:7" x14ac:dyDescent="0.2">
      <c r="A81">
        <v>56</v>
      </c>
      <c r="B81">
        <v>-0.20998898613510586</v>
      </c>
      <c r="C81">
        <v>0.10288031149486909</v>
      </c>
      <c r="D81">
        <v>0.81382373675335362</v>
      </c>
      <c r="F81">
        <v>38.541666666666664</v>
      </c>
      <c r="G81">
        <v>-0.69260541036168899</v>
      </c>
    </row>
    <row r="82" spans="1:7" x14ac:dyDescent="0.2">
      <c r="A82">
        <v>57</v>
      </c>
      <c r="B82">
        <v>0.63366218423949749</v>
      </c>
      <c r="C82">
        <v>3.1971821580475512E-2</v>
      </c>
      <c r="D82">
        <v>0.25290968632741506</v>
      </c>
      <c r="F82">
        <v>39.236111111111107</v>
      </c>
      <c r="G82">
        <v>-0.65835238193357282</v>
      </c>
    </row>
    <row r="83" spans="1:7" x14ac:dyDescent="0.2">
      <c r="A83">
        <v>58</v>
      </c>
      <c r="B83">
        <v>0.41181668450567155</v>
      </c>
      <c r="C83">
        <v>5.3534653350442607E-2</v>
      </c>
      <c r="D83">
        <v>0.42348016838601316</v>
      </c>
      <c r="F83">
        <v>39.93055555555555</v>
      </c>
      <c r="G83">
        <v>-0.65760377974441342</v>
      </c>
    </row>
    <row r="84" spans="1:7" x14ac:dyDescent="0.2">
      <c r="A84">
        <v>59</v>
      </c>
      <c r="B84">
        <v>-0.62877949154407387</v>
      </c>
      <c r="C84">
        <v>2.8590568796071247E-2</v>
      </c>
      <c r="D84">
        <v>0.22616264662731853</v>
      </c>
      <c r="F84">
        <v>40.625</v>
      </c>
      <c r="G84">
        <v>-0.65076373238944996</v>
      </c>
    </row>
    <row r="85" spans="1:7" x14ac:dyDescent="0.2">
      <c r="A85">
        <v>60</v>
      </c>
      <c r="B85">
        <v>0.10725563947731781</v>
      </c>
      <c r="C85">
        <v>8.7334605505164309E-2</v>
      </c>
      <c r="D85">
        <v>0.69085108673720841</v>
      </c>
      <c r="F85">
        <v>41.319444444444443</v>
      </c>
      <c r="G85">
        <v>-0.64496969911525204</v>
      </c>
    </row>
    <row r="86" spans="1:7" x14ac:dyDescent="0.2">
      <c r="A86">
        <v>61</v>
      </c>
      <c r="B86">
        <v>0.37329359377614424</v>
      </c>
      <c r="C86">
        <v>8.3263440904631225E-2</v>
      </c>
      <c r="D86">
        <v>0.6586465731621397</v>
      </c>
      <c r="F86">
        <v>42.013888888888886</v>
      </c>
      <c r="G86">
        <v>-0.64457008273053229</v>
      </c>
    </row>
    <row r="87" spans="1:7" x14ac:dyDescent="0.2">
      <c r="A87">
        <v>62</v>
      </c>
      <c r="B87">
        <v>-1.6021465138903792</v>
      </c>
      <c r="C87">
        <v>5.5860275487364497E-2</v>
      </c>
      <c r="D87">
        <v>0.44187675438235785</v>
      </c>
      <c r="F87">
        <v>42.708333333333329</v>
      </c>
      <c r="G87">
        <v>-0.63415019334093126</v>
      </c>
    </row>
    <row r="88" spans="1:7" x14ac:dyDescent="0.2">
      <c r="A88">
        <v>63</v>
      </c>
      <c r="B88">
        <v>-0.24766431316008741</v>
      </c>
      <c r="C88">
        <v>7.3240436410692111E-2</v>
      </c>
      <c r="D88">
        <v>0.579360664592938</v>
      </c>
      <c r="F88">
        <v>43.402777777777779</v>
      </c>
      <c r="G88">
        <v>-0.60018892274800262</v>
      </c>
    </row>
    <row r="89" spans="1:7" x14ac:dyDescent="0.2">
      <c r="A89">
        <v>64</v>
      </c>
      <c r="B89">
        <v>-0.31992644983200491</v>
      </c>
      <c r="C89">
        <v>6.4815374984146024E-2</v>
      </c>
      <c r="D89">
        <v>0.51271511431318184</v>
      </c>
      <c r="F89">
        <v>44.097222222222221</v>
      </c>
      <c r="G89">
        <v>-0.59209124229443622</v>
      </c>
    </row>
    <row r="90" spans="1:7" x14ac:dyDescent="0.2">
      <c r="A90">
        <v>65</v>
      </c>
      <c r="B90">
        <v>1.6289623995138245</v>
      </c>
      <c r="C90">
        <v>2.435504229813934E-2</v>
      </c>
      <c r="D90">
        <v>0.19265796578431096</v>
      </c>
      <c r="F90">
        <v>44.791666666666664</v>
      </c>
      <c r="G90">
        <v>-0.59145152801659373</v>
      </c>
    </row>
    <row r="91" spans="1:7" x14ac:dyDescent="0.2">
      <c r="A91">
        <v>66</v>
      </c>
      <c r="B91">
        <v>0.99154701477891782</v>
      </c>
      <c r="C91">
        <v>5.621533967294301E-2</v>
      </c>
      <c r="D91">
        <v>0.44468545177154883</v>
      </c>
      <c r="F91">
        <v>45.486111111111107</v>
      </c>
      <c r="G91">
        <v>-0.56639994712204866</v>
      </c>
    </row>
    <row r="92" spans="1:7" x14ac:dyDescent="0.2">
      <c r="A92">
        <v>67</v>
      </c>
      <c r="B92">
        <v>1.3428523325086075</v>
      </c>
      <c r="C92">
        <v>4.2229287066397614E-3</v>
      </c>
      <c r="D92">
        <v>3.3405027357950562E-2</v>
      </c>
      <c r="F92">
        <v>46.18055555555555</v>
      </c>
      <c r="G92">
        <v>-0.53334375688255586</v>
      </c>
    </row>
    <row r="93" spans="1:7" x14ac:dyDescent="0.2">
      <c r="A93">
        <v>68</v>
      </c>
      <c r="B93">
        <v>-0.63970740452418251</v>
      </c>
      <c r="C93">
        <v>0.22790626134429182</v>
      </c>
      <c r="D93">
        <v>1.8028281849238774</v>
      </c>
      <c r="F93">
        <v>46.875</v>
      </c>
      <c r="G93">
        <v>-0.52011651603658948</v>
      </c>
    </row>
    <row r="94" spans="1:7" x14ac:dyDescent="0.2">
      <c r="A94">
        <v>69</v>
      </c>
      <c r="B94">
        <v>-4.2643267258111406E-2</v>
      </c>
      <c r="C94">
        <v>0.14180384681611424</v>
      </c>
      <c r="D94">
        <v>1.1217242135551437</v>
      </c>
      <c r="F94">
        <v>47.569444444444443</v>
      </c>
      <c r="G94">
        <v>-0.51489554556213668</v>
      </c>
    </row>
    <row r="95" spans="1:7" x14ac:dyDescent="0.2">
      <c r="A95">
        <v>70</v>
      </c>
      <c r="B95">
        <v>-0.20555062945361979</v>
      </c>
      <c r="C95">
        <v>9.9897722815979306E-2</v>
      </c>
      <c r="D95">
        <v>0.7902302869612291</v>
      </c>
      <c r="F95">
        <v>48.263888888888886</v>
      </c>
      <c r="G95">
        <v>-0.5003577355554536</v>
      </c>
    </row>
    <row r="96" spans="1:7" x14ac:dyDescent="0.2">
      <c r="A96">
        <v>71</v>
      </c>
      <c r="B96">
        <v>-0.79083761516185924</v>
      </c>
      <c r="C96">
        <v>0.13323383541744582</v>
      </c>
      <c r="D96">
        <v>1.0539320519729831</v>
      </c>
      <c r="F96">
        <v>48.958333333333329</v>
      </c>
      <c r="G96">
        <v>-0.41180114317989069</v>
      </c>
    </row>
    <row r="97" spans="1:7" x14ac:dyDescent="0.2">
      <c r="A97">
        <v>72</v>
      </c>
      <c r="B97">
        <v>-1.4216430095162671</v>
      </c>
      <c r="C97">
        <v>0.1027255995439178</v>
      </c>
      <c r="D97">
        <v>0.81259990435807694</v>
      </c>
      <c r="F97">
        <v>49.652777777777779</v>
      </c>
      <c r="G97">
        <v>-0.39678061822529287</v>
      </c>
    </row>
    <row r="98" spans="1:7" x14ac:dyDescent="0.2">
      <c r="A98">
        <v>73</v>
      </c>
      <c r="B98">
        <v>0.31583246018601585</v>
      </c>
      <c r="C98">
        <v>0.11839706774229541</v>
      </c>
      <c r="D98">
        <v>0.93656738291932795</v>
      </c>
      <c r="F98">
        <v>50.347222222222221</v>
      </c>
      <c r="G98">
        <v>-0.39129536353526051</v>
      </c>
    </row>
    <row r="99" spans="1:7" x14ac:dyDescent="0.2">
      <c r="A99">
        <v>74</v>
      </c>
      <c r="B99">
        <v>1.2681185869101499</v>
      </c>
      <c r="C99">
        <v>0.13081455681790399</v>
      </c>
      <c r="D99">
        <v>1.0347946065131224</v>
      </c>
      <c r="F99">
        <v>51.041666666666664</v>
      </c>
      <c r="G99">
        <v>-0.38856945911305885</v>
      </c>
    </row>
    <row r="100" spans="1:7" x14ac:dyDescent="0.2">
      <c r="A100">
        <v>75</v>
      </c>
      <c r="B100">
        <v>12.161245423974387</v>
      </c>
      <c r="C100">
        <v>5.4796809754483533E-2</v>
      </c>
      <c r="D100">
        <v>0.43346432207080238</v>
      </c>
      <c r="F100">
        <v>51.736111111111107</v>
      </c>
      <c r="G100">
        <v>-0.33409869319838392</v>
      </c>
    </row>
    <row r="101" spans="1:7" x14ac:dyDescent="0.2">
      <c r="A101">
        <v>76</v>
      </c>
      <c r="B101">
        <v>-5.5883906089215323</v>
      </c>
      <c r="C101">
        <v>8.9880988311702659E-2</v>
      </c>
      <c r="D101">
        <v>0.71099397647685392</v>
      </c>
      <c r="F101">
        <v>52.43055555555555</v>
      </c>
      <c r="G101">
        <v>-0.31832448579568484</v>
      </c>
    </row>
    <row r="102" spans="1:7" x14ac:dyDescent="0.2">
      <c r="A102">
        <v>77</v>
      </c>
      <c r="B102">
        <v>-3.4107310486357516</v>
      </c>
      <c r="C102">
        <v>0.16623718409647648</v>
      </c>
      <c r="D102">
        <v>1.3150015234498664</v>
      </c>
      <c r="F102">
        <v>53.125</v>
      </c>
      <c r="G102">
        <v>-0.28505372146313801</v>
      </c>
    </row>
    <row r="103" spans="1:7" x14ac:dyDescent="0.2">
      <c r="A103">
        <v>78</v>
      </c>
      <c r="B103">
        <v>-1.1623524949790778</v>
      </c>
      <c r="C103">
        <v>0.18985247153804519</v>
      </c>
      <c r="D103">
        <v>1.5018077373011967</v>
      </c>
      <c r="F103">
        <v>53.819444444444443</v>
      </c>
      <c r="G103">
        <v>-0.25511107484785889</v>
      </c>
    </row>
    <row r="104" spans="1:7" x14ac:dyDescent="0.2">
      <c r="A104">
        <v>79</v>
      </c>
      <c r="B104">
        <v>-3.0600316319833367</v>
      </c>
      <c r="C104">
        <v>0.14380677620482674</v>
      </c>
      <c r="D104">
        <v>1.1375681729667209</v>
      </c>
      <c r="F104">
        <v>54.513888888888886</v>
      </c>
      <c r="G104">
        <v>-0.24570607569441716</v>
      </c>
    </row>
    <row r="105" spans="1:7" x14ac:dyDescent="0.2">
      <c r="A105">
        <v>80</v>
      </c>
      <c r="B105">
        <v>-1.2823654588309898</v>
      </c>
      <c r="C105">
        <v>0.19109479202236712</v>
      </c>
      <c r="D105">
        <v>1.5116349810576131</v>
      </c>
      <c r="F105">
        <v>55.208333333333329</v>
      </c>
      <c r="G105">
        <v>-0.21023787270852989</v>
      </c>
    </row>
    <row r="106" spans="1:7" x14ac:dyDescent="0.2">
      <c r="A106">
        <v>81</v>
      </c>
      <c r="B106">
        <v>1.0099879594852987</v>
      </c>
      <c r="C106">
        <v>0.13700952009602263</v>
      </c>
      <c r="D106">
        <v>1.0837992031243968</v>
      </c>
      <c r="F106">
        <v>55.902777777777779</v>
      </c>
      <c r="G106">
        <v>-0.1964145478948659</v>
      </c>
    </row>
    <row r="107" spans="1:7" x14ac:dyDescent="0.2">
      <c r="A107">
        <v>82</v>
      </c>
      <c r="B107">
        <v>-0.13436246503276028</v>
      </c>
      <c r="C107">
        <v>0.1493047925986416</v>
      </c>
      <c r="D107">
        <v>1.1810596455461828</v>
      </c>
      <c r="F107">
        <v>56.597222222222221</v>
      </c>
      <c r="G107">
        <v>-0.18765182802896274</v>
      </c>
    </row>
    <row r="108" spans="1:7" x14ac:dyDescent="0.2">
      <c r="A108">
        <v>83</v>
      </c>
      <c r="B108">
        <v>-4.284712936479032</v>
      </c>
      <c r="C108">
        <v>0.12636134451243564</v>
      </c>
      <c r="D108">
        <v>0.99956794529550919</v>
      </c>
      <c r="F108">
        <v>57.291666666666664</v>
      </c>
      <c r="G108">
        <v>-0.1744238767493953</v>
      </c>
    </row>
    <row r="109" spans="1:7" x14ac:dyDescent="0.2">
      <c r="A109">
        <v>84</v>
      </c>
      <c r="B109">
        <v>-1.3095779365643092</v>
      </c>
      <c r="C109">
        <v>0.16373377003468192</v>
      </c>
      <c r="D109">
        <v>1.2951985333849292</v>
      </c>
      <c r="F109">
        <v>57.986111111111107</v>
      </c>
      <c r="G109">
        <v>-0.12600116164798369</v>
      </c>
    </row>
    <row r="110" spans="1:7" x14ac:dyDescent="0.2">
      <c r="A110">
        <v>85</v>
      </c>
      <c r="B110">
        <v>-0.21665763848871555</v>
      </c>
      <c r="C110">
        <v>0.17016909400918334</v>
      </c>
      <c r="D110">
        <v>1.3461044776618221</v>
      </c>
      <c r="F110">
        <v>58.68055555555555</v>
      </c>
      <c r="G110">
        <v>-0.10710867464023677</v>
      </c>
    </row>
    <row r="111" spans="1:7" x14ac:dyDescent="0.2">
      <c r="A111">
        <v>86</v>
      </c>
      <c r="B111">
        <v>-0.22738650878737454</v>
      </c>
      <c r="C111">
        <v>0.14902801981335245</v>
      </c>
      <c r="D111">
        <v>1.1788702639329003</v>
      </c>
      <c r="F111">
        <v>59.375</v>
      </c>
      <c r="G111">
        <v>-0.10565290663764049</v>
      </c>
    </row>
    <row r="112" spans="1:7" x14ac:dyDescent="0.2">
      <c r="A112">
        <v>87</v>
      </c>
      <c r="B112">
        <v>-0.79899495167422097</v>
      </c>
      <c r="C112">
        <v>0.10638954131253198</v>
      </c>
      <c r="D112">
        <v>0.84158312513233546</v>
      </c>
      <c r="F112">
        <v>60.069444444444443</v>
      </c>
      <c r="G112">
        <v>-8.1493641637859771E-2</v>
      </c>
    </row>
    <row r="113" spans="1:7" x14ac:dyDescent="0.2">
      <c r="A113">
        <v>88</v>
      </c>
      <c r="B113">
        <v>-0.72250261928745751</v>
      </c>
      <c r="C113">
        <v>0.15610267216540885</v>
      </c>
      <c r="D113">
        <v>1.2348335471862619</v>
      </c>
      <c r="F113">
        <v>60.763888888888886</v>
      </c>
      <c r="G113">
        <v>-7.8358488974022089E-2</v>
      </c>
    </row>
    <row r="114" spans="1:7" x14ac:dyDescent="0.2">
      <c r="A114">
        <v>89</v>
      </c>
      <c r="B114">
        <v>-0.49688190396243098</v>
      </c>
      <c r="C114">
        <v>0.10831244484937214</v>
      </c>
      <c r="D114">
        <v>0.85679404857365438</v>
      </c>
      <c r="F114">
        <v>61.458333333333329</v>
      </c>
      <c r="G114">
        <v>-6.5517018419526396E-2</v>
      </c>
    </row>
    <row r="115" spans="1:7" x14ac:dyDescent="0.2">
      <c r="A115">
        <v>90</v>
      </c>
      <c r="B115">
        <v>-0.87370367616884026</v>
      </c>
      <c r="C115">
        <v>0.11342235492351149</v>
      </c>
      <c r="D115">
        <v>0.89721544748453441</v>
      </c>
      <c r="F115">
        <v>62.152777777777771</v>
      </c>
      <c r="G115">
        <v>-4.9060540900919491E-2</v>
      </c>
    </row>
    <row r="116" spans="1:7" x14ac:dyDescent="0.2">
      <c r="A116">
        <v>91</v>
      </c>
      <c r="B116">
        <v>-0.52711397953427452</v>
      </c>
      <c r="C116">
        <v>0.13033336130898165</v>
      </c>
      <c r="D116">
        <v>1.0309881607365694</v>
      </c>
      <c r="F116">
        <v>62.847222222222221</v>
      </c>
      <c r="G116">
        <v>-4.6488544479532212E-2</v>
      </c>
    </row>
    <row r="117" spans="1:7" x14ac:dyDescent="0.2">
      <c r="A117">
        <v>92</v>
      </c>
      <c r="B117">
        <v>-0.51892995117484109</v>
      </c>
      <c r="C117">
        <v>0.12763458763958058</v>
      </c>
      <c r="D117">
        <v>1.0096397993215371</v>
      </c>
      <c r="F117">
        <v>63.541666666666664</v>
      </c>
      <c r="G117">
        <v>-1.7227430562336554E-3</v>
      </c>
    </row>
    <row r="118" spans="1:7" x14ac:dyDescent="0.2">
      <c r="A118">
        <v>93</v>
      </c>
      <c r="B118">
        <v>0.25968920755063163</v>
      </c>
      <c r="C118">
        <v>0.10416458170831189</v>
      </c>
      <c r="D118">
        <v>0.82398281937002293</v>
      </c>
      <c r="F118">
        <v>64.236111111111114</v>
      </c>
      <c r="G118">
        <v>-5.0280583610806673E-4</v>
      </c>
    </row>
    <row r="119" spans="1:7" x14ac:dyDescent="0.2">
      <c r="A119">
        <v>94</v>
      </c>
      <c r="B119">
        <v>0.12444984994275243</v>
      </c>
      <c r="C119">
        <v>7.2299966108167801E-2</v>
      </c>
      <c r="D119">
        <v>0.57192117452156455</v>
      </c>
      <c r="F119">
        <v>64.930555555555557</v>
      </c>
      <c r="G119">
        <v>6.9187076511110224E-3</v>
      </c>
    </row>
    <row r="120" spans="1:7" x14ac:dyDescent="0.2">
      <c r="A120">
        <v>95</v>
      </c>
      <c r="B120">
        <v>1.0592205059611659</v>
      </c>
      <c r="C120">
        <v>0.1373992560401962</v>
      </c>
      <c r="D120">
        <v>1.0868821677638483</v>
      </c>
      <c r="F120">
        <v>65.625</v>
      </c>
      <c r="G120">
        <v>1.4942327565881319E-2</v>
      </c>
    </row>
    <row r="121" spans="1:7" x14ac:dyDescent="0.2">
      <c r="A121">
        <v>96</v>
      </c>
      <c r="B121">
        <v>-1.8845725417800041</v>
      </c>
      <c r="C121">
        <v>7.1378320731882994E-2</v>
      </c>
      <c r="D121">
        <v>0.56463059702241913</v>
      </c>
      <c r="F121">
        <v>66.319444444444443</v>
      </c>
      <c r="G121">
        <v>4.192105160976034E-2</v>
      </c>
    </row>
    <row r="122" spans="1:7" x14ac:dyDescent="0.2">
      <c r="A122">
        <v>97</v>
      </c>
      <c r="B122">
        <v>2.2864533704803334</v>
      </c>
      <c r="C122">
        <v>6.5517003083895187E-2</v>
      </c>
      <c r="D122">
        <v>0.5182652686007444</v>
      </c>
      <c r="F122">
        <v>67.013888888888886</v>
      </c>
      <c r="G122">
        <v>9.9160579558002837E-2</v>
      </c>
    </row>
    <row r="123" spans="1:7" x14ac:dyDescent="0.2">
      <c r="A123">
        <v>98</v>
      </c>
      <c r="B123">
        <v>1.0969855488264091</v>
      </c>
      <c r="C123">
        <v>3.9153482766389969E-2</v>
      </c>
      <c r="D123">
        <v>0.30971945155357217</v>
      </c>
      <c r="F123">
        <v>67.708333333333343</v>
      </c>
      <c r="G123">
        <v>0.13834015298999414</v>
      </c>
    </row>
    <row r="124" spans="1:7" x14ac:dyDescent="0.2">
      <c r="A124">
        <v>99</v>
      </c>
      <c r="B124">
        <v>0.61108172519873483</v>
      </c>
      <c r="C124">
        <v>1.0626165136167764E-2</v>
      </c>
      <c r="D124">
        <v>8.4057146530952601E-2</v>
      </c>
      <c r="F124">
        <v>68.402777777777786</v>
      </c>
      <c r="G124">
        <v>0.14705789403273895</v>
      </c>
    </row>
    <row r="125" spans="1:7" x14ac:dyDescent="0.2">
      <c r="A125">
        <v>100</v>
      </c>
      <c r="B125">
        <v>3.7613714776850822</v>
      </c>
      <c r="C125">
        <v>4.5387078305060058E-2</v>
      </c>
      <c r="D125">
        <v>0.35902964454363256</v>
      </c>
      <c r="F125">
        <v>69.097222222222229</v>
      </c>
      <c r="G125">
        <v>0.19459024498248212</v>
      </c>
    </row>
    <row r="126" spans="1:7" x14ac:dyDescent="0.2">
      <c r="A126">
        <v>101</v>
      </c>
      <c r="B126">
        <v>-0.57444828506817425</v>
      </c>
      <c r="C126">
        <v>-8.390409686539857E-2</v>
      </c>
      <c r="D126">
        <v>-0.66371441384408592</v>
      </c>
      <c r="F126">
        <v>69.791666666666671</v>
      </c>
      <c r="G126">
        <v>0.19674981605092023</v>
      </c>
    </row>
    <row r="127" spans="1:7" x14ac:dyDescent="0.2">
      <c r="A127">
        <v>102</v>
      </c>
      <c r="B127">
        <v>6.6270103860702285</v>
      </c>
      <c r="C127">
        <v>2.4717627580290724E-3</v>
      </c>
      <c r="D127">
        <v>1.9552615800617186E-2</v>
      </c>
      <c r="F127">
        <v>70.486111111111114</v>
      </c>
      <c r="G127">
        <v>0.21635937369070346</v>
      </c>
    </row>
    <row r="128" spans="1:7" x14ac:dyDescent="0.2">
      <c r="A128">
        <v>103</v>
      </c>
      <c r="B128">
        <v>-6.3434631596241404</v>
      </c>
      <c r="C128">
        <v>-7.0983851294879052E-2</v>
      </c>
      <c r="D128">
        <v>-0.56151018859253654</v>
      </c>
      <c r="F128">
        <v>71.180555555555557</v>
      </c>
      <c r="G128">
        <v>0.29384581056419168</v>
      </c>
    </row>
    <row r="129" spans="1:7" x14ac:dyDescent="0.2">
      <c r="A129">
        <v>104</v>
      </c>
      <c r="B129">
        <v>3.8544802265265821</v>
      </c>
      <c r="C129">
        <v>4.2855157512580178E-2</v>
      </c>
      <c r="D129">
        <v>0.33900115502450573</v>
      </c>
      <c r="F129">
        <v>71.875</v>
      </c>
      <c r="G129">
        <v>0.32922876547152047</v>
      </c>
    </row>
    <row r="130" spans="1:7" x14ac:dyDescent="0.2">
      <c r="A130">
        <v>105</v>
      </c>
      <c r="B130">
        <v>2.540311942895797</v>
      </c>
      <c r="C130">
        <v>-0.21441835613088545</v>
      </c>
      <c r="D130">
        <v>-1.6961335485813653</v>
      </c>
      <c r="F130">
        <v>72.569444444444443</v>
      </c>
      <c r="G130">
        <v>0.36385378925894352</v>
      </c>
    </row>
    <row r="131" spans="1:7" x14ac:dyDescent="0.2">
      <c r="A131">
        <v>106</v>
      </c>
      <c r="B131">
        <v>-1.961467163678396</v>
      </c>
      <c r="C131">
        <v>-0.227878400757624</v>
      </c>
      <c r="D131">
        <v>-1.8026077967230576</v>
      </c>
      <c r="F131">
        <v>73.263888888888886</v>
      </c>
      <c r="G131">
        <v>0.3818238017242751</v>
      </c>
    </row>
    <row r="132" spans="1:7" x14ac:dyDescent="0.2">
      <c r="A132">
        <v>107</v>
      </c>
      <c r="B132">
        <v>-1.9824571131697331</v>
      </c>
      <c r="C132">
        <v>-0.11450370876566152</v>
      </c>
      <c r="D132">
        <v>-0.90576938177754074</v>
      </c>
      <c r="F132">
        <v>73.958333333333343</v>
      </c>
      <c r="G132">
        <v>0.43422952792831127</v>
      </c>
    </row>
    <row r="133" spans="1:7" x14ac:dyDescent="0.2">
      <c r="A133">
        <v>108</v>
      </c>
      <c r="B133">
        <v>0.53017853022546979</v>
      </c>
      <c r="C133">
        <v>-0.14835472850119469</v>
      </c>
      <c r="D133">
        <v>-1.1735442647827992</v>
      </c>
      <c r="F133">
        <v>74.652777777777786</v>
      </c>
      <c r="G133">
        <v>0.45655703468077546</v>
      </c>
    </row>
    <row r="134" spans="1:7" x14ac:dyDescent="0.2">
      <c r="A134">
        <v>109</v>
      </c>
      <c r="B134">
        <v>-2.7259322215490109</v>
      </c>
      <c r="C134">
        <v>-0.15942451334006869</v>
      </c>
      <c r="D134">
        <v>-1.2611106176809177</v>
      </c>
      <c r="F134">
        <v>75.347222222222229</v>
      </c>
      <c r="G134">
        <v>0.46286743849788481</v>
      </c>
    </row>
    <row r="135" spans="1:7" x14ac:dyDescent="0.2">
      <c r="A135">
        <v>110</v>
      </c>
      <c r="B135">
        <v>0.77758200204939953</v>
      </c>
      <c r="C135">
        <v>-0.11615058845127724</v>
      </c>
      <c r="D135">
        <v>-0.91879684796865746</v>
      </c>
      <c r="F135">
        <v>76.041666666666671</v>
      </c>
      <c r="G135">
        <v>0.46535133785611416</v>
      </c>
    </row>
    <row r="136" spans="1:7" x14ac:dyDescent="0.2">
      <c r="A136">
        <v>111</v>
      </c>
      <c r="B136">
        <v>-0.5835040788038991</v>
      </c>
      <c r="C136">
        <v>-0.19076350659775365</v>
      </c>
      <c r="D136">
        <v>-1.5090143830221541</v>
      </c>
      <c r="F136">
        <v>76.736111111111114</v>
      </c>
      <c r="G136">
        <v>0.5059905302552723</v>
      </c>
    </row>
    <row r="137" spans="1:7" x14ac:dyDescent="0.2">
      <c r="A137">
        <v>112</v>
      </c>
      <c r="B137">
        <v>-7.7716406223963058E-2</v>
      </c>
      <c r="C137">
        <v>-0.13252146648456684</v>
      </c>
      <c r="D137">
        <v>-1.0482969334699499</v>
      </c>
      <c r="F137">
        <v>77.430555555555557</v>
      </c>
      <c r="G137">
        <v>0.52204244553182977</v>
      </c>
    </row>
    <row r="138" spans="1:7" x14ac:dyDescent="0.2">
      <c r="A138">
        <v>113</v>
      </c>
      <c r="B138">
        <v>0.70333602132545803</v>
      </c>
      <c r="C138">
        <v>-0.18129357579362826</v>
      </c>
      <c r="D138">
        <v>-1.434103504917033</v>
      </c>
      <c r="F138">
        <v>78.125</v>
      </c>
      <c r="G138">
        <v>0.57003932831998982</v>
      </c>
    </row>
    <row r="139" spans="1:7" x14ac:dyDescent="0.2">
      <c r="A139">
        <v>114</v>
      </c>
      <c r="B139">
        <v>-1.0247556792139818</v>
      </c>
      <c r="C139">
        <v>-0.20677496845318499</v>
      </c>
      <c r="D139">
        <v>-1.635671345163261</v>
      </c>
      <c r="F139">
        <v>78.819444444444443</v>
      </c>
      <c r="G139">
        <v>0.60545695484994577</v>
      </c>
    </row>
    <row r="140" spans="1:7" x14ac:dyDescent="0.2">
      <c r="A140">
        <v>115</v>
      </c>
      <c r="B140">
        <v>-0.87625273794547875</v>
      </c>
      <c r="C140">
        <v>-0.21619508173981861</v>
      </c>
      <c r="D140">
        <v>-1.7101881471069489</v>
      </c>
      <c r="F140">
        <v>79.513888888888886</v>
      </c>
      <c r="G140">
        <v>0.62170789033490259</v>
      </c>
    </row>
    <row r="141" spans="1:7" x14ac:dyDescent="0.2">
      <c r="A141">
        <v>116</v>
      </c>
      <c r="B141">
        <v>-5.2381894372309779E-3</v>
      </c>
      <c r="C141">
        <v>-0.24046788625718618</v>
      </c>
      <c r="D141">
        <v>-1.9021955796932406</v>
      </c>
      <c r="F141">
        <v>80.208333333333343</v>
      </c>
      <c r="G141">
        <v>0.6614314135981223</v>
      </c>
    </row>
    <row r="142" spans="1:7" x14ac:dyDescent="0.2">
      <c r="A142">
        <v>117</v>
      </c>
      <c r="B142">
        <v>0.83386704561587732</v>
      </c>
      <c r="C142">
        <v>-0.22841009076593155</v>
      </c>
      <c r="D142">
        <v>-1.8068136738541434</v>
      </c>
      <c r="F142">
        <v>80.902777777777786</v>
      </c>
      <c r="G142">
        <v>0.66563400581997301</v>
      </c>
    </row>
    <row r="143" spans="1:7" x14ac:dyDescent="0.2">
      <c r="A143">
        <v>118</v>
      </c>
      <c r="B143">
        <v>0.96428970648851253</v>
      </c>
      <c r="C143">
        <v>-0.25013042265956176</v>
      </c>
      <c r="D143">
        <v>-1.9786300438510283</v>
      </c>
      <c r="F143">
        <v>81.597222222222229</v>
      </c>
      <c r="G143">
        <v>0.71415928382895077</v>
      </c>
    </row>
    <row r="144" spans="1:7" x14ac:dyDescent="0.2">
      <c r="A144">
        <v>119</v>
      </c>
      <c r="B144">
        <v>-3.5969544680266523</v>
      </c>
      <c r="C144">
        <v>-0.20698790702063885</v>
      </c>
      <c r="D144">
        <v>-1.6373557730012622</v>
      </c>
      <c r="F144">
        <v>82.291666666666671</v>
      </c>
      <c r="G144">
        <v>0.72247237641396156</v>
      </c>
    </row>
    <row r="145" spans="1:7" x14ac:dyDescent="0.2">
      <c r="A145">
        <v>120</v>
      </c>
      <c r="B145">
        <v>-3.0601535181891757</v>
      </c>
      <c r="C145">
        <v>-0.14800724596651715</v>
      </c>
      <c r="D145">
        <v>-1.1707955412348354</v>
      </c>
      <c r="F145">
        <v>82.986111111111114</v>
      </c>
      <c r="G145">
        <v>0.75000275070437161</v>
      </c>
    </row>
    <row r="146" spans="1:7" x14ac:dyDescent="0.2">
      <c r="A146">
        <v>121</v>
      </c>
      <c r="B146">
        <v>0.35069884138428731</v>
      </c>
      <c r="C146">
        <v>-0.13433946769358385</v>
      </c>
      <c r="D146">
        <v>-1.062678038229903</v>
      </c>
      <c r="F146">
        <v>83.680555555555557</v>
      </c>
      <c r="G146">
        <v>0.77481360069533434</v>
      </c>
    </row>
    <row r="147" spans="1:7" x14ac:dyDescent="0.2">
      <c r="A147">
        <v>122</v>
      </c>
      <c r="B147">
        <v>7.1777582090791547E-2</v>
      </c>
      <c r="C147">
        <v>-0.15327122372865132</v>
      </c>
      <c r="D147">
        <v>-1.2124356761675552</v>
      </c>
      <c r="F147">
        <v>84.375</v>
      </c>
      <c r="G147">
        <v>0.96051392618165299</v>
      </c>
    </row>
    <row r="148" spans="1:7" x14ac:dyDescent="0.2">
      <c r="A148">
        <v>123</v>
      </c>
      <c r="B148">
        <v>-0.54820409144286675</v>
      </c>
      <c r="C148">
        <v>-0.16698116263359242</v>
      </c>
      <c r="D148">
        <v>-1.3208866863575446</v>
      </c>
      <c r="F148">
        <v>85.069444444444443</v>
      </c>
      <c r="G148">
        <v>1.0477623544518608</v>
      </c>
    </row>
    <row r="149" spans="1:7" x14ac:dyDescent="0.2">
      <c r="A149">
        <v>124</v>
      </c>
      <c r="B149">
        <v>0.67508482326807107</v>
      </c>
      <c r="C149">
        <v>-0.21221738477018626</v>
      </c>
      <c r="D149">
        <v>-1.6787229992622115</v>
      </c>
      <c r="F149">
        <v>85.763888888888886</v>
      </c>
      <c r="G149">
        <v>1.1361390315927991</v>
      </c>
    </row>
    <row r="150" spans="1:7" x14ac:dyDescent="0.2">
      <c r="A150">
        <v>125</v>
      </c>
      <c r="B150">
        <v>-0.88485074943843411</v>
      </c>
      <c r="C150">
        <v>-0.20119681631550757</v>
      </c>
      <c r="D150">
        <v>-1.591545967324667</v>
      </c>
      <c r="F150">
        <v>86.458333333333343</v>
      </c>
      <c r="G150">
        <v>1.1469974795813214</v>
      </c>
    </row>
    <row r="151" spans="1:7" x14ac:dyDescent="0.2">
      <c r="A151">
        <v>126</v>
      </c>
      <c r="B151">
        <v>-0.14475319695667177</v>
      </c>
      <c r="C151">
        <v>-0.17357128883901307</v>
      </c>
      <c r="D151">
        <v>-1.3730171771797766</v>
      </c>
      <c r="F151">
        <v>87.152777777777786</v>
      </c>
      <c r="G151">
        <v>1.1966197620013621</v>
      </c>
    </row>
    <row r="152" spans="1:7" x14ac:dyDescent="0.2">
      <c r="A152">
        <v>127</v>
      </c>
      <c r="B152">
        <v>-1.1462350097674412</v>
      </c>
      <c r="C152">
        <v>-0.17635789410858904</v>
      </c>
      <c r="D152">
        <v>-1.3950603211048997</v>
      </c>
      <c r="F152">
        <v>87.847222222222229</v>
      </c>
      <c r="G152">
        <v>1.2825188779607932</v>
      </c>
    </row>
    <row r="153" spans="1:7" x14ac:dyDescent="0.2">
      <c r="A153">
        <v>128</v>
      </c>
      <c r="B153">
        <v>-1.2153513630951172</v>
      </c>
      <c r="C153">
        <v>-0.2006388864077806</v>
      </c>
      <c r="D153">
        <v>-1.5871325222664698</v>
      </c>
      <c r="F153">
        <v>88.541666666666671</v>
      </c>
      <c r="G153">
        <v>1.3277320563891768</v>
      </c>
    </row>
    <row r="154" spans="1:7" x14ac:dyDescent="0.2">
      <c r="A154">
        <v>129</v>
      </c>
      <c r="B154">
        <v>-1.299726517480535</v>
      </c>
      <c r="C154">
        <v>-0.15938013331910295</v>
      </c>
      <c r="D154">
        <v>-1.2607595542561016</v>
      </c>
      <c r="F154">
        <v>89.236111111111114</v>
      </c>
      <c r="G154">
        <v>1.3470752612152472</v>
      </c>
    </row>
    <row r="155" spans="1:7" x14ac:dyDescent="0.2">
      <c r="A155">
        <v>130</v>
      </c>
      <c r="B155">
        <v>0.73785711967670287</v>
      </c>
      <c r="C155">
        <v>-0.16781779135671304</v>
      </c>
      <c r="D155">
        <v>-1.3275047486848459</v>
      </c>
      <c r="F155">
        <v>89.930555555555557</v>
      </c>
      <c r="G155">
        <v>1.3989331437280539</v>
      </c>
    </row>
    <row r="156" spans="1:7" x14ac:dyDescent="0.2">
      <c r="A156">
        <v>131</v>
      </c>
      <c r="B156">
        <v>-1.1201574737963633</v>
      </c>
      <c r="C156">
        <v>-0.19154637782317407</v>
      </c>
      <c r="D156">
        <v>-1.5152072023945964</v>
      </c>
      <c r="F156">
        <v>90.625</v>
      </c>
      <c r="G156">
        <v>1.5478775327014587</v>
      </c>
    </row>
    <row r="157" spans="1:7" x14ac:dyDescent="0.2">
      <c r="A157">
        <v>132</v>
      </c>
      <c r="B157">
        <v>0.13357245506013127</v>
      </c>
      <c r="C157">
        <v>-0.19908947347965766</v>
      </c>
      <c r="D157">
        <v>-1.5748760564702726</v>
      </c>
      <c r="F157">
        <v>91.319444444444443</v>
      </c>
      <c r="G157">
        <v>1.6334355421039572</v>
      </c>
    </row>
    <row r="158" spans="1:7" x14ac:dyDescent="0.2">
      <c r="A158">
        <v>133</v>
      </c>
      <c r="B158">
        <v>-1.0187113570711688</v>
      </c>
      <c r="C158">
        <v>-0.22393721408139289</v>
      </c>
      <c r="D158">
        <v>-1.7714314596621721</v>
      </c>
      <c r="F158">
        <v>92.013888888888886</v>
      </c>
      <c r="G158">
        <v>1.6533174418119638</v>
      </c>
    </row>
    <row r="159" spans="1:7" x14ac:dyDescent="0.2">
      <c r="A159">
        <v>134</v>
      </c>
      <c r="B159">
        <v>-0.44632079977379135</v>
      </c>
      <c r="C159">
        <v>-0.19864889934146068</v>
      </c>
      <c r="D159">
        <v>-1.5713909417164917</v>
      </c>
      <c r="F159">
        <v>92.708333333333343</v>
      </c>
      <c r="G159">
        <v>1.7191062695844579</v>
      </c>
    </row>
    <row r="160" spans="1:7" x14ac:dyDescent="0.2">
      <c r="A160">
        <v>135</v>
      </c>
      <c r="B160">
        <v>1.2127468911771664</v>
      </c>
      <c r="C160">
        <v>-0.2522329649955134</v>
      </c>
      <c r="D160">
        <v>-1.9952619808627239</v>
      </c>
      <c r="F160">
        <v>93.402777777777786</v>
      </c>
      <c r="G160">
        <v>1.8295849965341144</v>
      </c>
    </row>
    <row r="161" spans="1:7" x14ac:dyDescent="0.2">
      <c r="A161">
        <v>136</v>
      </c>
      <c r="B161">
        <v>-0.52952444767987628</v>
      </c>
      <c r="C161">
        <v>-0.25370808588029004</v>
      </c>
      <c r="D161">
        <v>-2.0069307673697683</v>
      </c>
      <c r="F161">
        <v>94.097222222222229</v>
      </c>
      <c r="G161">
        <v>1.9065660162592846</v>
      </c>
    </row>
    <row r="162" spans="1:7" x14ac:dyDescent="0.2">
      <c r="A162">
        <v>137</v>
      </c>
      <c r="B162">
        <v>-1.0297943543050156</v>
      </c>
      <c r="C162">
        <v>-0.12936108442751904</v>
      </c>
      <c r="D162">
        <v>-1.0232970681131739</v>
      </c>
      <c r="F162">
        <v>94.791666666666671</v>
      </c>
      <c r="G162">
        <v>2.2414143834970743</v>
      </c>
    </row>
    <row r="163" spans="1:7" x14ac:dyDescent="0.2">
      <c r="A163">
        <v>138</v>
      </c>
      <c r="B163">
        <v>-0.70162835659558009</v>
      </c>
      <c r="C163">
        <v>-0.16718731664657915</v>
      </c>
      <c r="D163">
        <v>-1.3225174457006861</v>
      </c>
      <c r="F163">
        <v>95.486111111111114</v>
      </c>
      <c r="G163">
        <v>2.3258935867649115</v>
      </c>
    </row>
    <row r="164" spans="1:7" x14ac:dyDescent="0.2">
      <c r="A164">
        <v>139</v>
      </c>
      <c r="B164">
        <v>-0.84677857747050267</v>
      </c>
      <c r="C164">
        <v>-0.15698803054181021</v>
      </c>
      <c r="D164">
        <v>-1.241837080241124</v>
      </c>
      <c r="F164">
        <v>96.180555555555557</v>
      </c>
      <c r="G164">
        <v>2.3519703735642286</v>
      </c>
    </row>
    <row r="165" spans="1:7" x14ac:dyDescent="0.2">
      <c r="A165">
        <v>140</v>
      </c>
      <c r="B165">
        <v>-0.40639221257942193</v>
      </c>
      <c r="C165">
        <v>-0.1850593154371718</v>
      </c>
      <c r="D165">
        <v>-1.4638919869289844</v>
      </c>
      <c r="F165">
        <v>96.875</v>
      </c>
      <c r="G165">
        <v>2.8398159760270083</v>
      </c>
    </row>
    <row r="166" spans="1:7" x14ac:dyDescent="0.2">
      <c r="A166">
        <v>141</v>
      </c>
      <c r="B166">
        <v>-0.5614599886950713</v>
      </c>
      <c r="C166">
        <v>-0.19007607029689866</v>
      </c>
      <c r="D166">
        <v>-1.5035764914468588</v>
      </c>
      <c r="F166">
        <v>97.569444444444443</v>
      </c>
      <c r="G166">
        <v>3.8067585559901422</v>
      </c>
    </row>
    <row r="167" spans="1:7" x14ac:dyDescent="0.2">
      <c r="A167">
        <v>142</v>
      </c>
      <c r="B167">
        <v>-0.35439552847666311</v>
      </c>
      <c r="C167">
        <v>-0.17894822840589275</v>
      </c>
      <c r="D167">
        <v>-1.4155508844268938</v>
      </c>
      <c r="F167">
        <v>98.263888888888886</v>
      </c>
      <c r="G167">
        <v>3.8973353840391622</v>
      </c>
    </row>
    <row r="168" spans="1:7" x14ac:dyDescent="0.2">
      <c r="A168">
        <v>143</v>
      </c>
      <c r="B168">
        <v>0.13796587292566695</v>
      </c>
      <c r="C168">
        <v>-0.18702641382658644</v>
      </c>
      <c r="D168">
        <v>-1.4794525090402997</v>
      </c>
      <c r="F168">
        <v>98.958333333333343</v>
      </c>
      <c r="G168">
        <v>6.6294821488282576</v>
      </c>
    </row>
    <row r="169" spans="1:7" ht="17" thickBot="1" x14ac:dyDescent="0.25">
      <c r="A169" s="2">
        <v>144</v>
      </c>
      <c r="B169" s="2">
        <v>-0.41083835861520013</v>
      </c>
      <c r="C169" s="2">
        <v>-0.18125288367923609</v>
      </c>
      <c r="D169" s="2">
        <v>-1.4337816142840261</v>
      </c>
      <c r="F169" s="2">
        <v>99.652777777777786</v>
      </c>
      <c r="G169" s="2">
        <v>12.216042233728871</v>
      </c>
    </row>
  </sheetData>
  <sortState xmlns:xlrd2="http://schemas.microsoft.com/office/spreadsheetml/2017/richdata2" ref="G26:G169">
    <sortCondition ref="G26"/>
  </sortState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D9800-BCEA-B941-B455-37C0BA331766}">
  <dimension ref="A1:I170"/>
  <sheetViews>
    <sheetView workbookViewId="0">
      <selection activeCell="H11" sqref="H11"/>
    </sheetView>
  </sheetViews>
  <sheetFormatPr baseColWidth="10" defaultRowHeight="16" x14ac:dyDescent="0.2"/>
  <cols>
    <col min="1" max="1" width="22.33203125" bestFit="1" customWidth="1"/>
    <col min="2" max="2" width="27.1640625" bestFit="1" customWidth="1"/>
    <col min="3" max="3" width="13.5" bestFit="1" customWidth="1"/>
    <col min="4" max="4" width="12.1640625" bestFit="1" customWidth="1"/>
    <col min="5" max="5" width="19.6640625" bestFit="1" customWidth="1"/>
    <col min="6" max="6" width="18.6640625" bestFit="1" customWidth="1"/>
    <col min="7" max="7" width="12.1640625" bestFit="1" customWidth="1"/>
    <col min="8" max="8" width="12.83203125" bestFit="1" customWidth="1"/>
    <col min="9" max="9" width="12.33203125" bestFit="1" customWidth="1"/>
  </cols>
  <sheetData>
    <row r="1" spans="1:9" x14ac:dyDescent="0.2">
      <c r="A1" t="s">
        <v>21</v>
      </c>
    </row>
    <row r="2" spans="1:9" ht="17" thickBot="1" x14ac:dyDescent="0.25"/>
    <row r="3" spans="1:9" x14ac:dyDescent="0.2">
      <c r="A3" s="4" t="s">
        <v>22</v>
      </c>
      <c r="B3" s="4"/>
    </row>
    <row r="4" spans="1:9" x14ac:dyDescent="0.2">
      <c r="A4" t="s">
        <v>23</v>
      </c>
      <c r="B4">
        <v>0.29888628597205918</v>
      </c>
    </row>
    <row r="5" spans="1:9" x14ac:dyDescent="0.2">
      <c r="A5" t="s">
        <v>24</v>
      </c>
      <c r="B5">
        <v>8.9333011942171539E-2</v>
      </c>
    </row>
    <row r="6" spans="1:9" x14ac:dyDescent="0.2">
      <c r="A6" t="s">
        <v>25</v>
      </c>
      <c r="B6">
        <v>6.9818719340932367E-2</v>
      </c>
    </row>
    <row r="7" spans="1:9" x14ac:dyDescent="0.2">
      <c r="A7" t="s">
        <v>26</v>
      </c>
      <c r="B7">
        <v>2.1763751269757041E-2</v>
      </c>
    </row>
    <row r="8" spans="1:9" ht="17" thickBot="1" x14ac:dyDescent="0.25">
      <c r="A8" s="2" t="s">
        <v>27</v>
      </c>
      <c r="B8" s="2">
        <v>144</v>
      </c>
    </row>
    <row r="10" spans="1:9" ht="17" thickBot="1" x14ac:dyDescent="0.25">
      <c r="A10" t="s">
        <v>28</v>
      </c>
    </row>
    <row r="11" spans="1:9" x14ac:dyDescent="0.2">
      <c r="A11" s="3"/>
      <c r="B11" s="3" t="s">
        <v>33</v>
      </c>
      <c r="C11" s="3" t="s">
        <v>34</v>
      </c>
      <c r="D11" s="3" t="s">
        <v>35</v>
      </c>
      <c r="E11" s="3" t="s">
        <v>36</v>
      </c>
      <c r="F11" s="3" t="s">
        <v>37</v>
      </c>
    </row>
    <row r="12" spans="1:9" x14ac:dyDescent="0.2">
      <c r="A12" t="s">
        <v>29</v>
      </c>
      <c r="B12">
        <v>3</v>
      </c>
      <c r="C12">
        <v>6.50500937357186E-3</v>
      </c>
      <c r="D12">
        <v>2.1683364578572867E-3</v>
      </c>
      <c r="E12">
        <v>4.5778247650390762</v>
      </c>
      <c r="F12">
        <v>4.3288435499557769E-3</v>
      </c>
    </row>
    <row r="13" spans="1:9" x14ac:dyDescent="0.2">
      <c r="A13" t="s">
        <v>30</v>
      </c>
      <c r="B13">
        <v>140</v>
      </c>
      <c r="C13">
        <v>6.6312521706459182E-2</v>
      </c>
      <c r="D13">
        <v>4.7366086933185129E-4</v>
      </c>
    </row>
    <row r="14" spans="1:9" ht="17" thickBot="1" x14ac:dyDescent="0.25">
      <c r="A14" s="2" t="s">
        <v>31</v>
      </c>
      <c r="B14" s="2">
        <v>143</v>
      </c>
      <c r="C14" s="2">
        <v>7.2817531080031042E-2</v>
      </c>
      <c r="D14" s="2"/>
      <c r="E14" s="2"/>
      <c r="F14" s="2"/>
    </row>
    <row r="15" spans="1:9" ht="17" thickBot="1" x14ac:dyDescent="0.25"/>
    <row r="16" spans="1:9" x14ac:dyDescent="0.2">
      <c r="A16" s="3"/>
      <c r="B16" s="3" t="s">
        <v>38</v>
      </c>
      <c r="C16" s="3" t="s">
        <v>26</v>
      </c>
      <c r="D16" s="3" t="s">
        <v>39</v>
      </c>
      <c r="E16" s="3" t="s">
        <v>40</v>
      </c>
      <c r="F16" s="3" t="s">
        <v>41</v>
      </c>
      <c r="G16" s="3" t="s">
        <v>42</v>
      </c>
      <c r="H16" s="3" t="s">
        <v>43</v>
      </c>
      <c r="I16" s="3" t="s">
        <v>44</v>
      </c>
    </row>
    <row r="17" spans="1:9" x14ac:dyDescent="0.2">
      <c r="A17" t="s">
        <v>32</v>
      </c>
      <c r="B17">
        <v>4.2659556811740417E-3</v>
      </c>
      <c r="C17">
        <v>2.7246136357308988E-3</v>
      </c>
      <c r="D17">
        <v>1.5657103176868106</v>
      </c>
      <c r="E17">
        <v>0.11967402249585492</v>
      </c>
      <c r="F17">
        <v>-1.1207518419761968E-3</v>
      </c>
      <c r="G17">
        <v>9.6526632043242803E-3</v>
      </c>
      <c r="H17">
        <v>-1.1207518419761968E-3</v>
      </c>
      <c r="I17">
        <v>9.6526632043242803E-3</v>
      </c>
    </row>
    <row r="18" spans="1:9" x14ac:dyDescent="0.2">
      <c r="A18" t="s">
        <v>17</v>
      </c>
      <c r="B18">
        <v>3.0457986603333535E-2</v>
      </c>
      <c r="C18">
        <v>1.4243605427937187E-2</v>
      </c>
      <c r="D18">
        <v>2.1383621413433507</v>
      </c>
      <c r="E18">
        <v>3.4223398908587797E-2</v>
      </c>
      <c r="F18">
        <v>2.2976135107022067E-3</v>
      </c>
      <c r="G18">
        <v>5.8618359695964864E-2</v>
      </c>
      <c r="H18">
        <v>2.2976135107022067E-3</v>
      </c>
      <c r="I18">
        <v>5.8618359695964864E-2</v>
      </c>
    </row>
    <row r="19" spans="1:9" x14ac:dyDescent="0.2">
      <c r="A19" t="s">
        <v>18</v>
      </c>
      <c r="B19">
        <v>3.3411158074477795E-2</v>
      </c>
      <c r="C19">
        <v>1.4350727778095399E-2</v>
      </c>
      <c r="D19">
        <v>2.328185621740785</v>
      </c>
      <c r="E19">
        <v>2.1334630765108175E-2</v>
      </c>
      <c r="F19">
        <v>5.0389983410077596E-3</v>
      </c>
      <c r="G19">
        <v>6.1783317807947831E-2</v>
      </c>
      <c r="H19">
        <v>5.0389983410077596E-3</v>
      </c>
      <c r="I19">
        <v>6.1783317807947831E-2</v>
      </c>
    </row>
    <row r="20" spans="1:9" ht="17" thickBot="1" x14ac:dyDescent="0.25">
      <c r="A20" s="2" t="s">
        <v>62</v>
      </c>
      <c r="B20" s="2">
        <v>3.0470254506011527E-2</v>
      </c>
      <c r="C20" s="2">
        <v>1.4396728591357004E-2</v>
      </c>
      <c r="D20" s="2">
        <v>2.1164707185147726</v>
      </c>
      <c r="E20" s="2">
        <v>3.6074046445210631E-2</v>
      </c>
      <c r="F20" s="2">
        <v>2.0071486935753849E-3</v>
      </c>
      <c r="G20" s="2">
        <v>5.8933360318447668E-2</v>
      </c>
      <c r="H20" s="2">
        <v>2.0071486935753849E-3</v>
      </c>
      <c r="I20" s="2">
        <v>5.8933360318447668E-2</v>
      </c>
    </row>
    <row r="24" spans="1:9" x14ac:dyDescent="0.2">
      <c r="A24" t="s">
        <v>45</v>
      </c>
      <c r="E24" t="s">
        <v>48</v>
      </c>
    </row>
    <row r="25" spans="1:9" ht="17" thickBot="1" x14ac:dyDescent="0.25"/>
    <row r="26" spans="1:9" x14ac:dyDescent="0.2">
      <c r="A26" s="3" t="s">
        <v>46</v>
      </c>
      <c r="B26" s="3" t="s">
        <v>80</v>
      </c>
      <c r="C26" s="3" t="s">
        <v>47</v>
      </c>
      <c r="E26" s="3" t="s">
        <v>49</v>
      </c>
      <c r="F26" s="3" t="s">
        <v>59</v>
      </c>
    </row>
    <row r="27" spans="1:9" x14ac:dyDescent="0.2">
      <c r="A27">
        <v>1</v>
      </c>
      <c r="B27">
        <v>1.8522830863057355E-2</v>
      </c>
      <c r="C27">
        <v>-1.8155697995924487E-2</v>
      </c>
      <c r="E27">
        <v>0.34722222222222221</v>
      </c>
      <c r="F27">
        <v>-0.11083333333333328</v>
      </c>
    </row>
    <row r="28" spans="1:9" x14ac:dyDescent="0.2">
      <c r="A28">
        <v>2</v>
      </c>
      <c r="B28">
        <v>1.7468042229452502E-3</v>
      </c>
      <c r="C28">
        <v>1.825319577705474E-2</v>
      </c>
      <c r="E28">
        <v>1.0416666666666665</v>
      </c>
      <c r="F28">
        <v>-0.06</v>
      </c>
    </row>
    <row r="29" spans="1:9" x14ac:dyDescent="0.2">
      <c r="A29">
        <v>3</v>
      </c>
      <c r="B29">
        <v>4.6750564374136924E-4</v>
      </c>
      <c r="C29">
        <v>9.5324943562586396E-3</v>
      </c>
      <c r="E29">
        <v>1.7361111111111112</v>
      </c>
      <c r="F29">
        <v>-5.749999999999994E-2</v>
      </c>
    </row>
    <row r="30" spans="1:9" x14ac:dyDescent="0.2">
      <c r="A30">
        <v>4</v>
      </c>
      <c r="B30">
        <v>1.4817830247279909E-3</v>
      </c>
      <c r="C30">
        <v>-6.4844969139463832E-4</v>
      </c>
      <c r="E30">
        <v>2.4305555555555554</v>
      </c>
      <c r="F30">
        <v>-5.4166666666666696E-2</v>
      </c>
    </row>
    <row r="31" spans="1:9" x14ac:dyDescent="0.2">
      <c r="A31">
        <v>5</v>
      </c>
      <c r="B31">
        <v>2.0026109611401971E-3</v>
      </c>
      <c r="C31">
        <v>5.4973890388598096E-3</v>
      </c>
      <c r="E31">
        <v>3.125</v>
      </c>
      <c r="F31">
        <v>-4.500000000000004E-2</v>
      </c>
    </row>
    <row r="32" spans="1:9" x14ac:dyDescent="0.2">
      <c r="A32">
        <v>6</v>
      </c>
      <c r="B32">
        <v>5.1417631176902704E-3</v>
      </c>
      <c r="C32">
        <v>-1.2641763117690278E-2</v>
      </c>
      <c r="E32">
        <v>3.8194444444444446</v>
      </c>
      <c r="F32">
        <v>-4.3333333333333335E-2</v>
      </c>
    </row>
    <row r="33" spans="1:6" x14ac:dyDescent="0.2">
      <c r="A33">
        <v>7</v>
      </c>
      <c r="B33">
        <v>4.2015555539806244E-3</v>
      </c>
      <c r="C33">
        <v>7.4651111126860341E-3</v>
      </c>
      <c r="E33">
        <v>4.5138888888888884</v>
      </c>
      <c r="F33">
        <v>-3.5000000000000087E-2</v>
      </c>
    </row>
    <row r="34" spans="1:6" x14ac:dyDescent="0.2">
      <c r="A34">
        <v>8</v>
      </c>
      <c r="B34">
        <v>-4.8271149154774547E-3</v>
      </c>
      <c r="C34">
        <v>-1.1006218417855856E-2</v>
      </c>
      <c r="E34">
        <v>5.208333333333333</v>
      </c>
      <c r="F34">
        <v>-3.1666666666666676E-2</v>
      </c>
    </row>
    <row r="35" spans="1:6" x14ac:dyDescent="0.2">
      <c r="A35">
        <v>9</v>
      </c>
      <c r="B35">
        <v>4.4765862631244643E-3</v>
      </c>
      <c r="C35">
        <v>4.690080403542192E-3</v>
      </c>
      <c r="E35">
        <v>5.9027777777777777</v>
      </c>
      <c r="F35">
        <v>-3.0000000000000027E-2</v>
      </c>
    </row>
    <row r="36" spans="1:6" x14ac:dyDescent="0.2">
      <c r="A36">
        <v>10</v>
      </c>
      <c r="B36">
        <v>9.7429216120306368E-4</v>
      </c>
      <c r="C36">
        <v>3.1923745054635881E-3</v>
      </c>
      <c r="E36">
        <v>6.5972222222222223</v>
      </c>
      <c r="F36">
        <v>-2.8333333333333266E-2</v>
      </c>
    </row>
    <row r="37" spans="1:6" x14ac:dyDescent="0.2">
      <c r="A37">
        <v>11</v>
      </c>
      <c r="B37">
        <v>-2.3973451560036843E-3</v>
      </c>
      <c r="C37">
        <v>9.897345156003691E-3</v>
      </c>
      <c r="E37">
        <v>7.291666666666667</v>
      </c>
      <c r="F37">
        <v>-2.5833333333333264E-2</v>
      </c>
    </row>
    <row r="38" spans="1:6" x14ac:dyDescent="0.2">
      <c r="A38">
        <v>12</v>
      </c>
      <c r="B38">
        <v>-1.8997393731091695E-3</v>
      </c>
      <c r="C38">
        <v>-9.766927293557489E-3</v>
      </c>
      <c r="E38">
        <v>7.9861111111111107</v>
      </c>
      <c r="F38">
        <v>-2.4999999999999994E-2</v>
      </c>
    </row>
    <row r="39" spans="1:6" x14ac:dyDescent="0.2">
      <c r="A39">
        <v>13</v>
      </c>
      <c r="B39">
        <v>3.5717953885432349E-3</v>
      </c>
      <c r="C39">
        <v>-3.5717953885432349E-3</v>
      </c>
      <c r="E39">
        <v>8.6805555555555536</v>
      </c>
      <c r="F39">
        <v>-2.4999999999999911E-2</v>
      </c>
    </row>
    <row r="40" spans="1:6" x14ac:dyDescent="0.2">
      <c r="A40">
        <v>14</v>
      </c>
      <c r="B40">
        <v>-5.2132813497483832E-3</v>
      </c>
      <c r="C40">
        <v>4.3799480164150306E-3</v>
      </c>
      <c r="E40">
        <v>9.3749999999999982</v>
      </c>
      <c r="F40">
        <v>-2.250000000000002E-2</v>
      </c>
    </row>
    <row r="41" spans="1:6" x14ac:dyDescent="0.2">
      <c r="A41">
        <v>15</v>
      </c>
      <c r="B41">
        <v>-5.521898282385071E-3</v>
      </c>
      <c r="C41">
        <v>9.6885649490517783E-3</v>
      </c>
      <c r="E41">
        <v>10.069444444444443</v>
      </c>
      <c r="F41">
        <v>-2.2499999999999964E-2</v>
      </c>
    </row>
    <row r="42" spans="1:6" x14ac:dyDescent="0.2">
      <c r="A42">
        <v>16</v>
      </c>
      <c r="B42">
        <v>-3.3075521851674908E-3</v>
      </c>
      <c r="C42">
        <v>-1.0859114481499225E-2</v>
      </c>
      <c r="E42">
        <v>10.763888888888888</v>
      </c>
      <c r="F42">
        <v>-2.2499999999999964E-2</v>
      </c>
    </row>
    <row r="43" spans="1:6" x14ac:dyDescent="0.2">
      <c r="A43">
        <v>17</v>
      </c>
      <c r="B43">
        <v>2.9097190946664186E-3</v>
      </c>
      <c r="C43">
        <v>-2.1243052427999731E-2</v>
      </c>
      <c r="E43">
        <v>11.458333333333332</v>
      </c>
      <c r="F43">
        <v>-2.083333333333337E-2</v>
      </c>
    </row>
    <row r="44" spans="1:6" x14ac:dyDescent="0.2">
      <c r="A44">
        <v>18</v>
      </c>
      <c r="B44">
        <v>-6.1840117119776987E-3</v>
      </c>
      <c r="C44">
        <v>3.5067837864436943E-4</v>
      </c>
      <c r="E44">
        <v>12.152777777777777</v>
      </c>
      <c r="F44">
        <v>-2.0833333333333315E-2</v>
      </c>
    </row>
    <row r="45" spans="1:6" x14ac:dyDescent="0.2">
      <c r="A45">
        <v>19</v>
      </c>
      <c r="B45">
        <v>-6.6442307144277749E-3</v>
      </c>
      <c r="C45">
        <v>8.3108973810944523E-3</v>
      </c>
      <c r="E45">
        <v>12.847222222222221</v>
      </c>
      <c r="F45">
        <v>-1.9999999999999962E-2</v>
      </c>
    </row>
    <row r="46" spans="1:6" x14ac:dyDescent="0.2">
      <c r="A46">
        <v>20</v>
      </c>
      <c r="B46">
        <v>-1.2643614450404232E-2</v>
      </c>
      <c r="C46">
        <v>-1.7356385549595794E-2</v>
      </c>
      <c r="E46">
        <v>13.541666666666666</v>
      </c>
      <c r="F46">
        <v>-1.9166666666666721E-2</v>
      </c>
    </row>
    <row r="47" spans="1:6" x14ac:dyDescent="0.2">
      <c r="A47">
        <v>21</v>
      </c>
      <c r="B47">
        <v>1.8867320358184253E-2</v>
      </c>
      <c r="C47">
        <v>-1.3673203581842375E-3</v>
      </c>
      <c r="E47">
        <v>14.236111111111111</v>
      </c>
      <c r="F47">
        <v>-1.8333333333333368E-2</v>
      </c>
    </row>
    <row r="48" spans="1:6" x14ac:dyDescent="0.2">
      <c r="A48">
        <v>22</v>
      </c>
      <c r="B48">
        <v>-4.1686074608480519E-3</v>
      </c>
      <c r="C48">
        <v>1.6668607460848063E-2</v>
      </c>
      <c r="E48">
        <v>14.930555555555554</v>
      </c>
      <c r="F48">
        <v>-1.833333333333334E-2</v>
      </c>
    </row>
    <row r="49" spans="1:6" x14ac:dyDescent="0.2">
      <c r="A49">
        <v>23</v>
      </c>
      <c r="B49">
        <v>9.8121308677773245E-3</v>
      </c>
      <c r="C49">
        <v>6.8545357988893385E-3</v>
      </c>
      <c r="E49">
        <v>15.624999999999998</v>
      </c>
      <c r="F49">
        <v>-1.8333333333333313E-2</v>
      </c>
    </row>
    <row r="50" spans="1:6" x14ac:dyDescent="0.2">
      <c r="A50">
        <v>24</v>
      </c>
      <c r="B50">
        <v>-6.3107639241200518E-5</v>
      </c>
      <c r="C50">
        <v>-8.2702256940921301E-3</v>
      </c>
      <c r="E50">
        <v>16.319444444444443</v>
      </c>
      <c r="F50">
        <v>-1.7500000000000016E-2</v>
      </c>
    </row>
    <row r="51" spans="1:6" x14ac:dyDescent="0.2">
      <c r="A51">
        <v>25</v>
      </c>
      <c r="B51">
        <v>5.9262910274325634E-3</v>
      </c>
      <c r="C51">
        <v>7.4037563923411848E-4</v>
      </c>
      <c r="E51">
        <v>17.013888888888886</v>
      </c>
      <c r="F51">
        <v>-1.7499999999999988E-2</v>
      </c>
    </row>
    <row r="52" spans="1:6" x14ac:dyDescent="0.2">
      <c r="A52">
        <v>26</v>
      </c>
      <c r="B52">
        <v>-6.1426362116673988E-3</v>
      </c>
      <c r="C52">
        <v>-1.1357363788332617E-2</v>
      </c>
      <c r="E52">
        <v>17.708333333333332</v>
      </c>
      <c r="F52">
        <v>-1.583333333333331E-2</v>
      </c>
    </row>
    <row r="53" spans="1:6" x14ac:dyDescent="0.2">
      <c r="A53">
        <v>27</v>
      </c>
      <c r="B53">
        <v>1.6429240127404862E-3</v>
      </c>
      <c r="C53">
        <v>-1.9976257346073827E-2</v>
      </c>
      <c r="E53">
        <v>18.402777777777775</v>
      </c>
      <c r="F53">
        <v>-1.4166666666666716E-2</v>
      </c>
    </row>
    <row r="54" spans="1:6" x14ac:dyDescent="0.2">
      <c r="A54">
        <v>28</v>
      </c>
      <c r="B54">
        <v>-1.031588861653969E-2</v>
      </c>
      <c r="C54">
        <v>1.6982555283206344E-2</v>
      </c>
      <c r="E54">
        <v>19.097222222222221</v>
      </c>
      <c r="F54">
        <v>-1.3333333333333308E-2</v>
      </c>
    </row>
    <row r="55" spans="1:6" x14ac:dyDescent="0.2">
      <c r="A55">
        <v>29</v>
      </c>
      <c r="B55">
        <v>1.2246305777620176E-2</v>
      </c>
      <c r="C55">
        <v>-1.1412972444286851E-2</v>
      </c>
      <c r="E55">
        <v>19.791666666666664</v>
      </c>
      <c r="F55">
        <v>-1.3333333333333308E-2</v>
      </c>
    </row>
    <row r="56" spans="1:6" x14ac:dyDescent="0.2">
      <c r="A56">
        <v>30</v>
      </c>
      <c r="B56">
        <v>-9.9132246320221343E-3</v>
      </c>
      <c r="C56">
        <v>1.4079891298688814E-2</v>
      </c>
      <c r="E56">
        <v>20.486111111111111</v>
      </c>
      <c r="F56">
        <v>-1.2500000000000067E-2</v>
      </c>
    </row>
    <row r="57" spans="1:6" x14ac:dyDescent="0.2">
      <c r="A57">
        <v>31</v>
      </c>
      <c r="B57">
        <v>-2.2931877652874744E-3</v>
      </c>
      <c r="C57">
        <v>-9.3734789013792119E-3</v>
      </c>
      <c r="E57">
        <v>21.180555555555554</v>
      </c>
      <c r="F57">
        <v>-1.2500000000000011E-2</v>
      </c>
    </row>
    <row r="58" spans="1:6" x14ac:dyDescent="0.2">
      <c r="A58">
        <v>32</v>
      </c>
      <c r="B58">
        <v>-7.3735365846567952E-3</v>
      </c>
      <c r="C58">
        <v>5.7068699179901455E-3</v>
      </c>
      <c r="E58">
        <v>21.875</v>
      </c>
      <c r="F58">
        <v>-1.2500000000000011E-2</v>
      </c>
    </row>
    <row r="59" spans="1:6" x14ac:dyDescent="0.2">
      <c r="A59">
        <v>33</v>
      </c>
      <c r="B59">
        <v>6.657482071415189E-3</v>
      </c>
      <c r="C59">
        <v>-3.165748207141518E-2</v>
      </c>
      <c r="E59">
        <v>22.569444444444443</v>
      </c>
      <c r="F59">
        <v>-1.2499999999999983E-2</v>
      </c>
    </row>
    <row r="60" spans="1:6" x14ac:dyDescent="0.2">
      <c r="A60">
        <v>34</v>
      </c>
      <c r="B60">
        <v>4.0018967481727091E-3</v>
      </c>
      <c r="C60">
        <v>3.4331436585160649E-2</v>
      </c>
      <c r="E60">
        <v>23.263888888888886</v>
      </c>
      <c r="F60">
        <v>-1.2499999999999983E-2</v>
      </c>
    </row>
    <row r="61" spans="1:6" x14ac:dyDescent="0.2">
      <c r="A61">
        <v>35</v>
      </c>
      <c r="B61">
        <v>6.5056537930442276E-3</v>
      </c>
      <c r="C61">
        <v>-6.7232045971089838E-4</v>
      </c>
      <c r="E61">
        <v>23.958333333333332</v>
      </c>
      <c r="F61">
        <v>-1.1666666666666686E-2</v>
      </c>
    </row>
    <row r="62" spans="1:6" x14ac:dyDescent="0.2">
      <c r="A62">
        <v>36</v>
      </c>
      <c r="B62">
        <v>-3.5578678100074007E-6</v>
      </c>
      <c r="C62">
        <v>-8.3297754655233518E-3</v>
      </c>
      <c r="E62">
        <v>24.652777777777775</v>
      </c>
      <c r="F62">
        <v>-1.1666666666666659E-2</v>
      </c>
    </row>
    <row r="63" spans="1:6" x14ac:dyDescent="0.2">
      <c r="A63">
        <v>37</v>
      </c>
      <c r="B63">
        <v>-5.0463570106178551E-3</v>
      </c>
      <c r="C63">
        <v>2.2546357010617871E-2</v>
      </c>
      <c r="E63">
        <v>25.347222222222221</v>
      </c>
      <c r="F63">
        <v>-1.1666666666666659E-2</v>
      </c>
    </row>
    <row r="64" spans="1:6" x14ac:dyDescent="0.2">
      <c r="A64">
        <v>38</v>
      </c>
      <c r="B64">
        <v>-3.608487024860052E-3</v>
      </c>
      <c r="C64">
        <v>1.5275153691526711E-2</v>
      </c>
      <c r="E64">
        <v>26.041666666666664</v>
      </c>
      <c r="F64">
        <v>-1.0000000000000009E-2</v>
      </c>
    </row>
    <row r="65" spans="1:6" x14ac:dyDescent="0.2">
      <c r="A65">
        <v>39</v>
      </c>
      <c r="B65">
        <v>-3.644837610237428E-4</v>
      </c>
      <c r="C65">
        <v>1.7031150427690406E-2</v>
      </c>
      <c r="E65">
        <v>26.736111111111111</v>
      </c>
      <c r="F65">
        <v>-1.0000000000000009E-2</v>
      </c>
    </row>
    <row r="66" spans="1:6" x14ac:dyDescent="0.2">
      <c r="A66">
        <v>40</v>
      </c>
      <c r="B66">
        <v>8.6980442030644388E-3</v>
      </c>
      <c r="C66">
        <v>-1.5364710869731121E-2</v>
      </c>
      <c r="E66">
        <v>27.430555555555554</v>
      </c>
      <c r="F66">
        <v>-9.1666666666666841E-3</v>
      </c>
    </row>
    <row r="67" spans="1:6" x14ac:dyDescent="0.2">
      <c r="A67">
        <v>41</v>
      </c>
      <c r="B67">
        <v>1.610381238046478E-2</v>
      </c>
      <c r="C67">
        <v>2.4729520952868553E-2</v>
      </c>
      <c r="E67">
        <v>28.125</v>
      </c>
      <c r="F67">
        <v>-9.1666666666666563E-3</v>
      </c>
    </row>
    <row r="68" spans="1:6" x14ac:dyDescent="0.2">
      <c r="A68">
        <v>42</v>
      </c>
      <c r="B68">
        <v>5.3669456500851469E-3</v>
      </c>
      <c r="C68">
        <v>-1.8700278983418455E-2</v>
      </c>
      <c r="E68">
        <v>28.819444444444443</v>
      </c>
      <c r="F68">
        <v>-8.3333333333333592E-3</v>
      </c>
    </row>
    <row r="69" spans="1:6" x14ac:dyDescent="0.2">
      <c r="A69">
        <v>43</v>
      </c>
      <c r="B69">
        <v>1.2479767664480834E-3</v>
      </c>
      <c r="C69">
        <v>6.2520232335519232E-3</v>
      </c>
      <c r="E69">
        <v>29.513888888888886</v>
      </c>
      <c r="F69">
        <v>-8.3333333333333592E-3</v>
      </c>
    </row>
    <row r="70" spans="1:6" x14ac:dyDescent="0.2">
      <c r="A70">
        <v>44</v>
      </c>
      <c r="B70">
        <v>8.9266214158363125E-3</v>
      </c>
      <c r="C70">
        <v>1.2740045250830299E-2</v>
      </c>
      <c r="E70">
        <v>30.208333333333332</v>
      </c>
      <c r="F70">
        <v>-8.3333333333333592E-3</v>
      </c>
    </row>
    <row r="71" spans="1:6" x14ac:dyDescent="0.2">
      <c r="A71">
        <v>45</v>
      </c>
      <c r="B71">
        <v>-6.926691144153313E-4</v>
      </c>
      <c r="C71">
        <v>-2.430733088558458E-2</v>
      </c>
      <c r="E71">
        <v>30.902777777777775</v>
      </c>
      <c r="F71">
        <v>-8.3333333333333592E-3</v>
      </c>
    </row>
    <row r="72" spans="1:6" x14ac:dyDescent="0.2">
      <c r="A72">
        <v>46</v>
      </c>
      <c r="B72">
        <v>2.8897873529412314E-3</v>
      </c>
      <c r="C72">
        <v>2.0443545980392087E-2</v>
      </c>
      <c r="E72">
        <v>31.597222222222221</v>
      </c>
      <c r="F72">
        <v>-8.3333333333333592E-3</v>
      </c>
    </row>
    <row r="73" spans="1:6" x14ac:dyDescent="0.2">
      <c r="A73">
        <v>47</v>
      </c>
      <c r="B73">
        <v>3.7557484163647306E-3</v>
      </c>
      <c r="C73">
        <v>-2.2089081749698099E-2</v>
      </c>
      <c r="E73">
        <v>32.291666666666664</v>
      </c>
      <c r="F73">
        <v>-8.3333333333333315E-3</v>
      </c>
    </row>
    <row r="74" spans="1:6" x14ac:dyDescent="0.2">
      <c r="A74">
        <v>48</v>
      </c>
      <c r="B74">
        <v>9.4254562900411565E-4</v>
      </c>
      <c r="C74">
        <v>-6.7758789623374172E-3</v>
      </c>
      <c r="E74">
        <v>32.986111111111107</v>
      </c>
      <c r="F74">
        <v>-8.3333333333333315E-3</v>
      </c>
    </row>
    <row r="75" spans="1:6" x14ac:dyDescent="0.2">
      <c r="A75">
        <v>49</v>
      </c>
      <c r="B75">
        <v>7.0578572512097777E-3</v>
      </c>
      <c r="C75">
        <v>-1.2891190584543135E-2</v>
      </c>
      <c r="E75">
        <v>33.68055555555555</v>
      </c>
      <c r="F75">
        <v>-8.3333333333333037E-3</v>
      </c>
    </row>
    <row r="76" spans="1:6" x14ac:dyDescent="0.2">
      <c r="A76">
        <v>50</v>
      </c>
      <c r="B76">
        <v>2.0981282277553297E-3</v>
      </c>
      <c r="C76">
        <v>-1.0431461561088689E-2</v>
      </c>
      <c r="E76">
        <v>34.375</v>
      </c>
      <c r="F76">
        <v>-7.5000000000000067E-3</v>
      </c>
    </row>
    <row r="77" spans="1:6" x14ac:dyDescent="0.2">
      <c r="A77">
        <v>51</v>
      </c>
      <c r="B77">
        <v>1.4002284723989419E-4</v>
      </c>
      <c r="C77">
        <v>5.6933104860934624E-3</v>
      </c>
      <c r="E77">
        <v>35.069444444444443</v>
      </c>
      <c r="F77">
        <v>-6.6666666666666818E-3</v>
      </c>
    </row>
    <row r="78" spans="1:6" x14ac:dyDescent="0.2">
      <c r="A78">
        <v>52</v>
      </c>
      <c r="B78">
        <v>9.933869694051153E-3</v>
      </c>
      <c r="C78">
        <v>-4.9338696940511486E-3</v>
      </c>
      <c r="E78">
        <v>35.763888888888886</v>
      </c>
      <c r="F78">
        <v>-6.6666666666666818E-3</v>
      </c>
    </row>
    <row r="79" spans="1:6" x14ac:dyDescent="0.2">
      <c r="A79">
        <v>53</v>
      </c>
      <c r="B79">
        <v>2.2861437655638086E-3</v>
      </c>
      <c r="C79">
        <v>-1.0619477098897139E-2</v>
      </c>
      <c r="E79">
        <v>36.458333333333329</v>
      </c>
      <c r="F79">
        <v>-5.833333333333357E-3</v>
      </c>
    </row>
    <row r="80" spans="1:6" x14ac:dyDescent="0.2">
      <c r="A80">
        <v>54</v>
      </c>
      <c r="B80">
        <v>2.4790468863822857E-3</v>
      </c>
      <c r="C80">
        <v>-5.8123802197156127E-3</v>
      </c>
      <c r="E80">
        <v>37.152777777777779</v>
      </c>
      <c r="F80">
        <v>-5.833333333333357E-3</v>
      </c>
    </row>
    <row r="81" spans="1:6" x14ac:dyDescent="0.2">
      <c r="A81">
        <v>55</v>
      </c>
      <c r="B81">
        <v>-2.9436619755578378E-3</v>
      </c>
      <c r="C81">
        <v>-3.723004691108844E-3</v>
      </c>
      <c r="E81">
        <v>37.847222222222221</v>
      </c>
      <c r="F81">
        <v>-5.833333333333357E-3</v>
      </c>
    </row>
    <row r="82" spans="1:6" x14ac:dyDescent="0.2">
      <c r="A82">
        <v>56</v>
      </c>
      <c r="B82">
        <v>5.7672447250054007E-3</v>
      </c>
      <c r="C82">
        <v>2.5660886083279308E-3</v>
      </c>
      <c r="E82">
        <v>38.541666666666664</v>
      </c>
      <c r="F82">
        <v>-5.8333333333333293E-3</v>
      </c>
    </row>
    <row r="83" spans="1:6" x14ac:dyDescent="0.2">
      <c r="A83">
        <v>57</v>
      </c>
      <c r="B83">
        <v>2.279028971763776E-3</v>
      </c>
      <c r="C83">
        <v>-1.2279028971763785E-2</v>
      </c>
      <c r="E83">
        <v>39.236111111111107</v>
      </c>
      <c r="F83">
        <v>-5.8333333333333015E-3</v>
      </c>
    </row>
    <row r="84" spans="1:6" x14ac:dyDescent="0.2">
      <c r="A84">
        <v>58</v>
      </c>
      <c r="B84">
        <v>-6.9145027965354482E-4</v>
      </c>
      <c r="C84">
        <v>2.6524783612986921E-2</v>
      </c>
      <c r="E84">
        <v>39.93055555555555</v>
      </c>
      <c r="F84">
        <v>-5.0000000000000044E-3</v>
      </c>
    </row>
    <row r="85" spans="1:6" x14ac:dyDescent="0.2">
      <c r="A85">
        <v>59</v>
      </c>
      <c r="B85">
        <v>2.0442855735349243E-3</v>
      </c>
      <c r="C85">
        <v>-1.4544285573534935E-2</v>
      </c>
      <c r="E85">
        <v>40.625</v>
      </c>
      <c r="F85">
        <v>-3.333333333333327E-3</v>
      </c>
    </row>
    <row r="86" spans="1:6" x14ac:dyDescent="0.2">
      <c r="A86">
        <v>60</v>
      </c>
      <c r="B86">
        <v>2.8734923502728637E-3</v>
      </c>
      <c r="C86">
        <v>2.9598409830604933E-3</v>
      </c>
      <c r="E86">
        <v>41.319444444444443</v>
      </c>
      <c r="F86">
        <v>-2.4999999999999467E-3</v>
      </c>
    </row>
    <row r="87" spans="1:6" x14ac:dyDescent="0.2">
      <c r="A87">
        <v>61</v>
      </c>
      <c r="B87">
        <v>2.0221060369142122E-3</v>
      </c>
      <c r="C87">
        <v>-7.8554393702475692E-3</v>
      </c>
      <c r="E87">
        <v>42.013888888888886</v>
      </c>
      <c r="F87">
        <v>-1.6666666666667052E-3</v>
      </c>
    </row>
    <row r="88" spans="1:6" x14ac:dyDescent="0.2">
      <c r="A88">
        <v>62</v>
      </c>
      <c r="B88">
        <v>5.604350352637906E-3</v>
      </c>
      <c r="C88">
        <v>-7.2710170193046111E-3</v>
      </c>
      <c r="E88">
        <v>42.708333333333329</v>
      </c>
      <c r="F88">
        <v>-1.6666666666666496E-3</v>
      </c>
    </row>
    <row r="89" spans="1:6" x14ac:dyDescent="0.2">
      <c r="A89">
        <v>63</v>
      </c>
      <c r="B89">
        <v>1.0522094141197334E-3</v>
      </c>
      <c r="C89">
        <v>3.9477905858803265E-3</v>
      </c>
      <c r="E89">
        <v>43.402777777777779</v>
      </c>
      <c r="F89">
        <v>-1.6666666666665941E-3</v>
      </c>
    </row>
    <row r="90" spans="1:6" x14ac:dyDescent="0.2">
      <c r="A90">
        <v>64</v>
      </c>
      <c r="B90">
        <v>5.8081965410196907E-3</v>
      </c>
      <c r="C90">
        <v>1.6691803458980276E-2</v>
      </c>
      <c r="E90">
        <v>44.097222222222221</v>
      </c>
      <c r="F90">
        <v>-8.3333333333340809E-4</v>
      </c>
    </row>
    <row r="91" spans="1:6" x14ac:dyDescent="0.2">
      <c r="A91">
        <v>65</v>
      </c>
      <c r="B91">
        <v>-5.4381452607782169E-3</v>
      </c>
      <c r="C91">
        <v>-1.7061854739221748E-2</v>
      </c>
      <c r="E91">
        <v>44.791666666666664</v>
      </c>
      <c r="F91">
        <v>-8.3333333333335258E-4</v>
      </c>
    </row>
    <row r="92" spans="1:6" x14ac:dyDescent="0.2">
      <c r="A92">
        <v>66</v>
      </c>
      <c r="B92">
        <v>4.1170233535638839E-3</v>
      </c>
      <c r="C92">
        <v>5.0496433131027169E-3</v>
      </c>
      <c r="E92">
        <v>45.486111111111107</v>
      </c>
      <c r="F92">
        <v>-8.3333333333335258E-4</v>
      </c>
    </row>
    <row r="93" spans="1:6" x14ac:dyDescent="0.2">
      <c r="A93">
        <v>67</v>
      </c>
      <c r="B93">
        <v>-8.3123415408407897E-3</v>
      </c>
      <c r="C93">
        <v>1.8312341540840799E-2</v>
      </c>
      <c r="E93">
        <v>46.18055555555555</v>
      </c>
      <c r="F93">
        <v>-8.3333333333329707E-4</v>
      </c>
    </row>
    <row r="94" spans="1:6" x14ac:dyDescent="0.2">
      <c r="A94">
        <v>68</v>
      </c>
      <c r="B94">
        <v>5.5720601052996338E-3</v>
      </c>
      <c r="C94">
        <v>1.5261273228033737E-2</v>
      </c>
      <c r="E94">
        <v>46.875</v>
      </c>
      <c r="F94">
        <v>0</v>
      </c>
    </row>
    <row r="95" spans="1:6" x14ac:dyDescent="0.2">
      <c r="A95">
        <v>69</v>
      </c>
      <c r="B95">
        <v>3.9996520812817628E-3</v>
      </c>
      <c r="C95">
        <v>1.8336812520515387E-3</v>
      </c>
      <c r="E95">
        <v>47.569444444444443</v>
      </c>
      <c r="F95">
        <v>0</v>
      </c>
    </row>
    <row r="96" spans="1:6" x14ac:dyDescent="0.2">
      <c r="A96">
        <v>70</v>
      </c>
      <c r="B96">
        <v>3.9222069260161701E-3</v>
      </c>
      <c r="C96">
        <v>-4.7255540259349506E-2</v>
      </c>
      <c r="E96">
        <v>48.263888888888886</v>
      </c>
      <c r="F96">
        <v>3.671328671328667E-4</v>
      </c>
    </row>
    <row r="97" spans="1:6" x14ac:dyDescent="0.2">
      <c r="A97">
        <v>71</v>
      </c>
      <c r="B97">
        <v>6.6536413842364986E-3</v>
      </c>
      <c r="C97">
        <v>-1.5820308050903155E-2</v>
      </c>
      <c r="E97">
        <v>48.958333333333329</v>
      </c>
      <c r="F97">
        <v>8.3333333333332482E-4</v>
      </c>
    </row>
    <row r="98" spans="1:6" x14ac:dyDescent="0.2">
      <c r="A98">
        <v>72</v>
      </c>
      <c r="B98">
        <v>7.3478580245722319E-3</v>
      </c>
      <c r="C98">
        <v>-4.8478580245722297E-3</v>
      </c>
      <c r="E98">
        <v>49.652777777777779</v>
      </c>
      <c r="F98">
        <v>8.3333333333335258E-4</v>
      </c>
    </row>
    <row r="99" spans="1:6" x14ac:dyDescent="0.2">
      <c r="A99">
        <v>73</v>
      </c>
      <c r="B99">
        <v>-6.362038984752294E-3</v>
      </c>
      <c r="C99">
        <v>5.5287056514189414E-3</v>
      </c>
      <c r="E99">
        <v>50.347222222222221</v>
      </c>
      <c r="F99">
        <v>8.3333333333335258E-4</v>
      </c>
    </row>
    <row r="100" spans="1:6" x14ac:dyDescent="0.2">
      <c r="A100">
        <v>74</v>
      </c>
      <c r="B100">
        <v>3.8282635071914331E-3</v>
      </c>
      <c r="C100">
        <v>-1.6328263507191444E-2</v>
      </c>
      <c r="E100">
        <v>51.041666666666664</v>
      </c>
      <c r="F100">
        <v>1.6666666666666496E-3</v>
      </c>
    </row>
    <row r="101" spans="1:6" x14ac:dyDescent="0.2">
      <c r="A101">
        <v>75</v>
      </c>
      <c r="B101">
        <v>-1.9202953454423799E-2</v>
      </c>
      <c r="C101">
        <v>6.7029534544238156E-3</v>
      </c>
      <c r="E101">
        <v>51.736111111111107</v>
      </c>
      <c r="F101">
        <v>1.6666666666666774E-3</v>
      </c>
    </row>
    <row r="102" spans="1:6" x14ac:dyDescent="0.2">
      <c r="A102">
        <v>76</v>
      </c>
      <c r="B102">
        <v>-2.5282392331801851E-4</v>
      </c>
      <c r="C102">
        <v>-1.7247176076681969E-2</v>
      </c>
      <c r="E102">
        <v>52.43055555555555</v>
      </c>
      <c r="F102">
        <v>2.5000000000000022E-3</v>
      </c>
    </row>
    <row r="103" spans="1:6" x14ac:dyDescent="0.2">
      <c r="A103">
        <v>77</v>
      </c>
      <c r="B103">
        <v>1.2395802951890827E-2</v>
      </c>
      <c r="C103">
        <v>1.7604197048109144E-2</v>
      </c>
      <c r="E103">
        <v>53.125</v>
      </c>
      <c r="F103">
        <v>2.5000000000000022E-3</v>
      </c>
    </row>
    <row r="104" spans="1:6" x14ac:dyDescent="0.2">
      <c r="A104">
        <v>78</v>
      </c>
      <c r="B104">
        <v>6.2075479878941769E-3</v>
      </c>
      <c r="C104">
        <v>-1.870754798789416E-2</v>
      </c>
      <c r="E104">
        <v>53.819444444444443</v>
      </c>
      <c r="F104">
        <v>4.1666666666666519E-3</v>
      </c>
    </row>
    <row r="105" spans="1:6" x14ac:dyDescent="0.2">
      <c r="A105">
        <v>79</v>
      </c>
      <c r="B105">
        <v>7.7171788851314316E-3</v>
      </c>
      <c r="C105">
        <v>7.2828211148686095E-3</v>
      </c>
      <c r="E105">
        <v>54.513888888888886</v>
      </c>
      <c r="F105">
        <v>4.1666666666666519E-3</v>
      </c>
    </row>
    <row r="106" spans="1:6" x14ac:dyDescent="0.2">
      <c r="A106">
        <v>80</v>
      </c>
      <c r="B106">
        <v>1.2717939593046311E-2</v>
      </c>
      <c r="C106">
        <v>9.7820604069536535E-3</v>
      </c>
      <c r="E106">
        <v>55.208333333333329</v>
      </c>
      <c r="F106">
        <v>4.1666666666666796E-3</v>
      </c>
    </row>
    <row r="107" spans="1:6" x14ac:dyDescent="0.2">
      <c r="A107">
        <v>81</v>
      </c>
      <c r="B107">
        <v>5.1702154995745403E-4</v>
      </c>
      <c r="C107">
        <v>-5.5170215499574585E-3</v>
      </c>
      <c r="E107">
        <v>55.902777777777779</v>
      </c>
      <c r="F107">
        <v>4.1666666666667074E-3</v>
      </c>
    </row>
    <row r="108" spans="1:6" x14ac:dyDescent="0.2">
      <c r="A108">
        <v>82</v>
      </c>
      <c r="B108">
        <v>3.7123380860304908E-3</v>
      </c>
      <c r="C108">
        <v>4.5432858063616105E-4</v>
      </c>
      <c r="E108">
        <v>56.597222222222221</v>
      </c>
      <c r="F108">
        <v>5.0000000000000044E-3</v>
      </c>
    </row>
    <row r="109" spans="1:6" x14ac:dyDescent="0.2">
      <c r="A109">
        <v>83</v>
      </c>
      <c r="B109">
        <v>1.045635904056641E-2</v>
      </c>
      <c r="C109">
        <v>-9.6230257072330572E-3</v>
      </c>
      <c r="E109">
        <v>57.291666666666664</v>
      </c>
      <c r="F109">
        <v>5.00000000000006E-3</v>
      </c>
    </row>
    <row r="110" spans="1:6" x14ac:dyDescent="0.2">
      <c r="A110">
        <v>84</v>
      </c>
      <c r="B110">
        <v>4.4164803843953909E-3</v>
      </c>
      <c r="C110">
        <v>-1.44164803843954E-2</v>
      </c>
      <c r="E110">
        <v>57.986111111111107</v>
      </c>
      <c r="F110">
        <v>5.8333333333333015E-3</v>
      </c>
    </row>
    <row r="111" spans="1:6" x14ac:dyDescent="0.2">
      <c r="A111">
        <v>85</v>
      </c>
      <c r="B111">
        <v>9.9234237894272152E-3</v>
      </c>
      <c r="C111">
        <v>9.24324287723945E-3</v>
      </c>
      <c r="E111">
        <v>58.68055555555555</v>
      </c>
      <c r="F111">
        <v>5.8333333333333293E-3</v>
      </c>
    </row>
    <row r="112" spans="1:6" x14ac:dyDescent="0.2">
      <c r="A112">
        <v>86</v>
      </c>
      <c r="B112">
        <v>1.4338734559692711E-2</v>
      </c>
      <c r="C112">
        <v>-3.5054012263593497E-3</v>
      </c>
      <c r="E112">
        <v>59.375</v>
      </c>
      <c r="F112">
        <v>5.833333333333357E-3</v>
      </c>
    </row>
    <row r="113" spans="1:6" x14ac:dyDescent="0.2">
      <c r="A113">
        <v>87</v>
      </c>
      <c r="B113">
        <v>5.2555260206411138E-3</v>
      </c>
      <c r="C113">
        <v>1.4744473979358848E-2</v>
      </c>
      <c r="E113">
        <v>60.069444444444443</v>
      </c>
      <c r="F113">
        <v>5.833333333333357E-3</v>
      </c>
    </row>
    <row r="114" spans="1:6" x14ac:dyDescent="0.2">
      <c r="A114">
        <v>88</v>
      </c>
      <c r="B114">
        <v>5.5318554839023128E-3</v>
      </c>
      <c r="C114">
        <v>-1.8865188817235621E-2</v>
      </c>
      <c r="E114">
        <v>60.763888888888886</v>
      </c>
      <c r="F114">
        <v>5.833333333333357E-3</v>
      </c>
    </row>
    <row r="115" spans="1:6" x14ac:dyDescent="0.2">
      <c r="A115">
        <v>89</v>
      </c>
      <c r="B115">
        <v>3.5549261442380017E-3</v>
      </c>
      <c r="C115">
        <v>1.6445073855761959E-2</v>
      </c>
      <c r="E115">
        <v>61.458333333333329</v>
      </c>
      <c r="F115">
        <v>6.6666666666665986E-3</v>
      </c>
    </row>
    <row r="116" spans="1:6" x14ac:dyDescent="0.2">
      <c r="A116">
        <v>90</v>
      </c>
      <c r="B116">
        <v>3.4079636679283515E-3</v>
      </c>
      <c r="C116">
        <v>-3.1741297001261617E-2</v>
      </c>
      <c r="E116">
        <v>62.152777777777771</v>
      </c>
      <c r="F116">
        <v>6.6666666666666541E-3</v>
      </c>
    </row>
    <row r="117" spans="1:6" x14ac:dyDescent="0.2">
      <c r="A117">
        <v>91</v>
      </c>
      <c r="B117">
        <v>7.4673015396111396E-4</v>
      </c>
      <c r="C117">
        <v>1.6753269846038844E-2</v>
      </c>
      <c r="E117">
        <v>62.847222222222221</v>
      </c>
      <c r="F117">
        <v>6.6666666666666818E-3</v>
      </c>
    </row>
    <row r="118" spans="1:6" x14ac:dyDescent="0.2">
      <c r="A118">
        <v>92</v>
      </c>
      <c r="B118">
        <v>5.6911953018921411E-3</v>
      </c>
      <c r="C118">
        <v>1.8088046981078656E-3</v>
      </c>
      <c r="E118">
        <v>63.541666666666664</v>
      </c>
      <c r="F118">
        <v>7.4999999999999512E-3</v>
      </c>
    </row>
    <row r="119" spans="1:6" x14ac:dyDescent="0.2">
      <c r="A119">
        <v>93</v>
      </c>
      <c r="B119">
        <v>9.5896841144835696E-3</v>
      </c>
      <c r="C119">
        <v>3.6243649218849823E-2</v>
      </c>
      <c r="E119">
        <v>64.236111111111114</v>
      </c>
      <c r="F119">
        <v>7.5000000000000067E-3</v>
      </c>
    </row>
    <row r="120" spans="1:6" x14ac:dyDescent="0.2">
      <c r="A120">
        <v>94</v>
      </c>
      <c r="B120">
        <v>-5.7054967562873964E-4</v>
      </c>
      <c r="C120">
        <v>2.4737216342295299E-2</v>
      </c>
      <c r="E120">
        <v>64.930555555555557</v>
      </c>
      <c r="F120">
        <v>7.5000000000000067E-3</v>
      </c>
    </row>
    <row r="121" spans="1:6" x14ac:dyDescent="0.2">
      <c r="A121">
        <v>95</v>
      </c>
      <c r="B121">
        <v>-2.3629037049474125E-3</v>
      </c>
      <c r="C121">
        <v>2.9862903704947492E-2</v>
      </c>
      <c r="E121">
        <v>65.625</v>
      </c>
      <c r="F121">
        <v>7.5000000000000067E-3</v>
      </c>
    </row>
    <row r="122" spans="1:6" x14ac:dyDescent="0.2">
      <c r="A122">
        <v>96</v>
      </c>
      <c r="B122">
        <v>1.0752840010393894E-2</v>
      </c>
      <c r="C122">
        <v>-5.5752840010393934E-2</v>
      </c>
      <c r="E122">
        <v>66.319444444444443</v>
      </c>
      <c r="F122">
        <v>7.5000000000000067E-3</v>
      </c>
    </row>
    <row r="123" spans="1:6" x14ac:dyDescent="0.2">
      <c r="A123">
        <v>97</v>
      </c>
      <c r="B123">
        <v>5.3606721687756986E-3</v>
      </c>
      <c r="C123">
        <v>2.4639327831224328E-2</v>
      </c>
      <c r="E123">
        <v>67.013888888888886</v>
      </c>
      <c r="F123">
        <v>8.3333333333333315E-3</v>
      </c>
    </row>
    <row r="124" spans="1:6" x14ac:dyDescent="0.2">
      <c r="A124">
        <v>98</v>
      </c>
      <c r="B124">
        <v>5.9370445777996717E-3</v>
      </c>
      <c r="C124">
        <v>2.7396288755533654E-2</v>
      </c>
      <c r="E124">
        <v>67.708333333333343</v>
      </c>
      <c r="F124">
        <v>9.1666666666666008E-3</v>
      </c>
    </row>
    <row r="125" spans="1:6" x14ac:dyDescent="0.2">
      <c r="A125">
        <v>99</v>
      </c>
      <c r="B125">
        <v>-2.442594920099378E-3</v>
      </c>
      <c r="C125">
        <v>2.9942594920099347E-2</v>
      </c>
      <c r="E125">
        <v>68.402777777777786</v>
      </c>
      <c r="F125">
        <v>9.1666666666666563E-3</v>
      </c>
    </row>
    <row r="126" spans="1:6" x14ac:dyDescent="0.2">
      <c r="A126">
        <v>100</v>
      </c>
      <c r="B126">
        <v>-3.8301969546380987E-4</v>
      </c>
      <c r="C126">
        <v>-1.2836469712027843E-3</v>
      </c>
      <c r="E126">
        <v>69.097222222222229</v>
      </c>
      <c r="F126">
        <v>9.1666666666666563E-3</v>
      </c>
    </row>
    <row r="127" spans="1:6" x14ac:dyDescent="0.2">
      <c r="A127">
        <v>101</v>
      </c>
      <c r="B127">
        <v>3.0632258083308217E-3</v>
      </c>
      <c r="C127">
        <v>-2.2229892474997542E-2</v>
      </c>
      <c r="E127">
        <v>69.791666666666671</v>
      </c>
      <c r="F127">
        <v>1.0000000000000009E-2</v>
      </c>
    </row>
    <row r="128" spans="1:6" x14ac:dyDescent="0.2">
      <c r="A128">
        <v>102</v>
      </c>
      <c r="B128">
        <v>-1.1879467067317045E-2</v>
      </c>
      <c r="C128">
        <v>-9.8953866266016238E-2</v>
      </c>
      <c r="E128">
        <v>70.486111111111114</v>
      </c>
      <c r="F128">
        <v>1.0000000000000009E-2</v>
      </c>
    </row>
    <row r="129" spans="1:6" x14ac:dyDescent="0.2">
      <c r="A129">
        <v>103</v>
      </c>
      <c r="B129">
        <v>5.4460372542419477E-3</v>
      </c>
      <c r="C129">
        <v>1.4553962745757959E-2</v>
      </c>
      <c r="E129">
        <v>71.180555555555557</v>
      </c>
      <c r="F129">
        <v>1.0833333333333361E-2</v>
      </c>
    </row>
    <row r="130" spans="1:6" x14ac:dyDescent="0.2">
      <c r="A130">
        <v>104</v>
      </c>
      <c r="B130">
        <v>1.0974228616697765E-2</v>
      </c>
      <c r="C130">
        <v>7.9859104716635612E-2</v>
      </c>
      <c r="E130">
        <v>71.875</v>
      </c>
      <c r="F130">
        <v>1.1666666666666659E-2</v>
      </c>
    </row>
    <row r="131" spans="1:6" x14ac:dyDescent="0.2">
      <c r="A131">
        <v>105</v>
      </c>
      <c r="B131">
        <v>1.0037390691389286E-2</v>
      </c>
      <c r="C131">
        <v>-7.0037390691389284E-2</v>
      </c>
      <c r="E131">
        <v>72.569444444444443</v>
      </c>
      <c r="F131">
        <v>1.1666666666666659E-2</v>
      </c>
    </row>
    <row r="132" spans="1:6" x14ac:dyDescent="0.2">
      <c r="A132">
        <v>106</v>
      </c>
      <c r="B132">
        <v>-1.4914633221939644E-2</v>
      </c>
      <c r="C132">
        <v>-7.5853667780603207E-3</v>
      </c>
      <c r="E132">
        <v>73.263888888888886</v>
      </c>
      <c r="F132">
        <v>1.2500000000000011E-2</v>
      </c>
    </row>
    <row r="133" spans="1:6" x14ac:dyDescent="0.2">
      <c r="A133">
        <v>107</v>
      </c>
      <c r="B133">
        <v>-7.9193006297775675E-3</v>
      </c>
      <c r="C133">
        <v>-4.5806993702224991E-3</v>
      </c>
      <c r="E133">
        <v>73.958333333333343</v>
      </c>
      <c r="F133">
        <v>1.3333333333333308E-2</v>
      </c>
    </row>
    <row r="134" spans="1:6" x14ac:dyDescent="0.2">
      <c r="A134">
        <v>108</v>
      </c>
      <c r="B134">
        <v>-2.0210087645480615E-3</v>
      </c>
      <c r="C134">
        <v>-5.5478991235451879E-2</v>
      </c>
      <c r="E134">
        <v>74.652777777777786</v>
      </c>
      <c r="F134">
        <v>1.3333333333333364E-2</v>
      </c>
    </row>
    <row r="135" spans="1:6" x14ac:dyDescent="0.2">
      <c r="A135">
        <v>109</v>
      </c>
      <c r="B135">
        <v>-5.6677606434503702E-3</v>
      </c>
      <c r="C135">
        <v>-4.8498906023216326E-2</v>
      </c>
      <c r="E135">
        <v>75.347222222222229</v>
      </c>
      <c r="F135">
        <v>1.4999999999999958E-2</v>
      </c>
    </row>
    <row r="136" spans="1:6" x14ac:dyDescent="0.2">
      <c r="A136">
        <v>110</v>
      </c>
      <c r="B136">
        <v>2.8719769983888213E-3</v>
      </c>
      <c r="C136">
        <v>3.5461356334944509E-2</v>
      </c>
      <c r="E136">
        <v>76.041666666666671</v>
      </c>
      <c r="F136">
        <v>1.5000000000000041E-2</v>
      </c>
    </row>
    <row r="137" spans="1:6" x14ac:dyDescent="0.2">
      <c r="A137">
        <v>111</v>
      </c>
      <c r="B137">
        <v>-7.5138237198977102E-3</v>
      </c>
      <c r="C137">
        <v>3.2513823719897736E-2</v>
      </c>
      <c r="E137">
        <v>76.736111111111114</v>
      </c>
      <c r="F137">
        <v>1.5833333333333366E-2</v>
      </c>
    </row>
    <row r="138" spans="1:6" x14ac:dyDescent="0.2">
      <c r="A138">
        <v>112</v>
      </c>
      <c r="B138">
        <v>-4.1351440955671144E-3</v>
      </c>
      <c r="C138">
        <v>-1.6698189237766201E-2</v>
      </c>
      <c r="E138">
        <v>77.430555555555557</v>
      </c>
      <c r="F138">
        <v>1.6666666666666663E-2</v>
      </c>
    </row>
    <row r="139" spans="1:6" x14ac:dyDescent="0.2">
      <c r="A139">
        <v>113</v>
      </c>
      <c r="B139">
        <v>6.1812984380347352E-4</v>
      </c>
      <c r="C139">
        <v>1.5215203489529892E-2</v>
      </c>
      <c r="E139">
        <v>78.125</v>
      </c>
      <c r="F139">
        <v>1.6666666666666663E-2</v>
      </c>
    </row>
    <row r="140" spans="1:6" x14ac:dyDescent="0.2">
      <c r="A140">
        <v>114</v>
      </c>
      <c r="B140">
        <v>6.7304850341082939E-4</v>
      </c>
      <c r="C140">
        <v>1.2660284829922479E-2</v>
      </c>
      <c r="E140">
        <v>78.819444444444443</v>
      </c>
      <c r="F140">
        <v>1.749999999999996E-2</v>
      </c>
    </row>
    <row r="141" spans="1:6" x14ac:dyDescent="0.2">
      <c r="A141">
        <v>115</v>
      </c>
      <c r="B141">
        <v>-9.8278032066092466E-3</v>
      </c>
      <c r="C141">
        <v>-1.2672196793390773E-2</v>
      </c>
      <c r="E141">
        <v>79.513888888888886</v>
      </c>
      <c r="F141">
        <v>1.7500000000000016E-2</v>
      </c>
    </row>
    <row r="142" spans="1:6" x14ac:dyDescent="0.2">
      <c r="A142">
        <v>116</v>
      </c>
      <c r="B142">
        <v>-5.7602622623666193E-3</v>
      </c>
      <c r="C142">
        <v>1.2426928929033219E-2</v>
      </c>
      <c r="E142">
        <v>80.208333333333343</v>
      </c>
      <c r="F142">
        <v>1.7500000000000016E-2</v>
      </c>
    </row>
    <row r="143" spans="1:6" x14ac:dyDescent="0.2">
      <c r="A143">
        <v>117</v>
      </c>
      <c r="B143">
        <v>-8.9315875977561861E-3</v>
      </c>
      <c r="C143">
        <v>4.0598254264422914E-2</v>
      </c>
      <c r="E143">
        <v>80.902777777777786</v>
      </c>
      <c r="F143">
        <v>1.9166666666666665E-2</v>
      </c>
    </row>
    <row r="144" spans="1:6" x14ac:dyDescent="0.2">
      <c r="A144">
        <v>118</v>
      </c>
      <c r="B144">
        <v>-9.8601537602717101E-3</v>
      </c>
      <c r="C144">
        <v>1.5268204269383509E-3</v>
      </c>
      <c r="E144">
        <v>81.597222222222229</v>
      </c>
      <c r="F144">
        <v>1.9999999999999907E-2</v>
      </c>
    </row>
    <row r="145" spans="1:6" x14ac:dyDescent="0.2">
      <c r="A145">
        <v>119</v>
      </c>
      <c r="B145">
        <v>-4.7570676867816908E-3</v>
      </c>
      <c r="C145">
        <v>-3.5762656465516685E-3</v>
      </c>
      <c r="E145">
        <v>82.291666666666671</v>
      </c>
      <c r="F145">
        <v>1.9999999999999962E-2</v>
      </c>
    </row>
    <row r="146" spans="1:6" x14ac:dyDescent="0.2">
      <c r="A146">
        <v>120</v>
      </c>
      <c r="B146">
        <v>-7.3670249898620949E-3</v>
      </c>
      <c r="C146">
        <v>4.8670249898621482E-3</v>
      </c>
      <c r="E146">
        <v>82.986111111111114</v>
      </c>
      <c r="F146">
        <v>1.9999999999999962E-2</v>
      </c>
    </row>
    <row r="147" spans="1:6" x14ac:dyDescent="0.2">
      <c r="A147">
        <v>121</v>
      </c>
      <c r="B147">
        <v>-1.5016140533639808E-3</v>
      </c>
      <c r="C147">
        <v>1.650161405336394E-2</v>
      </c>
      <c r="E147">
        <v>83.680555555555557</v>
      </c>
      <c r="F147">
        <v>1.999999999999999E-2</v>
      </c>
    </row>
    <row r="148" spans="1:6" x14ac:dyDescent="0.2">
      <c r="A148">
        <v>122</v>
      </c>
      <c r="B148">
        <v>-2.4511927289199717E-3</v>
      </c>
      <c r="C148">
        <v>4.951192728919974E-3</v>
      </c>
      <c r="E148">
        <v>84.375</v>
      </c>
      <c r="F148">
        <v>2.0000000000000073E-2</v>
      </c>
    </row>
    <row r="149" spans="1:6" x14ac:dyDescent="0.2">
      <c r="A149">
        <v>123</v>
      </c>
      <c r="B149">
        <v>-7.8734341667725874E-3</v>
      </c>
      <c r="C149">
        <v>3.2040100833439257E-2</v>
      </c>
      <c r="E149">
        <v>85.069444444444443</v>
      </c>
      <c r="F149">
        <v>2.0833333333333259E-2</v>
      </c>
    </row>
    <row r="150" spans="1:6" x14ac:dyDescent="0.2">
      <c r="A150">
        <v>124</v>
      </c>
      <c r="B150">
        <v>-2.546230716909759E-3</v>
      </c>
      <c r="C150">
        <v>2.421289738357648E-2</v>
      </c>
      <c r="E150">
        <v>85.763888888888886</v>
      </c>
      <c r="F150">
        <v>2.083333333333337E-2</v>
      </c>
    </row>
    <row r="151" spans="1:6" x14ac:dyDescent="0.2">
      <c r="A151">
        <v>125</v>
      </c>
      <c r="B151">
        <v>-5.1093873639347989E-3</v>
      </c>
      <c r="C151">
        <v>4.2760540306013908E-3</v>
      </c>
      <c r="E151">
        <v>86.458333333333343</v>
      </c>
      <c r="F151">
        <v>2.1666666666666612E-2</v>
      </c>
    </row>
    <row r="152" spans="1:6" x14ac:dyDescent="0.2">
      <c r="A152">
        <v>126</v>
      </c>
      <c r="B152">
        <v>-6.5200543975141231E-3</v>
      </c>
      <c r="C152">
        <v>-1.9313278935819141E-2</v>
      </c>
      <c r="E152">
        <v>87.152777777777786</v>
      </c>
      <c r="F152">
        <v>2.1666666666666723E-2</v>
      </c>
    </row>
    <row r="153" spans="1:6" x14ac:dyDescent="0.2">
      <c r="A153">
        <v>127</v>
      </c>
      <c r="B153">
        <v>-5.9484287088277799E-3</v>
      </c>
      <c r="C153">
        <v>-2.3849046245055794E-3</v>
      </c>
      <c r="E153">
        <v>87.847222222222229</v>
      </c>
      <c r="F153">
        <v>2.2499999999999964E-2</v>
      </c>
    </row>
    <row r="154" spans="1:6" x14ac:dyDescent="0.2">
      <c r="A154">
        <v>128</v>
      </c>
      <c r="B154">
        <v>-2.7138159187511113E-3</v>
      </c>
      <c r="C154">
        <v>-8.9528507479155472E-3</v>
      </c>
      <c r="E154">
        <v>88.541666666666671</v>
      </c>
      <c r="F154">
        <v>2.2499999999999964E-2</v>
      </c>
    </row>
    <row r="155" spans="1:6" x14ac:dyDescent="0.2">
      <c r="A155">
        <v>129</v>
      </c>
      <c r="B155">
        <v>-8.5513410739287976E-4</v>
      </c>
      <c r="C155">
        <v>2.1800774059582695E-5</v>
      </c>
      <c r="E155">
        <v>89.236111111111114</v>
      </c>
      <c r="F155">
        <v>2.3333333333333317E-2</v>
      </c>
    </row>
    <row r="156" spans="1:6" x14ac:dyDescent="0.2">
      <c r="A156">
        <v>130</v>
      </c>
      <c r="B156">
        <v>-3.3355903360000917E-3</v>
      </c>
      <c r="C156">
        <v>2.4168923669333351E-2</v>
      </c>
      <c r="E156">
        <v>89.930555555555557</v>
      </c>
      <c r="F156">
        <v>2.4166666666666559E-2</v>
      </c>
    </row>
    <row r="157" spans="1:6" x14ac:dyDescent="0.2">
      <c r="A157">
        <v>131</v>
      </c>
      <c r="B157">
        <v>-6.7452521184151043E-3</v>
      </c>
      <c r="C157">
        <v>1.2578585451748461E-2</v>
      </c>
      <c r="E157">
        <v>90.625</v>
      </c>
      <c r="F157">
        <v>2.416666666666667E-2</v>
      </c>
    </row>
    <row r="158" spans="1:6" x14ac:dyDescent="0.2">
      <c r="A158">
        <v>132</v>
      </c>
      <c r="B158">
        <v>-4.8126395505041757E-3</v>
      </c>
      <c r="C158">
        <v>-1.0206937828291813E-3</v>
      </c>
      <c r="E158">
        <v>91.319444444444443</v>
      </c>
      <c r="F158">
        <v>2.5000000000000022E-2</v>
      </c>
    </row>
    <row r="159" spans="1:6" x14ac:dyDescent="0.2">
      <c r="A159">
        <v>133</v>
      </c>
      <c r="B159">
        <v>-5.0247964116681906E-3</v>
      </c>
      <c r="C159">
        <v>2.5024796411668264E-2</v>
      </c>
      <c r="E159">
        <v>92.013888888888886</v>
      </c>
      <c r="F159">
        <v>2.5833333333333375E-2</v>
      </c>
    </row>
    <row r="160" spans="1:6" x14ac:dyDescent="0.2">
      <c r="A160">
        <v>134</v>
      </c>
      <c r="B160">
        <v>-5.4791567665235155E-3</v>
      </c>
      <c r="C160">
        <v>-1.5354176566809855E-2</v>
      </c>
      <c r="E160">
        <v>92.708333333333343</v>
      </c>
      <c r="F160">
        <v>2.7499999999999969E-2</v>
      </c>
    </row>
    <row r="161" spans="1:6" x14ac:dyDescent="0.2">
      <c r="A161">
        <v>135</v>
      </c>
      <c r="B161">
        <v>-6.8560710916046874E-3</v>
      </c>
      <c r="C161">
        <v>2.0189404424938051E-2</v>
      </c>
      <c r="E161">
        <v>93.402777777777786</v>
      </c>
      <c r="F161">
        <v>2.750000000000008E-2</v>
      </c>
    </row>
    <row r="162" spans="1:6" x14ac:dyDescent="0.2">
      <c r="A162">
        <v>136</v>
      </c>
      <c r="B162">
        <v>-9.994055671832959E-3</v>
      </c>
      <c r="C162">
        <v>-2.5005944328167128E-2</v>
      </c>
      <c r="E162">
        <v>94.097222222222229</v>
      </c>
      <c r="F162">
        <v>2.9999999999999971E-2</v>
      </c>
    </row>
    <row r="163" spans="1:6" x14ac:dyDescent="0.2">
      <c r="A163">
        <v>137</v>
      </c>
      <c r="B163">
        <v>2.0828780415566017E-6</v>
      </c>
      <c r="C163">
        <v>-2.0828780415566017E-6</v>
      </c>
      <c r="E163">
        <v>94.791666666666671</v>
      </c>
      <c r="F163">
        <v>3.0000000000000027E-2</v>
      </c>
    </row>
    <row r="164" spans="1:6" x14ac:dyDescent="0.2">
      <c r="A164">
        <v>138</v>
      </c>
      <c r="B164">
        <v>-7.1968438203836339E-3</v>
      </c>
      <c r="C164">
        <v>-2.4469822846283042E-2</v>
      </c>
      <c r="E164">
        <v>95.486111111111114</v>
      </c>
      <c r="F164">
        <v>3.1666666666666732E-2</v>
      </c>
    </row>
    <row r="165" spans="1:6" x14ac:dyDescent="0.2">
      <c r="A165">
        <v>139</v>
      </c>
      <c r="B165">
        <v>-2.5060224276959864E-3</v>
      </c>
      <c r="C165">
        <v>1.1672689094362643E-2</v>
      </c>
      <c r="E165">
        <v>96.180555555555557</v>
      </c>
      <c r="F165">
        <v>3.3333333333333326E-2</v>
      </c>
    </row>
    <row r="166" spans="1:6" x14ac:dyDescent="0.2">
      <c r="A166">
        <v>140</v>
      </c>
      <c r="B166">
        <v>-2.2261158752178226E-3</v>
      </c>
      <c r="C166">
        <v>-6.1072174581154812E-3</v>
      </c>
      <c r="E166">
        <v>96.875</v>
      </c>
      <c r="F166">
        <v>3.833333333333333E-2</v>
      </c>
    </row>
    <row r="167" spans="1:6" x14ac:dyDescent="0.2">
      <c r="A167">
        <v>141</v>
      </c>
      <c r="B167">
        <v>-6.4997713021829329E-3</v>
      </c>
      <c r="C167">
        <v>8.1664379688495825E-3</v>
      </c>
      <c r="E167">
        <v>97.569444444444443</v>
      </c>
      <c r="F167">
        <v>3.8333333333333358E-2</v>
      </c>
    </row>
    <row r="168" spans="1:6" x14ac:dyDescent="0.2">
      <c r="A168">
        <v>142</v>
      </c>
      <c r="B168">
        <v>-9.493763721847074E-3</v>
      </c>
      <c r="C168">
        <v>-1.0506236278152888E-2</v>
      </c>
      <c r="E168">
        <v>98.263888888888886</v>
      </c>
      <c r="F168">
        <v>4.0833333333333333E-2</v>
      </c>
    </row>
    <row r="169" spans="1:6" x14ac:dyDescent="0.2">
      <c r="A169">
        <v>143</v>
      </c>
      <c r="B169">
        <v>-5.8793742880857199E-3</v>
      </c>
      <c r="C169">
        <v>1.3379374288085671E-2</v>
      </c>
      <c r="E169">
        <v>98.958333333333343</v>
      </c>
      <c r="F169">
        <v>4.5833333333333393E-2</v>
      </c>
    </row>
    <row r="170" spans="1:6" ht="17" thickBot="1" x14ac:dyDescent="0.25">
      <c r="A170" s="2">
        <v>144</v>
      </c>
      <c r="B170" s="2">
        <v>-5.3148745506210199E-3</v>
      </c>
      <c r="C170" s="2">
        <v>-3.8517921160456641E-3</v>
      </c>
      <c r="E170" s="2">
        <v>99.652777777777786</v>
      </c>
      <c r="F170" s="2">
        <v>9.0833333333333377E-2</v>
      </c>
    </row>
  </sheetData>
  <sortState xmlns:xlrd2="http://schemas.microsoft.com/office/spreadsheetml/2017/richdata2" ref="F27:F170">
    <sortCondition ref="F27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Data</vt:lpstr>
      <vt:lpstr>Data for CSV Export</vt:lpstr>
      <vt:lpstr>Factor Graphs</vt:lpstr>
      <vt:lpstr>Correlations</vt:lpstr>
      <vt:lpstr>Full</vt:lpstr>
      <vt:lpstr>SONIA, Credit, ERP</vt:lpstr>
      <vt:lpstr>SONIA, Credit, ERP, Inflation</vt:lpstr>
      <vt:lpstr>Credit, ERP, Inflation</vt:lpstr>
      <vt:lpstr>SONIA, Credit, Inflation</vt:lpstr>
      <vt:lpstr>Credit, Inflation</vt:lpstr>
      <vt:lpstr>Credit</vt:lpstr>
      <vt:lpstr>Credit, SP-HY</vt:lpstr>
      <vt:lpstr>SONIA, Swap, Credit</vt:lpstr>
      <vt:lpstr>Credit, VIX</vt:lpstr>
      <vt:lpstr>DSlope, DButterfly, Credit, VIX</vt:lpstr>
      <vt:lpstr>Credit, VIX, DInflation</vt:lpstr>
      <vt:lpstr>Credit, VIX, DVIX, DInflation</vt:lpstr>
      <vt:lpstr>Credit, Dinflation, DVIX</vt:lpstr>
      <vt:lpstr>S&amp;P Returns on IG and HY</vt:lpstr>
      <vt:lpstr>Dinflation on Credit, SP-HY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Curington</dc:creator>
  <cp:lastModifiedBy>David Curington</cp:lastModifiedBy>
  <dcterms:created xsi:type="dcterms:W3CDTF">2026-05-28T07:15:31Z</dcterms:created>
  <dcterms:modified xsi:type="dcterms:W3CDTF">2026-06-06T17:23:35Z</dcterms:modified>
</cp:coreProperties>
</file>